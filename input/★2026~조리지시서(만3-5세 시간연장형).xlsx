
<file path=[Content_Types].xml><?xml version="1.0" encoding="utf-8"?>
<Types xmlns="http://schemas.openxmlformats.org/package/2006/content-types"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IdeaProjects\javaAutomaionTest-master\input\"/>
    </mc:Choice>
  </mc:AlternateContent>
  <xr:revisionPtr revIDLastSave="0" documentId="13_ncr:1_{51B0677A-B960-4918-91DC-4CBD4178BEEC}" xr6:coauthVersionLast="47" xr6:coauthVersionMax="47" xr10:uidLastSave="{00000000-0000-0000-0000-000000000000}"/>
  <bookViews>
    <workbookView xWindow="28695" yWindow="-9795" windowWidth="19410" windowHeight="20985" tabRatio="955" activeTab="3" xr2:uid="{00000000-000D-0000-FFFF-FFFF00000000}"/>
  </bookViews>
  <sheets>
    <sheet name="25. 12 첫째주" sheetId="872" r:id="rId1"/>
    <sheet name="25. 12 둘째주" sheetId="873" r:id="rId2"/>
    <sheet name="25. 12 셋째주" sheetId="874" r:id="rId3"/>
    <sheet name="25. 12 넷째주" sheetId="875" r:id="rId4"/>
    <sheet name="25. 12 다섯째주" sheetId="876" r:id="rId5"/>
  </sheets>
  <calcPr calcId="191029"/>
</workbook>
</file>

<file path=xl/calcChain.xml><?xml version="1.0" encoding="utf-8"?>
<calcChain xmlns="http://schemas.openxmlformats.org/spreadsheetml/2006/main">
  <c r="G98" i="876" l="1"/>
  <c r="D98" i="876"/>
  <c r="F98" i="876" s="1"/>
  <c r="G97" i="876"/>
  <c r="D97" i="876"/>
  <c r="F97" i="876" s="1"/>
  <c r="G96" i="876"/>
  <c r="F96" i="876"/>
  <c r="D96" i="876"/>
  <c r="G95" i="876"/>
  <c r="D95" i="876"/>
  <c r="F95" i="876" s="1"/>
  <c r="G94" i="876"/>
  <c r="F94" i="876"/>
  <c r="D94" i="876"/>
  <c r="G93" i="876"/>
  <c r="F93" i="876"/>
  <c r="D93" i="876"/>
  <c r="G92" i="876"/>
  <c r="D92" i="876"/>
  <c r="F92" i="876" s="1"/>
  <c r="G91" i="876"/>
  <c r="D91" i="876"/>
  <c r="F91" i="876" s="1"/>
  <c r="G90" i="876"/>
  <c r="D90" i="876"/>
  <c r="F90" i="876" s="1"/>
  <c r="G89" i="876"/>
  <c r="D89" i="876"/>
  <c r="F89" i="876" s="1"/>
  <c r="G88" i="876"/>
  <c r="F88" i="876"/>
  <c r="D88" i="876"/>
  <c r="G87" i="876"/>
  <c r="D87" i="876"/>
  <c r="F87" i="876" s="1"/>
  <c r="G86" i="876"/>
  <c r="F86" i="876"/>
  <c r="D86" i="876"/>
  <c r="G85" i="876"/>
  <c r="F85" i="876"/>
  <c r="D85" i="876"/>
  <c r="G84" i="876"/>
  <c r="D84" i="876"/>
  <c r="F84" i="876" s="1"/>
  <c r="G83" i="876"/>
  <c r="D83" i="876"/>
  <c r="F83" i="876" s="1"/>
  <c r="G82" i="876"/>
  <c r="D82" i="876"/>
  <c r="F82" i="876" s="1"/>
  <c r="G81" i="876"/>
  <c r="D81" i="876"/>
  <c r="F81" i="876" s="1"/>
  <c r="G80" i="876"/>
  <c r="F80" i="876"/>
  <c r="D80" i="876"/>
  <c r="G79" i="876"/>
  <c r="D79" i="876"/>
  <c r="F79" i="876" s="1"/>
  <c r="G78" i="876"/>
  <c r="F78" i="876"/>
  <c r="D78" i="876"/>
  <c r="G77" i="876"/>
  <c r="F77" i="876"/>
  <c r="D77" i="876"/>
  <c r="G76" i="876"/>
  <c r="D76" i="876"/>
  <c r="F76" i="876" s="1"/>
  <c r="G75" i="876"/>
  <c r="D75" i="876"/>
  <c r="F75" i="876" s="1"/>
  <c r="G74" i="876"/>
  <c r="D74" i="876"/>
  <c r="F74" i="876" s="1"/>
  <c r="G68" i="876"/>
  <c r="D68" i="876"/>
  <c r="F68" i="876" s="1"/>
  <c r="G67" i="876"/>
  <c r="F67" i="876"/>
  <c r="D67" i="876"/>
  <c r="G66" i="876"/>
  <c r="D66" i="876"/>
  <c r="F66" i="876" s="1"/>
  <c r="G65" i="876"/>
  <c r="F65" i="876"/>
  <c r="D65" i="876"/>
  <c r="G64" i="876"/>
  <c r="F64" i="876"/>
  <c r="D64" i="876"/>
  <c r="G63" i="876"/>
  <c r="D63" i="876"/>
  <c r="F63" i="876" s="1"/>
  <c r="G62" i="876"/>
  <c r="D62" i="876"/>
  <c r="F62" i="876" s="1"/>
  <c r="G61" i="876"/>
  <c r="D61" i="876"/>
  <c r="F61" i="876" s="1"/>
  <c r="G60" i="876"/>
  <c r="D60" i="876"/>
  <c r="F60" i="876" s="1"/>
  <c r="G59" i="876"/>
  <c r="F59" i="876"/>
  <c r="D59" i="876"/>
  <c r="G58" i="876"/>
  <c r="D58" i="876"/>
  <c r="F58" i="876" s="1"/>
  <c r="G57" i="876"/>
  <c r="F57" i="876"/>
  <c r="D57" i="876"/>
  <c r="G56" i="876"/>
  <c r="F56" i="876"/>
  <c r="D56" i="876"/>
  <c r="G55" i="876"/>
  <c r="D55" i="876"/>
  <c r="F55" i="876" s="1"/>
  <c r="G54" i="876"/>
  <c r="D54" i="876"/>
  <c r="F54" i="876" s="1"/>
  <c r="G53" i="876"/>
  <c r="D53" i="876"/>
  <c r="F53" i="876" s="1"/>
  <c r="G52" i="876"/>
  <c r="D52" i="876"/>
  <c r="F52" i="876" s="1"/>
  <c r="G51" i="876"/>
  <c r="F51" i="876"/>
  <c r="D51" i="876"/>
  <c r="G50" i="876"/>
  <c r="D50" i="876"/>
  <c r="F50" i="876" s="1"/>
  <c r="G49" i="876"/>
  <c r="F49" i="876"/>
  <c r="D49" i="876"/>
  <c r="G48" i="876"/>
  <c r="F48" i="876"/>
  <c r="D48" i="876"/>
  <c r="G47" i="876"/>
  <c r="D47" i="876"/>
  <c r="F47" i="876" s="1"/>
  <c r="G46" i="876"/>
  <c r="D46" i="876"/>
  <c r="F46" i="876" s="1"/>
  <c r="G45" i="876"/>
  <c r="D45" i="876"/>
  <c r="F45" i="876" s="1"/>
  <c r="G44" i="876"/>
  <c r="D44" i="876"/>
  <c r="F44" i="876" s="1"/>
  <c r="G43" i="876"/>
  <c r="F43" i="876"/>
  <c r="D43" i="876"/>
  <c r="G42" i="876"/>
  <c r="D42" i="876"/>
  <c r="F42" i="876" s="1"/>
  <c r="G41" i="876"/>
  <c r="F41" i="876"/>
  <c r="D41" i="876"/>
  <c r="G40" i="876"/>
  <c r="F40" i="876"/>
  <c r="D40" i="876"/>
  <c r="G39" i="876"/>
  <c r="D39" i="876"/>
  <c r="F39" i="876" s="1"/>
  <c r="G33" i="876"/>
  <c r="D33" i="876"/>
  <c r="F33" i="876" s="1"/>
  <c r="G32" i="876"/>
  <c r="D32" i="876"/>
  <c r="F32" i="876" s="1"/>
  <c r="G31" i="876"/>
  <c r="D31" i="876"/>
  <c r="F31" i="876" s="1"/>
  <c r="G30" i="876"/>
  <c r="F30" i="876"/>
  <c r="D30" i="876"/>
  <c r="G29" i="876"/>
  <c r="D29" i="876"/>
  <c r="F29" i="876" s="1"/>
  <c r="G28" i="876"/>
  <c r="F28" i="876"/>
  <c r="D28" i="876"/>
  <c r="G27" i="876"/>
  <c r="F27" i="876"/>
  <c r="D27" i="876"/>
  <c r="G26" i="876"/>
  <c r="D26" i="876"/>
  <c r="F26" i="876" s="1"/>
  <c r="G25" i="876"/>
  <c r="D25" i="876"/>
  <c r="F25" i="876" s="1"/>
  <c r="G24" i="876"/>
  <c r="D24" i="876"/>
  <c r="F24" i="876" s="1"/>
  <c r="G23" i="876"/>
  <c r="D23" i="876"/>
  <c r="F23" i="876" s="1"/>
  <c r="G22" i="876"/>
  <c r="F22" i="876"/>
  <c r="D22" i="876"/>
  <c r="G21" i="876"/>
  <c r="D21" i="876"/>
  <c r="F21" i="876" s="1"/>
  <c r="G20" i="876"/>
  <c r="F20" i="876"/>
  <c r="D20" i="876"/>
  <c r="G19" i="876"/>
  <c r="F19" i="876"/>
  <c r="D19" i="876"/>
  <c r="G18" i="876"/>
  <c r="D18" i="876"/>
  <c r="F18" i="876" s="1"/>
  <c r="G17" i="876"/>
  <c r="D17" i="876"/>
  <c r="F17" i="876" s="1"/>
  <c r="G16" i="876"/>
  <c r="D16" i="876"/>
  <c r="F16" i="876" s="1"/>
  <c r="G15" i="876"/>
  <c r="D15" i="876"/>
  <c r="F15" i="876" s="1"/>
  <c r="G14" i="876"/>
  <c r="F14" i="876"/>
  <c r="D14" i="876"/>
  <c r="G13" i="876"/>
  <c r="D13" i="876"/>
  <c r="F13" i="876" s="1"/>
  <c r="G12" i="876"/>
  <c r="F12" i="876"/>
  <c r="D12" i="876"/>
  <c r="G11" i="876"/>
  <c r="F11" i="876"/>
  <c r="D11" i="876"/>
  <c r="G10" i="876"/>
  <c r="D10" i="876"/>
  <c r="F10" i="876" s="1"/>
  <c r="G118" i="875"/>
  <c r="D118" i="875"/>
  <c r="F118" i="875" s="1"/>
  <c r="G117" i="875"/>
  <c r="F117" i="875"/>
  <c r="D117" i="875"/>
  <c r="G116" i="875"/>
  <c r="F116" i="875"/>
  <c r="D116" i="875"/>
  <c r="G115" i="875"/>
  <c r="F115" i="875"/>
  <c r="D115" i="875"/>
  <c r="G114" i="875"/>
  <c r="D114" i="875"/>
  <c r="F114" i="875" s="1"/>
  <c r="G113" i="875"/>
  <c r="D113" i="875"/>
  <c r="F113" i="875" s="1"/>
  <c r="G112" i="875"/>
  <c r="D112" i="875"/>
  <c r="F112" i="875" s="1"/>
  <c r="G111" i="875"/>
  <c r="D111" i="875"/>
  <c r="F111" i="875" s="1"/>
  <c r="G110" i="875"/>
  <c r="D110" i="875"/>
  <c r="F110" i="875" s="1"/>
  <c r="G109" i="875"/>
  <c r="F109" i="875"/>
  <c r="D109" i="875"/>
  <c r="G108" i="875"/>
  <c r="F108" i="875"/>
  <c r="D108" i="875"/>
  <c r="G107" i="875"/>
  <c r="F107" i="875"/>
  <c r="D107" i="875"/>
  <c r="G106" i="875"/>
  <c r="D106" i="875"/>
  <c r="F106" i="875" s="1"/>
  <c r="G105" i="875"/>
  <c r="D105" i="875"/>
  <c r="F105" i="875" s="1"/>
  <c r="G104" i="875"/>
  <c r="D104" i="875"/>
  <c r="F104" i="875" s="1"/>
  <c r="G103" i="875"/>
  <c r="D103" i="875"/>
  <c r="F103" i="875" s="1"/>
  <c r="G102" i="875"/>
  <c r="F102" i="875"/>
  <c r="D102" i="875"/>
  <c r="G101" i="875"/>
  <c r="F101" i="875"/>
  <c r="D101" i="875"/>
  <c r="G100" i="875"/>
  <c r="F100" i="875"/>
  <c r="D100" i="875"/>
  <c r="G99" i="875"/>
  <c r="F99" i="875"/>
  <c r="D99" i="875"/>
  <c r="G98" i="875"/>
  <c r="D98" i="875"/>
  <c r="F98" i="875" s="1"/>
  <c r="G97" i="875"/>
  <c r="D97" i="875"/>
  <c r="F97" i="875" s="1"/>
  <c r="G96" i="875"/>
  <c r="D96" i="875"/>
  <c r="F96" i="875" s="1"/>
  <c r="G95" i="875"/>
  <c r="D95" i="875"/>
  <c r="F95" i="875" s="1"/>
  <c r="G89" i="875"/>
  <c r="D89" i="875"/>
  <c r="F89" i="875" s="1"/>
  <c r="G88" i="875"/>
  <c r="F88" i="875"/>
  <c r="D88" i="875"/>
  <c r="G87" i="875"/>
  <c r="F87" i="875"/>
  <c r="D87" i="875"/>
  <c r="G86" i="875"/>
  <c r="F86" i="875"/>
  <c r="D86" i="875"/>
  <c r="G85" i="875"/>
  <c r="D85" i="875"/>
  <c r="F85" i="875" s="1"/>
  <c r="G84" i="875"/>
  <c r="D84" i="875"/>
  <c r="F84" i="875" s="1"/>
  <c r="G83" i="875"/>
  <c r="D83" i="875"/>
  <c r="F83" i="875" s="1"/>
  <c r="G82" i="875"/>
  <c r="D82" i="875"/>
  <c r="F82" i="875" s="1"/>
  <c r="G81" i="875"/>
  <c r="D81" i="875"/>
  <c r="F81" i="875" s="1"/>
  <c r="G80" i="875"/>
  <c r="F80" i="875"/>
  <c r="D80" i="875"/>
  <c r="G79" i="875"/>
  <c r="F79" i="875"/>
  <c r="D79" i="875"/>
  <c r="G78" i="875"/>
  <c r="F78" i="875"/>
  <c r="D78" i="875"/>
  <c r="G77" i="875"/>
  <c r="D77" i="875"/>
  <c r="F77" i="875" s="1"/>
  <c r="G76" i="875"/>
  <c r="D76" i="875"/>
  <c r="F76" i="875" s="1"/>
  <c r="G75" i="875"/>
  <c r="D75" i="875"/>
  <c r="F75" i="875" s="1"/>
  <c r="G74" i="875"/>
  <c r="D74" i="875"/>
  <c r="F74" i="875" s="1"/>
  <c r="G73" i="875"/>
  <c r="D73" i="875"/>
  <c r="F73" i="875" s="1"/>
  <c r="G72" i="875"/>
  <c r="D72" i="875"/>
  <c r="F72" i="875" s="1"/>
  <c r="G71" i="875"/>
  <c r="F71" i="875"/>
  <c r="D71" i="875"/>
  <c r="G70" i="875"/>
  <c r="F70" i="875"/>
  <c r="D70" i="875"/>
  <c r="G69" i="875"/>
  <c r="D69" i="875"/>
  <c r="F69" i="875" s="1"/>
  <c r="G68" i="875"/>
  <c r="D68" i="875"/>
  <c r="F68" i="875" s="1"/>
  <c r="G67" i="875"/>
  <c r="D67" i="875"/>
  <c r="F67" i="875" s="1"/>
  <c r="G66" i="875"/>
  <c r="D66" i="875"/>
  <c r="F66" i="875" s="1"/>
  <c r="G65" i="875"/>
  <c r="F65" i="875"/>
  <c r="D65" i="875"/>
  <c r="G64" i="875"/>
  <c r="F64" i="875"/>
  <c r="D64" i="875"/>
  <c r="G58" i="875"/>
  <c r="F58" i="875"/>
  <c r="D58" i="875"/>
  <c r="G57" i="875"/>
  <c r="F57" i="875"/>
  <c r="D57" i="875"/>
  <c r="G56" i="875"/>
  <c r="D56" i="875"/>
  <c r="F56" i="875" s="1"/>
  <c r="G55" i="875"/>
  <c r="D55" i="875"/>
  <c r="F55" i="875" s="1"/>
  <c r="G54" i="875"/>
  <c r="D54" i="875"/>
  <c r="F54" i="875" s="1"/>
  <c r="G53" i="875"/>
  <c r="D53" i="875"/>
  <c r="F53" i="875" s="1"/>
  <c r="G52" i="875"/>
  <c r="D52" i="875"/>
  <c r="F52" i="875" s="1"/>
  <c r="G51" i="875"/>
  <c r="F51" i="875"/>
  <c r="D51" i="875"/>
  <c r="G50" i="875"/>
  <c r="F50" i="875"/>
  <c r="D50" i="875"/>
  <c r="G49" i="875"/>
  <c r="F49" i="875"/>
  <c r="D49" i="875"/>
  <c r="G47" i="875"/>
  <c r="D47" i="875"/>
  <c r="F47" i="875" s="1"/>
  <c r="G46" i="875"/>
  <c r="D46" i="875"/>
  <c r="F46" i="875" s="1"/>
  <c r="G45" i="875"/>
  <c r="D45" i="875"/>
  <c r="F45" i="875" s="1"/>
  <c r="G44" i="875"/>
  <c r="D44" i="875"/>
  <c r="F44" i="875" s="1"/>
  <c r="G43" i="875"/>
  <c r="D43" i="875"/>
  <c r="F43" i="875" s="1"/>
  <c r="G42" i="875"/>
  <c r="F42" i="875"/>
  <c r="D42" i="875"/>
  <c r="G41" i="875"/>
  <c r="F41" i="875"/>
  <c r="D41" i="875"/>
  <c r="G40" i="875"/>
  <c r="F40" i="875"/>
  <c r="D40" i="875"/>
  <c r="G39" i="875"/>
  <c r="D39" i="875"/>
  <c r="F39" i="875" s="1"/>
  <c r="G38" i="875"/>
  <c r="D38" i="875"/>
  <c r="F38" i="875" s="1"/>
  <c r="G37" i="875"/>
  <c r="D37" i="875"/>
  <c r="F37" i="875" s="1"/>
  <c r="G36" i="875"/>
  <c r="D36" i="875"/>
  <c r="F36" i="875" s="1"/>
  <c r="G35" i="875"/>
  <c r="D35" i="875"/>
  <c r="F35" i="875" s="1"/>
  <c r="G29" i="875"/>
  <c r="D29" i="875"/>
  <c r="F29" i="875" s="1"/>
  <c r="G28" i="875"/>
  <c r="F28" i="875"/>
  <c r="D28" i="875"/>
  <c r="G27" i="875"/>
  <c r="F27" i="875"/>
  <c r="D27" i="875"/>
  <c r="G26" i="875"/>
  <c r="D26" i="875"/>
  <c r="F26" i="875" s="1"/>
  <c r="G25" i="875"/>
  <c r="D25" i="875"/>
  <c r="F25" i="875" s="1"/>
  <c r="G24" i="875"/>
  <c r="D24" i="875"/>
  <c r="F24" i="875" s="1"/>
  <c r="G23" i="875"/>
  <c r="D23" i="875"/>
  <c r="F23" i="875" s="1"/>
  <c r="G22" i="875"/>
  <c r="D22" i="875"/>
  <c r="F22" i="875" s="1"/>
  <c r="G21" i="875"/>
  <c r="D21" i="875"/>
  <c r="F21" i="875" s="1"/>
  <c r="G20" i="875"/>
  <c r="F20" i="875"/>
  <c r="D20" i="875"/>
  <c r="G19" i="875"/>
  <c r="F19" i="875"/>
  <c r="D19" i="875"/>
  <c r="G18" i="875"/>
  <c r="D18" i="875"/>
  <c r="F18" i="875" s="1"/>
  <c r="G17" i="875"/>
  <c r="D17" i="875"/>
  <c r="F17" i="875" s="1"/>
  <c r="G16" i="875"/>
  <c r="D16" i="875"/>
  <c r="F16" i="875" s="1"/>
  <c r="G15" i="875"/>
  <c r="D15" i="875"/>
  <c r="F15" i="875" s="1"/>
  <c r="G14" i="875"/>
  <c r="D14" i="875"/>
  <c r="F14" i="875" s="1"/>
  <c r="G13" i="875"/>
  <c r="D13" i="875"/>
  <c r="F13" i="875" s="1"/>
  <c r="G12" i="875"/>
  <c r="F12" i="875"/>
  <c r="D12" i="875"/>
  <c r="G11" i="875"/>
  <c r="F11" i="875"/>
  <c r="D11" i="875"/>
  <c r="G10" i="875"/>
  <c r="D10" i="875"/>
  <c r="F10" i="875" s="1"/>
  <c r="G141" i="874"/>
  <c r="D141" i="874"/>
  <c r="F141" i="874" s="1"/>
  <c r="G140" i="874"/>
  <c r="D140" i="874"/>
  <c r="F140" i="874" s="1"/>
  <c r="G139" i="874"/>
  <c r="F139" i="874"/>
  <c r="D139" i="874"/>
  <c r="G138" i="874"/>
  <c r="D138" i="874"/>
  <c r="F138" i="874" s="1"/>
  <c r="G137" i="874"/>
  <c r="F137" i="874"/>
  <c r="D137" i="874"/>
  <c r="G136" i="874"/>
  <c r="F136" i="874"/>
  <c r="D136" i="874"/>
  <c r="G135" i="874"/>
  <c r="D135" i="874"/>
  <c r="F135" i="874" s="1"/>
  <c r="G134" i="874"/>
  <c r="D134" i="874"/>
  <c r="F134" i="874" s="1"/>
  <c r="G133" i="874"/>
  <c r="D133" i="874"/>
  <c r="F133" i="874" s="1"/>
  <c r="G132" i="874"/>
  <c r="D132" i="874"/>
  <c r="F132" i="874" s="1"/>
  <c r="G131" i="874"/>
  <c r="F131" i="874"/>
  <c r="D131" i="874"/>
  <c r="G130" i="874"/>
  <c r="D130" i="874"/>
  <c r="F130" i="874" s="1"/>
  <c r="G129" i="874"/>
  <c r="F129" i="874"/>
  <c r="D129" i="874"/>
  <c r="G128" i="874"/>
  <c r="D128" i="874"/>
  <c r="F128" i="874" s="1"/>
  <c r="G127" i="874"/>
  <c r="D127" i="874"/>
  <c r="F127" i="874" s="1"/>
  <c r="G126" i="874"/>
  <c r="D126" i="874"/>
  <c r="F126" i="874" s="1"/>
  <c r="G125" i="874"/>
  <c r="D125" i="874"/>
  <c r="F125" i="874" s="1"/>
  <c r="G124" i="874"/>
  <c r="D124" i="874"/>
  <c r="F124" i="874" s="1"/>
  <c r="G123" i="874"/>
  <c r="F123" i="874"/>
  <c r="D123" i="874"/>
  <c r="G122" i="874"/>
  <c r="D122" i="874"/>
  <c r="F122" i="874" s="1"/>
  <c r="G121" i="874"/>
  <c r="F121" i="874"/>
  <c r="D121" i="874"/>
  <c r="G115" i="874"/>
  <c r="F115" i="874"/>
  <c r="D115" i="874"/>
  <c r="G114" i="874"/>
  <c r="D114" i="874"/>
  <c r="F114" i="874" s="1"/>
  <c r="G113" i="874"/>
  <c r="D113" i="874"/>
  <c r="F113" i="874" s="1"/>
  <c r="G112" i="874"/>
  <c r="D112" i="874"/>
  <c r="F112" i="874" s="1"/>
  <c r="G111" i="874"/>
  <c r="D111" i="874"/>
  <c r="F111" i="874" s="1"/>
  <c r="G110" i="874"/>
  <c r="F110" i="874"/>
  <c r="D110" i="874"/>
  <c r="G109" i="874"/>
  <c r="D109" i="874"/>
  <c r="F109" i="874" s="1"/>
  <c r="G108" i="874"/>
  <c r="F108" i="874"/>
  <c r="D108" i="874"/>
  <c r="G107" i="874"/>
  <c r="F107" i="874"/>
  <c r="D107" i="874"/>
  <c r="G106" i="874"/>
  <c r="D106" i="874"/>
  <c r="F106" i="874" s="1"/>
  <c r="G105" i="874"/>
  <c r="D105" i="874"/>
  <c r="F105" i="874" s="1"/>
  <c r="G104" i="874"/>
  <c r="D104" i="874"/>
  <c r="F104" i="874" s="1"/>
  <c r="G103" i="874"/>
  <c r="D103" i="874"/>
  <c r="F103" i="874" s="1"/>
  <c r="G102" i="874"/>
  <c r="F102" i="874"/>
  <c r="D102" i="874"/>
  <c r="G101" i="874"/>
  <c r="D101" i="874"/>
  <c r="F101" i="874" s="1"/>
  <c r="G100" i="874"/>
  <c r="F100" i="874"/>
  <c r="D100" i="874"/>
  <c r="G99" i="874"/>
  <c r="F99" i="874"/>
  <c r="D99" i="874"/>
  <c r="G98" i="874"/>
  <c r="D98" i="874"/>
  <c r="F98" i="874" s="1"/>
  <c r="G92" i="874"/>
  <c r="D92" i="874"/>
  <c r="F92" i="874" s="1"/>
  <c r="G91" i="874"/>
  <c r="D91" i="874"/>
  <c r="F91" i="874" s="1"/>
  <c r="G90" i="874"/>
  <c r="D90" i="874"/>
  <c r="F90" i="874" s="1"/>
  <c r="G89" i="874"/>
  <c r="F89" i="874"/>
  <c r="D89" i="874"/>
  <c r="G88" i="874"/>
  <c r="D88" i="874"/>
  <c r="F88" i="874" s="1"/>
  <c r="G87" i="874"/>
  <c r="F87" i="874"/>
  <c r="D87" i="874"/>
  <c r="G86" i="874"/>
  <c r="F86" i="874"/>
  <c r="D86" i="874"/>
  <c r="G85" i="874"/>
  <c r="D85" i="874"/>
  <c r="F85" i="874" s="1"/>
  <c r="G84" i="874"/>
  <c r="D84" i="874"/>
  <c r="F84" i="874" s="1"/>
  <c r="G83" i="874"/>
  <c r="D83" i="874"/>
  <c r="F83" i="874" s="1"/>
  <c r="G82" i="874"/>
  <c r="D82" i="874"/>
  <c r="F82" i="874" s="1"/>
  <c r="G81" i="874"/>
  <c r="F81" i="874"/>
  <c r="D81" i="874"/>
  <c r="G80" i="874"/>
  <c r="D80" i="874"/>
  <c r="F80" i="874" s="1"/>
  <c r="G79" i="874"/>
  <c r="F79" i="874"/>
  <c r="D79" i="874"/>
  <c r="G78" i="874"/>
  <c r="D78" i="874"/>
  <c r="F78" i="874" s="1"/>
  <c r="G77" i="874"/>
  <c r="D77" i="874"/>
  <c r="F77" i="874" s="1"/>
  <c r="G76" i="874"/>
  <c r="D76" i="874"/>
  <c r="F76" i="874" s="1"/>
  <c r="G75" i="874"/>
  <c r="D75" i="874"/>
  <c r="F75" i="874" s="1"/>
  <c r="G74" i="874"/>
  <c r="D74" i="874"/>
  <c r="F74" i="874" s="1"/>
  <c r="G73" i="874"/>
  <c r="F73" i="874"/>
  <c r="D73" i="874"/>
  <c r="G72" i="874"/>
  <c r="D72" i="874"/>
  <c r="F72" i="874" s="1"/>
  <c r="G71" i="874"/>
  <c r="F71" i="874"/>
  <c r="D71" i="874"/>
  <c r="G70" i="874"/>
  <c r="D70" i="874"/>
  <c r="F70" i="874" s="1"/>
  <c r="G69" i="874"/>
  <c r="D69" i="874"/>
  <c r="F69" i="874" s="1"/>
  <c r="G68" i="874"/>
  <c r="D68" i="874"/>
  <c r="F68" i="874" s="1"/>
  <c r="G62" i="874"/>
  <c r="D62" i="874"/>
  <c r="F62" i="874" s="1"/>
  <c r="G61" i="874"/>
  <c r="D61" i="874"/>
  <c r="F61" i="874" s="1"/>
  <c r="G60" i="874"/>
  <c r="F60" i="874"/>
  <c r="D60" i="874"/>
  <c r="G59" i="874"/>
  <c r="D59" i="874"/>
  <c r="F59" i="874" s="1"/>
  <c r="G58" i="874"/>
  <c r="F58" i="874"/>
  <c r="D58" i="874"/>
  <c r="G57" i="874"/>
  <c r="D57" i="874"/>
  <c r="F57" i="874" s="1"/>
  <c r="G56" i="874"/>
  <c r="D56" i="874"/>
  <c r="F56" i="874" s="1"/>
  <c r="G55" i="874"/>
  <c r="D55" i="874"/>
  <c r="F55" i="874" s="1"/>
  <c r="G54" i="874"/>
  <c r="D54" i="874"/>
  <c r="F54" i="874" s="1"/>
  <c r="G53" i="874"/>
  <c r="D53" i="874"/>
  <c r="F53" i="874" s="1"/>
  <c r="G52" i="874"/>
  <c r="F52" i="874"/>
  <c r="D52" i="874"/>
  <c r="G51" i="874"/>
  <c r="D51" i="874"/>
  <c r="F51" i="874" s="1"/>
  <c r="G50" i="874"/>
  <c r="F50" i="874"/>
  <c r="D50" i="874"/>
  <c r="G49" i="874"/>
  <c r="D49" i="874"/>
  <c r="F49" i="874" s="1"/>
  <c r="G48" i="874"/>
  <c r="D48" i="874"/>
  <c r="F48" i="874" s="1"/>
  <c r="G47" i="874"/>
  <c r="D47" i="874"/>
  <c r="F47" i="874" s="1"/>
  <c r="G46" i="874"/>
  <c r="D46" i="874"/>
  <c r="F46" i="874" s="1"/>
  <c r="G45" i="874"/>
  <c r="D45" i="874"/>
  <c r="F45" i="874" s="1"/>
  <c r="G44" i="874"/>
  <c r="F44" i="874"/>
  <c r="D44" i="874"/>
  <c r="G43" i="874"/>
  <c r="D43" i="874"/>
  <c r="F43" i="874" s="1"/>
  <c r="G42" i="874"/>
  <c r="F42" i="874"/>
  <c r="D42" i="874"/>
  <c r="G41" i="874"/>
  <c r="D41" i="874"/>
  <c r="F41" i="874" s="1"/>
  <c r="G35" i="874"/>
  <c r="D35" i="874"/>
  <c r="F35" i="874" s="1"/>
  <c r="G34" i="874"/>
  <c r="D34" i="874"/>
  <c r="F34" i="874" s="1"/>
  <c r="G33" i="874"/>
  <c r="D33" i="874"/>
  <c r="F33" i="874" s="1"/>
  <c r="G32" i="874"/>
  <c r="D32" i="874"/>
  <c r="F32" i="874" s="1"/>
  <c r="G31" i="874"/>
  <c r="F31" i="874"/>
  <c r="D31" i="874"/>
  <c r="G30" i="874"/>
  <c r="D30" i="874"/>
  <c r="F30" i="874" s="1"/>
  <c r="G29" i="874"/>
  <c r="F29" i="874"/>
  <c r="D29" i="874"/>
  <c r="G28" i="874"/>
  <c r="D28" i="874"/>
  <c r="F28" i="874" s="1"/>
  <c r="G27" i="874"/>
  <c r="D27" i="874"/>
  <c r="F27" i="874" s="1"/>
  <c r="G26" i="874"/>
  <c r="D26" i="874"/>
  <c r="F26" i="874" s="1"/>
  <c r="G25" i="874"/>
  <c r="D25" i="874"/>
  <c r="F25" i="874" s="1"/>
  <c r="G24" i="874"/>
  <c r="D24" i="874"/>
  <c r="F24" i="874" s="1"/>
  <c r="G23" i="874"/>
  <c r="F23" i="874"/>
  <c r="D23" i="874"/>
  <c r="G22" i="874"/>
  <c r="D22" i="874"/>
  <c r="F22" i="874" s="1"/>
  <c r="G21" i="874"/>
  <c r="F21" i="874"/>
  <c r="D21" i="874"/>
  <c r="G20" i="874"/>
  <c r="D20" i="874"/>
  <c r="F20" i="874" s="1"/>
  <c r="G19" i="874"/>
  <c r="D19" i="874"/>
  <c r="F19" i="874" s="1"/>
  <c r="G18" i="874"/>
  <c r="D18" i="874"/>
  <c r="F18" i="874" s="1"/>
  <c r="G17" i="874"/>
  <c r="D17" i="874"/>
  <c r="F17" i="874" s="1"/>
  <c r="G16" i="874"/>
  <c r="D16" i="874"/>
  <c r="F16" i="874" s="1"/>
  <c r="G15" i="874"/>
  <c r="F15" i="874"/>
  <c r="D15" i="874"/>
  <c r="G14" i="874"/>
  <c r="D14" i="874"/>
  <c r="F14" i="874" s="1"/>
  <c r="G13" i="874"/>
  <c r="F13" i="874"/>
  <c r="D13" i="874"/>
  <c r="G12" i="874"/>
  <c r="D12" i="874"/>
  <c r="F12" i="874" s="1"/>
  <c r="G11" i="874"/>
  <c r="F11" i="874"/>
  <c r="D11" i="874"/>
  <c r="G10" i="874"/>
  <c r="D10" i="874"/>
  <c r="F10" i="874" s="1"/>
  <c r="G148" i="873"/>
  <c r="F148" i="873"/>
  <c r="D148" i="873"/>
  <c r="G147" i="873"/>
  <c r="F147" i="873"/>
  <c r="D147" i="873"/>
  <c r="G146" i="873"/>
  <c r="F146" i="873"/>
  <c r="D146" i="873"/>
  <c r="G145" i="873"/>
  <c r="F145" i="873"/>
  <c r="D145" i="873"/>
  <c r="G144" i="873"/>
  <c r="F144" i="873"/>
  <c r="D144" i="873"/>
  <c r="G143" i="873"/>
  <c r="D143" i="873"/>
  <c r="F143" i="873" s="1"/>
  <c r="G142" i="873"/>
  <c r="D142" i="873"/>
  <c r="F142" i="873" s="1"/>
  <c r="G141" i="873"/>
  <c r="D141" i="873"/>
  <c r="F141" i="873" s="1"/>
  <c r="G140" i="873"/>
  <c r="F140" i="873"/>
  <c r="D140" i="873"/>
  <c r="G139" i="873"/>
  <c r="F139" i="873"/>
  <c r="D139" i="873"/>
  <c r="G138" i="873"/>
  <c r="F138" i="873"/>
  <c r="D138" i="873"/>
  <c r="G137" i="873"/>
  <c r="F137" i="873"/>
  <c r="D137" i="873"/>
  <c r="G136" i="873"/>
  <c r="F136" i="873"/>
  <c r="D136" i="873"/>
  <c r="G135" i="873"/>
  <c r="D135" i="873"/>
  <c r="F135" i="873" s="1"/>
  <c r="G134" i="873"/>
  <c r="D134" i="873"/>
  <c r="F134" i="873" s="1"/>
  <c r="G133" i="873"/>
  <c r="D133" i="873"/>
  <c r="F133" i="873" s="1"/>
  <c r="G132" i="873"/>
  <c r="F132" i="873"/>
  <c r="D132" i="873"/>
  <c r="G131" i="873"/>
  <c r="F131" i="873"/>
  <c r="D131" i="873"/>
  <c r="G130" i="873"/>
  <c r="F130" i="873"/>
  <c r="D130" i="873"/>
  <c r="G129" i="873"/>
  <c r="F129" i="873"/>
  <c r="D129" i="873"/>
  <c r="G128" i="873"/>
  <c r="F128" i="873"/>
  <c r="D128" i="873"/>
  <c r="G127" i="873"/>
  <c r="D127" i="873"/>
  <c r="F127" i="873" s="1"/>
  <c r="G126" i="873"/>
  <c r="D126" i="873"/>
  <c r="F126" i="873" s="1"/>
  <c r="G120" i="873"/>
  <c r="D120" i="873"/>
  <c r="F120" i="873" s="1"/>
  <c r="G119" i="873"/>
  <c r="F119" i="873"/>
  <c r="D119" i="873"/>
  <c r="G118" i="873"/>
  <c r="F118" i="873"/>
  <c r="D118" i="873"/>
  <c r="G117" i="873"/>
  <c r="F117" i="873"/>
  <c r="D117" i="873"/>
  <c r="G116" i="873"/>
  <c r="F116" i="873"/>
  <c r="D116" i="873"/>
  <c r="G115" i="873"/>
  <c r="F115" i="873"/>
  <c r="D115" i="873"/>
  <c r="G114" i="873"/>
  <c r="D114" i="873"/>
  <c r="F114" i="873" s="1"/>
  <c r="G113" i="873"/>
  <c r="D113" i="873"/>
  <c r="F113" i="873" s="1"/>
  <c r="G112" i="873"/>
  <c r="D112" i="873"/>
  <c r="F112" i="873" s="1"/>
  <c r="G111" i="873"/>
  <c r="F111" i="873"/>
  <c r="D111" i="873"/>
  <c r="G110" i="873"/>
  <c r="F110" i="873"/>
  <c r="D110" i="873"/>
  <c r="G109" i="873"/>
  <c r="F109" i="873"/>
  <c r="D109" i="873"/>
  <c r="G108" i="873"/>
  <c r="F108" i="873"/>
  <c r="D108" i="873"/>
  <c r="G107" i="873"/>
  <c r="F107" i="873"/>
  <c r="D107" i="873"/>
  <c r="G106" i="873"/>
  <c r="D106" i="873"/>
  <c r="F106" i="873" s="1"/>
  <c r="G105" i="873"/>
  <c r="D105" i="873"/>
  <c r="F105" i="873" s="1"/>
  <c r="G104" i="873"/>
  <c r="D104" i="873"/>
  <c r="F104" i="873" s="1"/>
  <c r="G103" i="873"/>
  <c r="F103" i="873"/>
  <c r="D103" i="873"/>
  <c r="G102" i="873"/>
  <c r="F102" i="873"/>
  <c r="D102" i="873"/>
  <c r="G101" i="873"/>
  <c r="F101" i="873"/>
  <c r="D101" i="873"/>
  <c r="G100" i="873"/>
  <c r="F100" i="873"/>
  <c r="D100" i="873"/>
  <c r="G99" i="873"/>
  <c r="F99" i="873"/>
  <c r="D99" i="873"/>
  <c r="G98" i="873"/>
  <c r="D98" i="873"/>
  <c r="F98" i="873" s="1"/>
  <c r="G97" i="873"/>
  <c r="D97" i="873"/>
  <c r="F97" i="873" s="1"/>
  <c r="G91" i="873"/>
  <c r="D91" i="873"/>
  <c r="F91" i="873" s="1"/>
  <c r="G90" i="873"/>
  <c r="F90" i="873"/>
  <c r="D90" i="873"/>
  <c r="G89" i="873"/>
  <c r="F89" i="873"/>
  <c r="D89" i="873"/>
  <c r="G88" i="873"/>
  <c r="F88" i="873"/>
  <c r="D88" i="873"/>
  <c r="G87" i="873"/>
  <c r="F87" i="873"/>
  <c r="D87" i="873"/>
  <c r="G86" i="873"/>
  <c r="F86" i="873"/>
  <c r="D86" i="873"/>
  <c r="G85" i="873"/>
  <c r="D85" i="873"/>
  <c r="F85" i="873" s="1"/>
  <c r="G84" i="873"/>
  <c r="F84" i="873"/>
  <c r="G83" i="873"/>
  <c r="F83" i="873"/>
  <c r="G82" i="873"/>
  <c r="F82" i="873"/>
  <c r="G81" i="873"/>
  <c r="F81" i="873"/>
  <c r="G80" i="873"/>
  <c r="F80" i="873"/>
  <c r="G79" i="873"/>
  <c r="F79" i="873"/>
  <c r="G78" i="873"/>
  <c r="F78" i="873"/>
  <c r="G77" i="873"/>
  <c r="F77" i="873"/>
  <c r="G76" i="873"/>
  <c r="D76" i="873"/>
  <c r="F76" i="873" s="1"/>
  <c r="G75" i="873"/>
  <c r="D75" i="873"/>
  <c r="F75" i="873" s="1"/>
  <c r="G74" i="873"/>
  <c r="F74" i="873"/>
  <c r="D74" i="873"/>
  <c r="G73" i="873"/>
  <c r="F73" i="873"/>
  <c r="D73" i="873"/>
  <c r="G72" i="873"/>
  <c r="F72" i="873"/>
  <c r="D72" i="873"/>
  <c r="G71" i="873"/>
  <c r="F71" i="873"/>
  <c r="D71" i="873"/>
  <c r="G70" i="873"/>
  <c r="F70" i="873"/>
  <c r="D70" i="873"/>
  <c r="G69" i="873"/>
  <c r="D69" i="873"/>
  <c r="F69" i="873" s="1"/>
  <c r="G63" i="873"/>
  <c r="D63" i="873"/>
  <c r="F63" i="873" s="1"/>
  <c r="G62" i="873"/>
  <c r="D62" i="873"/>
  <c r="F62" i="873" s="1"/>
  <c r="G61" i="873"/>
  <c r="F61" i="873"/>
  <c r="D61" i="873"/>
  <c r="G60" i="873"/>
  <c r="F60" i="873"/>
  <c r="D60" i="873"/>
  <c r="G59" i="873"/>
  <c r="F59" i="873"/>
  <c r="D59" i="873"/>
  <c r="G58" i="873"/>
  <c r="F58" i="873"/>
  <c r="D58" i="873"/>
  <c r="G57" i="873"/>
  <c r="F57" i="873"/>
  <c r="D57" i="873"/>
  <c r="G56" i="873"/>
  <c r="D56" i="873"/>
  <c r="F56" i="873" s="1"/>
  <c r="G55" i="873"/>
  <c r="D55" i="873"/>
  <c r="F55" i="873" s="1"/>
  <c r="G54" i="873"/>
  <c r="D54" i="873"/>
  <c r="F54" i="873" s="1"/>
  <c r="G53" i="873"/>
  <c r="F53" i="873"/>
  <c r="D53" i="873"/>
  <c r="G52" i="873"/>
  <c r="F52" i="873"/>
  <c r="D52" i="873"/>
  <c r="G51" i="873"/>
  <c r="F51" i="873"/>
  <c r="D51" i="873"/>
  <c r="G50" i="873"/>
  <c r="F50" i="873"/>
  <c r="D50" i="873"/>
  <c r="G49" i="873"/>
  <c r="F49" i="873"/>
  <c r="D49" i="873"/>
  <c r="G48" i="873"/>
  <c r="D48" i="873"/>
  <c r="F48" i="873" s="1"/>
  <c r="G47" i="873"/>
  <c r="D47" i="873"/>
  <c r="F47" i="873" s="1"/>
  <c r="G46" i="873"/>
  <c r="D46" i="873"/>
  <c r="F46" i="873" s="1"/>
  <c r="G45" i="873"/>
  <c r="F45" i="873"/>
  <c r="D45" i="873"/>
  <c r="G44" i="873"/>
  <c r="F44" i="873"/>
  <c r="D44" i="873"/>
  <c r="G43" i="873"/>
  <c r="F43" i="873"/>
  <c r="D43" i="873"/>
  <c r="G42" i="873"/>
  <c r="F42" i="873"/>
  <c r="D42" i="873"/>
  <c r="G41" i="873"/>
  <c r="F41" i="873"/>
  <c r="D41" i="873"/>
  <c r="G40" i="873"/>
  <c r="D40" i="873"/>
  <c r="F40" i="873" s="1"/>
  <c r="G39" i="873"/>
  <c r="D39" i="873"/>
  <c r="F39" i="873" s="1"/>
  <c r="G38" i="873"/>
  <c r="D38" i="873"/>
  <c r="F38" i="873" s="1"/>
  <c r="G32" i="873"/>
  <c r="F32" i="873"/>
  <c r="D32" i="873"/>
  <c r="G31" i="873"/>
  <c r="F31" i="873"/>
  <c r="D31" i="873"/>
  <c r="G30" i="873"/>
  <c r="F30" i="873"/>
  <c r="D30" i="873"/>
  <c r="G29" i="873"/>
  <c r="F29" i="873"/>
  <c r="D29" i="873"/>
  <c r="G28" i="873"/>
  <c r="F28" i="873"/>
  <c r="D28" i="873"/>
  <c r="G27" i="873"/>
  <c r="D27" i="873"/>
  <c r="F27" i="873" s="1"/>
  <c r="G26" i="873"/>
  <c r="D26" i="873"/>
  <c r="F26" i="873" s="1"/>
  <c r="G25" i="873"/>
  <c r="D25" i="873"/>
  <c r="F25" i="873" s="1"/>
  <c r="G24" i="873"/>
  <c r="F24" i="873"/>
  <c r="D24" i="873"/>
  <c r="G23" i="873"/>
  <c r="F23" i="873"/>
  <c r="D23" i="873"/>
  <c r="G22" i="873"/>
  <c r="F22" i="873"/>
  <c r="D22" i="873"/>
  <c r="G21" i="873"/>
  <c r="D21" i="873"/>
  <c r="F21" i="873" s="1"/>
  <c r="G20" i="873"/>
  <c r="D20" i="873"/>
  <c r="F20" i="873" s="1"/>
  <c r="G19" i="873"/>
  <c r="D19" i="873"/>
  <c r="F19" i="873" s="1"/>
  <c r="G18" i="873"/>
  <c r="D18" i="873"/>
  <c r="F18" i="873" s="1"/>
  <c r="G17" i="873"/>
  <c r="D17" i="873"/>
  <c r="F17" i="873" s="1"/>
  <c r="G16" i="873"/>
  <c r="F16" i="873"/>
  <c r="D16" i="873"/>
  <c r="G15" i="873"/>
  <c r="F15" i="873"/>
  <c r="D15" i="873"/>
  <c r="G14" i="873"/>
  <c r="F14" i="873"/>
  <c r="D14" i="873"/>
  <c r="G13" i="873"/>
  <c r="F13" i="873"/>
  <c r="D13" i="873"/>
  <c r="G12" i="873"/>
  <c r="F12" i="873"/>
  <c r="D12" i="873"/>
  <c r="G11" i="873"/>
  <c r="D11" i="873"/>
  <c r="F11" i="873" s="1"/>
  <c r="G10" i="873"/>
  <c r="D10" i="873"/>
  <c r="F10" i="873" s="1"/>
  <c r="G145" i="872"/>
  <c r="D145" i="872"/>
  <c r="F145" i="872" s="1"/>
  <c r="G144" i="872"/>
  <c r="F144" i="872"/>
  <c r="D144" i="872"/>
  <c r="G143" i="872"/>
  <c r="F143" i="872"/>
  <c r="D143" i="872"/>
  <c r="G142" i="872"/>
  <c r="F142" i="872"/>
  <c r="D142" i="872"/>
  <c r="G141" i="872"/>
  <c r="F141" i="872"/>
  <c r="D141" i="872"/>
  <c r="G140" i="872"/>
  <c r="F140" i="872"/>
  <c r="D140" i="872"/>
  <c r="G139" i="872"/>
  <c r="D139" i="872"/>
  <c r="F139" i="872" s="1"/>
  <c r="G138" i="872"/>
  <c r="D138" i="872"/>
  <c r="F138" i="872" s="1"/>
  <c r="G137" i="872"/>
  <c r="D137" i="872"/>
  <c r="F137" i="872" s="1"/>
  <c r="G136" i="872"/>
  <c r="F136" i="872"/>
  <c r="D136" i="872"/>
  <c r="G135" i="872"/>
  <c r="F135" i="872"/>
  <c r="D135" i="872"/>
  <c r="G134" i="872"/>
  <c r="F134" i="872"/>
  <c r="D134" i="872"/>
  <c r="G133" i="872"/>
  <c r="D133" i="872"/>
  <c r="F133" i="872" s="1"/>
  <c r="G132" i="872"/>
  <c r="F132" i="872"/>
  <c r="D132" i="872"/>
  <c r="G131" i="872"/>
  <c r="D131" i="872"/>
  <c r="F131" i="872" s="1"/>
  <c r="G130" i="872"/>
  <c r="D130" i="872"/>
  <c r="F130" i="872" s="1"/>
  <c r="G129" i="872"/>
  <c r="D129" i="872"/>
  <c r="F129" i="872" s="1"/>
  <c r="G128" i="872"/>
  <c r="F128" i="872"/>
  <c r="D128" i="872"/>
  <c r="G127" i="872"/>
  <c r="F127" i="872"/>
  <c r="D127" i="872"/>
  <c r="G126" i="872"/>
  <c r="F126" i="872"/>
  <c r="D126" i="872"/>
  <c r="G125" i="872"/>
  <c r="F125" i="872"/>
  <c r="D125" i="872"/>
  <c r="G124" i="872"/>
  <c r="F124" i="872"/>
  <c r="D124" i="872"/>
  <c r="G123" i="872"/>
  <c r="D123" i="872"/>
  <c r="F123" i="872" s="1"/>
  <c r="G117" i="872"/>
  <c r="D117" i="872"/>
  <c r="F117" i="872" s="1"/>
  <c r="G116" i="872"/>
  <c r="D116" i="872"/>
  <c r="F116" i="872" s="1"/>
  <c r="G115" i="872"/>
  <c r="F115" i="872"/>
  <c r="D115" i="872"/>
  <c r="G114" i="872"/>
  <c r="F114" i="872"/>
  <c r="D114" i="872"/>
  <c r="G113" i="872"/>
  <c r="F113" i="872"/>
  <c r="D113" i="872"/>
  <c r="G112" i="872"/>
  <c r="F112" i="872"/>
  <c r="D112" i="872"/>
  <c r="G111" i="872"/>
  <c r="F111" i="872"/>
  <c r="D111" i="872"/>
  <c r="G110" i="872"/>
  <c r="D110" i="872"/>
  <c r="F110" i="872" s="1"/>
  <c r="G109" i="872"/>
  <c r="D109" i="872"/>
  <c r="F109" i="872" s="1"/>
  <c r="G108" i="872"/>
  <c r="F108" i="872"/>
  <c r="D108" i="872"/>
  <c r="G107" i="872"/>
  <c r="F107" i="872"/>
  <c r="D107" i="872"/>
  <c r="G106" i="872"/>
  <c r="F106" i="872"/>
  <c r="D106" i="872"/>
  <c r="G105" i="872"/>
  <c r="F105" i="872"/>
  <c r="D105" i="872"/>
  <c r="G104" i="872"/>
  <c r="F104" i="872"/>
  <c r="D104" i="872"/>
  <c r="G103" i="872"/>
  <c r="F103" i="872"/>
  <c r="D103" i="872"/>
  <c r="G102" i="872"/>
  <c r="D102" i="872"/>
  <c r="F102" i="872" s="1"/>
  <c r="G101" i="872"/>
  <c r="D101" i="872"/>
  <c r="F101" i="872" s="1"/>
  <c r="G100" i="872"/>
  <c r="F100" i="872"/>
  <c r="D100" i="872"/>
  <c r="G99" i="872"/>
  <c r="F99" i="872"/>
  <c r="D99" i="872"/>
  <c r="G98" i="872"/>
  <c r="F98" i="872"/>
  <c r="D98" i="872"/>
  <c r="G97" i="872"/>
  <c r="F97" i="872"/>
  <c r="D97" i="872"/>
  <c r="G96" i="872"/>
  <c r="F96" i="872"/>
  <c r="D96" i="872"/>
  <c r="G95" i="872"/>
  <c r="F95" i="872"/>
  <c r="D95" i="872"/>
  <c r="G89" i="872"/>
  <c r="D89" i="872"/>
  <c r="F89" i="872" s="1"/>
  <c r="G88" i="872"/>
  <c r="D88" i="872"/>
  <c r="F88" i="872" s="1"/>
  <c r="G87" i="872"/>
  <c r="F87" i="872"/>
  <c r="D87" i="872"/>
  <c r="G86" i="872"/>
  <c r="F86" i="872"/>
  <c r="D86" i="872"/>
  <c r="G85" i="872"/>
  <c r="F85" i="872"/>
  <c r="D85" i="872"/>
  <c r="G84" i="872"/>
  <c r="F84" i="872"/>
  <c r="D84" i="872"/>
  <c r="G83" i="872"/>
  <c r="F83" i="872"/>
  <c r="D83" i="872"/>
  <c r="G82" i="872"/>
  <c r="F82" i="872"/>
  <c r="D82" i="872"/>
  <c r="G81" i="872"/>
  <c r="D81" i="872"/>
  <c r="F81" i="872" s="1"/>
  <c r="G80" i="872"/>
  <c r="D80" i="872"/>
  <c r="F80" i="872" s="1"/>
  <c r="G79" i="872"/>
  <c r="F79" i="872"/>
  <c r="D79" i="872"/>
  <c r="G78" i="872"/>
  <c r="F78" i="872"/>
  <c r="D78" i="872"/>
  <c r="G77" i="872"/>
  <c r="F77" i="872"/>
  <c r="D77" i="872"/>
  <c r="G76" i="872"/>
  <c r="F76" i="872"/>
  <c r="D76" i="872"/>
  <c r="G75" i="872"/>
  <c r="F75" i="872"/>
  <c r="D75" i="872"/>
  <c r="G74" i="872"/>
  <c r="F74" i="872"/>
  <c r="D74" i="872"/>
  <c r="G73" i="872"/>
  <c r="D73" i="872"/>
  <c r="F73" i="872" s="1"/>
  <c r="G72" i="872"/>
  <c r="D72" i="872"/>
  <c r="F72" i="872" s="1"/>
  <c r="G71" i="872"/>
  <c r="F71" i="872"/>
  <c r="D71" i="872"/>
  <c r="G70" i="872"/>
  <c r="F70" i="872"/>
  <c r="D70" i="872"/>
  <c r="G69" i="872"/>
  <c r="F69" i="872"/>
  <c r="D69" i="872"/>
  <c r="G68" i="872"/>
  <c r="F68" i="872"/>
  <c r="D68" i="872"/>
  <c r="G67" i="872"/>
  <c r="F67" i="872"/>
  <c r="D67" i="872"/>
  <c r="G66" i="872"/>
  <c r="F66" i="872"/>
  <c r="D66" i="872"/>
  <c r="G65" i="872"/>
  <c r="D65" i="872"/>
  <c r="F65" i="872" s="1"/>
  <c r="G64" i="872"/>
  <c r="D64" i="872"/>
  <c r="F64" i="872" s="1"/>
  <c r="G63" i="872"/>
  <c r="F63" i="872"/>
  <c r="D63" i="872"/>
  <c r="G57" i="872"/>
  <c r="F57" i="872"/>
  <c r="D57" i="872"/>
  <c r="G56" i="872"/>
  <c r="F56" i="872"/>
  <c r="D56" i="872"/>
  <c r="G55" i="872"/>
  <c r="F55" i="872"/>
  <c r="D55" i="872"/>
  <c r="G54" i="872"/>
  <c r="F54" i="872"/>
  <c r="D54" i="872"/>
  <c r="G53" i="872"/>
  <c r="F53" i="872"/>
  <c r="D53" i="872"/>
  <c r="G52" i="872"/>
  <c r="D52" i="872"/>
  <c r="F52" i="872" s="1"/>
  <c r="G51" i="872"/>
  <c r="D51" i="872"/>
  <c r="F51" i="872" s="1"/>
  <c r="G50" i="872"/>
  <c r="F50" i="872"/>
  <c r="D50" i="872"/>
  <c r="G49" i="872"/>
  <c r="F49" i="872"/>
  <c r="D49" i="872"/>
  <c r="G48" i="872"/>
  <c r="F48" i="872"/>
  <c r="D48" i="872"/>
  <c r="G47" i="872"/>
  <c r="F47" i="872"/>
  <c r="D47" i="872"/>
  <c r="G46" i="872"/>
  <c r="F46" i="872"/>
  <c r="D46" i="872"/>
  <c r="G45" i="872"/>
  <c r="F45" i="872"/>
  <c r="D45" i="872"/>
  <c r="G44" i="872"/>
  <c r="D44" i="872"/>
  <c r="F44" i="872" s="1"/>
  <c r="G43" i="872"/>
  <c r="D43" i="872"/>
  <c r="F43" i="872" s="1"/>
  <c r="G42" i="872"/>
  <c r="F42" i="872"/>
  <c r="D42" i="872"/>
  <c r="G41" i="872"/>
  <c r="F41" i="872"/>
  <c r="D41" i="872"/>
  <c r="G40" i="872"/>
  <c r="F40" i="872"/>
  <c r="D40" i="872"/>
  <c r="G39" i="872"/>
  <c r="F39" i="872"/>
  <c r="D39" i="872"/>
  <c r="G38" i="872"/>
  <c r="F38" i="872"/>
  <c r="D38" i="872"/>
  <c r="G37" i="872"/>
  <c r="F37" i="872"/>
  <c r="D37" i="872"/>
  <c r="G36" i="872"/>
  <c r="D36" i="872"/>
  <c r="F36" i="872" s="1"/>
  <c r="G30" i="872"/>
  <c r="D30" i="872"/>
  <c r="F30" i="872" s="1"/>
  <c r="G29" i="872"/>
  <c r="F29" i="872"/>
  <c r="D29" i="872"/>
  <c r="G28" i="872"/>
  <c r="F28" i="872"/>
  <c r="D28" i="872"/>
  <c r="G27" i="872"/>
  <c r="F27" i="872"/>
  <c r="D27" i="872"/>
  <c r="G26" i="872"/>
  <c r="F26" i="872"/>
  <c r="D26" i="872"/>
  <c r="G25" i="872"/>
  <c r="F25" i="872"/>
  <c r="D25" i="872"/>
  <c r="G24" i="872"/>
  <c r="F24" i="872"/>
  <c r="D24" i="872"/>
  <c r="G23" i="872"/>
  <c r="D23" i="872"/>
  <c r="F23" i="872" s="1"/>
  <c r="G22" i="872"/>
  <c r="D22" i="872"/>
  <c r="F22" i="872" s="1"/>
  <c r="G21" i="872"/>
  <c r="F21" i="872"/>
  <c r="D21" i="872"/>
  <c r="G20" i="872"/>
  <c r="F20" i="872"/>
  <c r="D20" i="872"/>
  <c r="G19" i="872"/>
  <c r="F19" i="872"/>
  <c r="D19" i="872"/>
  <c r="G18" i="872"/>
  <c r="F18" i="872"/>
  <c r="D18" i="872"/>
  <c r="G17" i="872"/>
  <c r="F17" i="872"/>
  <c r="D17" i="872"/>
  <c r="G16" i="872"/>
  <c r="F16" i="872"/>
  <c r="D16" i="872"/>
  <c r="G15" i="872"/>
  <c r="D15" i="872"/>
  <c r="F15" i="872" s="1"/>
  <c r="G14" i="872"/>
  <c r="D14" i="872"/>
  <c r="F14" i="872" s="1"/>
  <c r="G13" i="872"/>
  <c r="F13" i="872"/>
  <c r="D13" i="872"/>
  <c r="G12" i="872"/>
  <c r="F12" i="872"/>
  <c r="D12" i="872"/>
  <c r="G11" i="872"/>
  <c r="F11" i="872"/>
  <c r="D11" i="872"/>
  <c r="G10" i="872"/>
  <c r="F10" i="872"/>
  <c r="D10" i="872"/>
</calcChain>
</file>

<file path=xl/sharedStrings.xml><?xml version="1.0" encoding="utf-8"?>
<sst xmlns="http://schemas.openxmlformats.org/spreadsheetml/2006/main" count="981" uniqueCount="285">
  <si>
    <t>원아수</t>
  </si>
  <si>
    <t>1~2세</t>
  </si>
  <si>
    <t>3~5세</t>
  </si>
  <si>
    <t>메뉴명</t>
  </si>
  <si>
    <t>식재료명</t>
  </si>
  <si>
    <t>1인 제공량(g)</t>
  </si>
  <si>
    <t>총 발주량</t>
  </si>
  <si>
    <t>만드는방법</t>
  </si>
  <si>
    <t>깨</t>
  </si>
  <si>
    <t>참기름</t>
  </si>
  <si>
    <t>소금</t>
  </si>
  <si>
    <t>마늘</t>
  </si>
  <si>
    <t>물엿</t>
  </si>
  <si>
    <t>간장</t>
  </si>
  <si>
    <t>콩기름</t>
  </si>
  <si>
    <t>설탕</t>
  </si>
  <si>
    <t>당근</t>
  </si>
  <si>
    <t>양파</t>
  </si>
  <si>
    <t>양배추</t>
  </si>
  <si>
    <t>파</t>
  </si>
  <si>
    <t>무</t>
  </si>
  <si>
    <t>멸치</t>
  </si>
  <si>
    <t>다시마</t>
  </si>
  <si>
    <t>밀가루</t>
  </si>
  <si>
    <t>두부</t>
  </si>
  <si>
    <t>시금치</t>
  </si>
  <si>
    <t>후추</t>
  </si>
  <si>
    <t>돼지고기</t>
  </si>
  <si>
    <t>느타리버섯</t>
  </si>
  <si>
    <t>훈제오리</t>
  </si>
  <si>
    <t>백미</t>
  </si>
  <si>
    <t>오이</t>
  </si>
  <si>
    <t>감자</t>
  </si>
  <si>
    <t>쇠고기</t>
  </si>
  <si>
    <t>콩나물</t>
  </si>
  <si>
    <t>메추리알</t>
  </si>
  <si>
    <t>파래김</t>
  </si>
  <si>
    <t>애호박</t>
  </si>
  <si>
    <t>건미역</t>
  </si>
  <si>
    <t>고사리</t>
  </si>
  <si>
    <t>다진마늘</t>
  </si>
  <si>
    <t>김가루</t>
  </si>
  <si>
    <t>고등어</t>
  </si>
  <si>
    <t>된장</t>
  </si>
  <si>
    <t>청경채</t>
  </si>
  <si>
    <t>들깨가루</t>
  </si>
  <si>
    <t>배추</t>
  </si>
  <si>
    <t>달걀</t>
  </si>
  <si>
    <t>닭살</t>
  </si>
  <si>
    <t>들기름</t>
  </si>
  <si>
    <t>동태살</t>
  </si>
  <si>
    <t>① 쌀과 흑미를 씻은 후, 물에 불린다.
② 적당량의 물을 부어 밥을 짓는다.</t>
  </si>
  <si>
    <t>① 쌀을 씻어 물에 불린 후, 적당량의 물을 부어 밥을 짓는다.</t>
  </si>
  <si>
    <t>① 깍두기는 1x1cm 이하 크기로 작게 잘라 제공한다.</t>
  </si>
  <si>
    <t>① 배추김치는 1x1cm 이하 크기로 작게 잘라 제공한다.</t>
  </si>
  <si>
    <t>2025년 12월 1일 (월)</t>
  </si>
  <si>
    <t>당근</t>
    <phoneticPr fontId="2" type="noConversion"/>
  </si>
  <si>
    <t>쌀밥</t>
    <phoneticPr fontId="2" type="noConversion"/>
  </si>
  <si>
    <t>백미</t>
    <phoneticPr fontId="2" type="noConversion"/>
  </si>
  <si>
    <t>① 쌀을 씻어 물에 불린 후, 적당량의 물을 부어 밥을 짓는다.</t>
    <phoneticPr fontId="2" type="noConversion"/>
  </si>
  <si>
    <t>들깨미역국⑤⑥</t>
    <phoneticPr fontId="2" type="noConversion"/>
  </si>
  <si>
    <t>다진마늘</t>
    <phoneticPr fontId="2" type="noConversion"/>
  </si>
  <si>
    <t>쇠고기</t>
    <phoneticPr fontId="2" type="noConversion"/>
  </si>
  <si>
    <t>청경채나물⑤⑥</t>
    <phoneticPr fontId="2" type="noConversion"/>
  </si>
  <si>
    <t>간장</t>
    <phoneticPr fontId="2" type="noConversion"/>
  </si>
  <si>
    <t>깨</t>
    <phoneticPr fontId="2" type="noConversion"/>
  </si>
  <si>
    <t>배추김치⑨</t>
    <phoneticPr fontId="2" type="noConversion"/>
  </si>
  <si>
    <t>배추김치</t>
    <phoneticPr fontId="2" type="noConversion"/>
  </si>
  <si>
    <t>흑미밥</t>
    <phoneticPr fontId="2" type="noConversion"/>
  </si>
  <si>
    <t>흑미</t>
    <phoneticPr fontId="2" type="noConversion"/>
  </si>
  <si>
    <t>애호박새우젓국⑨</t>
    <phoneticPr fontId="2" type="noConversion"/>
  </si>
  <si>
    <t>새우젓</t>
  </si>
  <si>
    <t>양파</t>
    <phoneticPr fontId="2" type="noConversion"/>
  </si>
  <si>
    <t>파</t>
    <phoneticPr fontId="2" type="noConversion"/>
  </si>
  <si>
    <t>소금</t>
    <phoneticPr fontId="2" type="noConversion"/>
  </si>
  <si>
    <t>후추</t>
    <phoneticPr fontId="2" type="noConversion"/>
  </si>
  <si>
    <t>콩기름</t>
    <phoneticPr fontId="2" type="noConversion"/>
  </si>
  <si>
    <t>무</t>
    <phoneticPr fontId="2" type="noConversion"/>
  </si>
  <si>
    <t>식초</t>
    <phoneticPr fontId="2" type="noConversion"/>
  </si>
  <si>
    <t>설탕</t>
    <phoneticPr fontId="2" type="noConversion"/>
  </si>
  <si>
    <t>2025년 12월 3일 (수)</t>
  </si>
  <si>
    <t>다시마</t>
    <phoneticPr fontId="2" type="noConversion"/>
  </si>
  <si>
    <t>멸치</t>
    <phoneticPr fontId="2" type="noConversion"/>
  </si>
  <si>
    <t>참기름</t>
    <phoneticPr fontId="2" type="noConversion"/>
  </si>
  <si>
    <t>2025년 12월 4일 (목)</t>
  </si>
  <si>
    <t>연근</t>
    <phoneticPr fontId="2" type="noConversion"/>
  </si>
  <si>
    <t>2025년 12월 5일 (금)</t>
  </si>
  <si>
    <t>수수밥</t>
    <phoneticPr fontId="2" type="noConversion"/>
  </si>
  <si>
    <t>닭고기</t>
    <phoneticPr fontId="2" type="noConversion"/>
  </si>
  <si>
    <t>두부조림⑤⑥</t>
    <phoneticPr fontId="2" type="noConversion"/>
  </si>
  <si>
    <t>브로콜리</t>
    <phoneticPr fontId="2" type="noConversion"/>
  </si>
  <si>
    <t>참깨</t>
    <phoneticPr fontId="2" type="noConversion"/>
  </si>
  <si>
    <t>돼지고기</t>
    <phoneticPr fontId="2" type="noConversion"/>
  </si>
  <si>
    <t>감자</t>
    <phoneticPr fontId="2" type="noConversion"/>
  </si>
  <si>
    <t>감자국⑤⑥</t>
    <phoneticPr fontId="2" type="noConversion"/>
  </si>
  <si>
    <t>2025년 12월 8일 (월)</t>
  </si>
  <si>
    <t>물엿</t>
    <phoneticPr fontId="2" type="noConversion"/>
  </si>
  <si>
    <t>2025년 12월 9일 (화)</t>
  </si>
  <si>
    <t>기장밥</t>
    <phoneticPr fontId="2" type="noConversion"/>
  </si>
  <si>
    <t>① 쌀과 기장을 씻은 후, 물에 불린다.
② 적당량의 물을 부어 밥을 짓는다.</t>
    <phoneticPr fontId="2" type="noConversion"/>
  </si>
  <si>
    <t>기장</t>
    <phoneticPr fontId="2" type="noConversion"/>
  </si>
  <si>
    <t>2025년 12월 10일 (수)</t>
  </si>
  <si>
    <t>무채국⑤⑥</t>
    <phoneticPr fontId="2" type="noConversion"/>
  </si>
  <si>
    <t>피망</t>
    <phoneticPr fontId="2" type="noConversion"/>
  </si>
  <si>
    <t>2025년 12월 11일 (목)</t>
  </si>
  <si>
    <t>팽이버섯</t>
    <phoneticPr fontId="2" type="noConversion"/>
  </si>
  <si>
    <t>표고버섯</t>
    <phoneticPr fontId="2" type="noConversion"/>
  </si>
  <si>
    <t>청포묵</t>
  </si>
  <si>
    <t>2025년 12월 12일 (금)</t>
  </si>
  <si>
    <t>맑은두부국⑤⑥</t>
    <phoneticPr fontId="2" type="noConversion"/>
  </si>
  <si>
    <t>청경채</t>
    <phoneticPr fontId="2" type="noConversion"/>
  </si>
  <si>
    <t>2025년 12월 15일 (월)</t>
  </si>
  <si>
    <t>미역국⑤⑥</t>
    <phoneticPr fontId="2" type="noConversion"/>
  </si>
  <si>
    <t>애호박나물⑤</t>
    <phoneticPr fontId="2" type="noConversion"/>
  </si>
  <si>
    <t>달걀</t>
    <phoneticPr fontId="2" type="noConversion"/>
  </si>
  <si>
    <t>2025년 12월 16일 (화)</t>
  </si>
  <si>
    <t>새송이버섯</t>
    <phoneticPr fontId="2" type="noConversion"/>
  </si>
  <si>
    <t>콩나물무침⑤</t>
    <phoneticPr fontId="2" type="noConversion"/>
  </si>
  <si>
    <t>깍두기⑨</t>
    <phoneticPr fontId="2" type="noConversion"/>
  </si>
  <si>
    <t>깍두기</t>
    <phoneticPr fontId="2" type="noConversion"/>
  </si>
  <si>
    <t>2025년 12월 17일 (수)</t>
  </si>
  <si>
    <t>콩나물</t>
    <phoneticPr fontId="2" type="noConversion"/>
  </si>
  <si>
    <t>어묵</t>
  </si>
  <si>
    <t>2025년 12월 18일 (목)</t>
  </si>
  <si>
    <t>김자반⑤</t>
    <phoneticPr fontId="2" type="noConversion"/>
  </si>
  <si>
    <t>① 참기름을 두른 팬에 파래김을 볶는다.
② 소금, 설탕, 깨를 넣어 버무린다.</t>
    <phoneticPr fontId="2" type="noConversion"/>
  </si>
  <si>
    <t>2025년 12월 19일 (금)</t>
  </si>
  <si>
    <t>2025년 12월 22일 (월)</t>
  </si>
  <si>
    <t>브로콜리나물</t>
    <phoneticPr fontId="2" type="noConversion"/>
  </si>
  <si>
    <t>2025년 12월 23일 (화)</t>
  </si>
  <si>
    <t>① 쌀과 흑미를 씻은 후, 물에 불린다.
② 적당량의 물을 부어 밥을 짓는다.</t>
    <phoneticPr fontId="2" type="noConversion"/>
  </si>
  <si>
    <t>닭개장⑤⑥⑮</t>
    <phoneticPr fontId="2" type="noConversion"/>
  </si>
  <si>
    <t>닭가슴살</t>
    <phoneticPr fontId="2" type="noConversion"/>
  </si>
  <si>
    <t>두부구이⑤&amp;양념장⑤⑥</t>
    <phoneticPr fontId="2" type="noConversion"/>
  </si>
  <si>
    <t>① 두부를 먹기 좋게 썰고 소금을 뿌려 물기를 제거한다.
② 기름을 두른 팬에 두부를 앞뒤로 익힌다.
③ 양념장을 만들어 곁들인다.</t>
    <phoneticPr fontId="2" type="noConversion"/>
  </si>
  <si>
    <t>쑥갓</t>
    <phoneticPr fontId="2" type="noConversion"/>
  </si>
  <si>
    <t>2025년 12월 24일 (수)</t>
  </si>
  <si>
    <t>2025년 12월 26일 (금)</t>
  </si>
  <si>
    <t>두부</t>
    <phoneticPr fontId="2" type="noConversion"/>
  </si>
  <si>
    <t>2025년 12월 29일 (월)</t>
  </si>
  <si>
    <t>배추</t>
    <phoneticPr fontId="2" type="noConversion"/>
  </si>
  <si>
    <t>된장</t>
    <phoneticPr fontId="2" type="noConversion"/>
  </si>
  <si>
    <t>순살닭갈비⑤⑥⑮</t>
    <phoneticPr fontId="2" type="noConversion"/>
  </si>
  <si>
    <t>미역</t>
    <phoneticPr fontId="2" type="noConversion"/>
  </si>
  <si>
    <t>2025년 12월 30일 (화)</t>
  </si>
  <si>
    <t>2025년 12월 31일 (수)</t>
    <phoneticPr fontId="2" type="noConversion"/>
  </si>
  <si>
    <t>달걀파국①</t>
    <phoneticPr fontId="2" type="noConversion"/>
  </si>
  <si>
    <t xml:space="preserve">→ 이곳에 급식인원을 입력해주세요. 레시피에 자동으로 발주량이 계산됩니다. </t>
    <phoneticPr fontId="2" type="noConversion"/>
  </si>
  <si>
    <t>&lt;조리지시서 - 시간연장형&gt;</t>
    <phoneticPr fontId="2" type="noConversion"/>
  </si>
  <si>
    <t>① 쌀과 수수를 씻은 후, 물에 불린다.
② 적당량의 물을 부어 밥을 짓는다.</t>
    <phoneticPr fontId="2" type="noConversion"/>
  </si>
  <si>
    <t>수수</t>
    <phoneticPr fontId="2" type="noConversion"/>
  </si>
  <si>
    <r>
      <t>쇠고기감자국⑤⑥</t>
    </r>
    <r>
      <rPr>
        <sz val="10"/>
        <color theme="1"/>
        <rFont val="Segoe UI Symbol"/>
        <family val="3"/>
      </rPr>
      <t>⑯</t>
    </r>
    <phoneticPr fontId="2" type="noConversion"/>
  </si>
  <si>
    <t>① 쇠고기와 감자는 먹기 좋은 크기로 썰고 파는 송송 썬다.
② 냄비에 참기름을 두르고 쇠고기, 다진마늘, 간장을 넣고 
     볶다가 감자와  물을 넣어 끓인다.
③ 쇠고기와 감자가 익으면 ‘②’에 파를 넣고 소금, 후추로 
     간한다.</t>
    <phoneticPr fontId="2" type="noConversion"/>
  </si>
  <si>
    <t>채소달걀찜①</t>
    <phoneticPr fontId="2" type="noConversion"/>
  </si>
  <si>
    <t>① 당근, 양파, 파는 다진다.
② 볼에 달걀을 풀고 '①', 소금, 참기름을 넣고 섞어 찜기를 
     이용하거나 또는 냄비에 중탕하여 찐다.</t>
    <phoneticPr fontId="2" type="noConversion"/>
  </si>
  <si>
    <t>미역나물⑤⑥</t>
    <phoneticPr fontId="2" type="noConversion"/>
  </si>
  <si>
    <t>① 건미역은 물에 불린 후 먹기 좋게 잘라 물기를 제거한다.
③ 팬에 미역, 간장, 참기름, 깨를 넣어 버무린다.</t>
    <phoneticPr fontId="2" type="noConversion"/>
  </si>
  <si>
    <t>2025년 12월 2일 (화)</t>
  </si>
  <si>
    <t>차조밥</t>
    <phoneticPr fontId="2" type="noConversion"/>
  </si>
  <si>
    <t>① 쌀과 차조를 씻은 후, 물에 불린다.
② 적당량의 물을 부어 밥을 짓는다.</t>
    <phoneticPr fontId="2" type="noConversion"/>
  </si>
  <si>
    <t>차조</t>
    <phoneticPr fontId="2" type="noConversion"/>
  </si>
  <si>
    <t>① 다시마로 육수를 낸다.
② 무는 채 썬다.
③ 들기름을 두른 냄비에 다진 마늘과 '②'를 넣고 볶다가 '①'을 
     부어 끓인 후, 간장으로 간한다.</t>
    <phoneticPr fontId="2" type="noConversion"/>
  </si>
  <si>
    <t>들기름</t>
    <phoneticPr fontId="2" type="noConversion"/>
  </si>
  <si>
    <t>돈육당근조림⑤⑥⑩</t>
    <phoneticPr fontId="2" type="noConversion"/>
  </si>
  <si>
    <t>① 당근과 돼지고기는 한입 크기로 썬다.
② 분량의 양념을 섞어 양념장을 만든다.
③ 냄비에 '①', '②'와 물을 넣고 양념이 배어들도록 푹 조린다.</t>
    <phoneticPr fontId="2" type="noConversion"/>
  </si>
  <si>
    <t>청경채무침⑤⑥</t>
    <phoneticPr fontId="2" type="noConversion"/>
  </si>
  <si>
    <t>① 청경채는 끓는물에 소금을 넣고 데친 후 찬물에 헹궈 먹기 
     좋은  길이로 자른다. 
② ‘①’에 분량의 양념을 넣어 무친다.</t>
    <phoneticPr fontId="2" type="noConversion"/>
  </si>
  <si>
    <t>① 쌀과 기장을 씻은 후, 물에 불린다.
② 적당량의 물을 부어 밥을 짓는다.</t>
  </si>
  <si>
    <t>기장</t>
  </si>
  <si>
    <t>북엇국⑤⑥</t>
    <phoneticPr fontId="2" type="noConversion"/>
  </si>
  <si>
    <t>북어채</t>
  </si>
  <si>
    <t>① 무는 먹기 좋은 크기로 편썰고, 북어채는 물에 적신다.
② 참기름을 두른 냄비에 북어채를 볶다가 무를 넣어 
     볶는다.
③ '②'에 물을 넣고 끓이다가 다진 파, 마늘과 간장으로 
     간한다.</t>
    <phoneticPr fontId="2" type="noConversion"/>
  </si>
  <si>
    <t>① 채소는 한입 크기로 썰고 파는 어슷썬다.
② 닭살은 한입 크기로 썬 후 소금, 후추로 밑간한다.
③ 기름을 두른 팬에 다진 마늘, '②'를 넣고 볶다가 '①'과 분량의
     양념을 넣어 더 볶는다.</t>
    <phoneticPr fontId="2" type="noConversion"/>
  </si>
  <si>
    <t>팽이버섯나물⑤</t>
    <phoneticPr fontId="2" type="noConversion"/>
  </si>
  <si>
    <t>① 팽이버섯은 한입 크기로 자르고 끓는물에 살짝 데친 후, 
    물기를 짠다.
② 양파와 당근은 채썰어 기름을 두른 팬에 볶는다.
③ 당근이 살짝 익으면 ‘②’에 ‘①’을 넣어 한번 더 볶는다.
④ 다진마늘, 소금으로 간하고 깨를 뿌린다.</t>
    <phoneticPr fontId="2" type="noConversion"/>
  </si>
  <si>
    <t>① 다시마와 멸치로 육수를 낸다.
② 달걀은 풀고 파는 송송 썬다.
③ '①'에 다진마늘과 소금을 넣고 끓인다.
④ 중불로 낮추어 달걀물을 천천히 붓고 가볍게 저어준 후, 파를
     넣어 끓인다.</t>
    <phoneticPr fontId="2" type="noConversion"/>
  </si>
  <si>
    <r>
      <t>쇠고기연근조림⑤⑥</t>
    </r>
    <r>
      <rPr>
        <sz val="10"/>
        <rFont val="MS Gothic"/>
        <family val="3"/>
        <charset val="128"/>
      </rPr>
      <t>⑯</t>
    </r>
    <phoneticPr fontId="2" type="noConversion"/>
  </si>
  <si>
    <t xml:space="preserve">
① 핏물을 제거한 쇠고기와 연근은 한입 크기로 썰고 파는
     다진다.
② 연근은 식촛물에 끓인 후 건져낸다.
③ 분량의 양념으로 양념장을 만든다.
④ 냄비에 쇠고기, ‘②, ③’, 물을 넣어 조린다.
</t>
    <phoneticPr fontId="2" type="noConversion"/>
  </si>
  <si>
    <t>청주</t>
    <phoneticPr fontId="2" type="noConversion"/>
  </si>
  <si>
    <t>무나물</t>
    <phoneticPr fontId="2" type="noConversion"/>
  </si>
  <si>
    <t>① 무는 껍질을 벗겨 채 썬다.
② 들기름을 두른 팬에 '①', 다진 마늘, 소금을 넣고 볶는다.
③ 깨를 뿌려 담아낸다.</t>
    <phoneticPr fontId="2" type="noConversion"/>
  </si>
  <si>
    <t>두부된장국⑤⑥</t>
    <phoneticPr fontId="2" type="noConversion"/>
  </si>
  <si>
    <t>① 멸치와 다시마로 육수를 낸다.
② 두부와 양파는 한입 크기로 썰고 파는 송송 썬다.
③ '①'에 된장을 풀어 끓이다가 '②'와 다진 마늘을 넣어 끓인다.</t>
  </si>
  <si>
    <t>닭살브로콜리볶음⑤⑥⑮</t>
    <phoneticPr fontId="2" type="noConversion"/>
  </si>
  <si>
    <t>① 닭가슴살과 브로콜리, 양파는 적당한 크기로 썬다.
② 파는 송송 썬다.
③ 그릇에 닭가슴살을 담고 간장, 참기름, 후춧가루를 넣어
     골고루 버무린다.
④ 콩기름을 두른 팬에 다진 마늘과 '③'을 넣어 볶다가 파와 
     양파, 브로콜리를 넣고 함께 볶는다.</t>
    <phoneticPr fontId="2" type="noConversion"/>
  </si>
  <si>
    <t>느타리버섯국⑤⑥</t>
    <phoneticPr fontId="2" type="noConversion"/>
  </si>
  <si>
    <t>① 멸치와 다시마로 육수를 낸다.
② 느타리버섯은 잘게 찢고 양파는 한입 크기로 썰고, 파는 송송
     썬다.
③ '①'에 '②'를 넣고 끓이다가 다진 파, 다진 마늘, 간장을 넣어 
     간한다.</t>
    <phoneticPr fontId="2" type="noConversion"/>
  </si>
  <si>
    <t>돈육케첩조림
⑤⑥⑩⑫</t>
    <phoneticPr fontId="2" type="noConversion"/>
  </si>
  <si>
    <t>① 돼지고기, 피망과 양파는 한입 크기로 썬다.
② 다진 마늘, 토마토케첩, 간장, 물엿을 넣고 섞어 양념장을
     만든다.
③  팬에 돼지고기와 피망, 양파를 넣어 골고루 섞으며 볶는다.
④ '③'에 물과 양념장을 넣고 조린다.</t>
    <phoneticPr fontId="2" type="noConversion"/>
  </si>
  <si>
    <t>케첩</t>
    <phoneticPr fontId="2" type="noConversion"/>
  </si>
  <si>
    <t xml:space="preserve">① 콩나물은 끓는물에 데친 후 찬물에 헹궈 물기를 빼고 먹기 
    좋은 길이로 썬다.
② '①'에 분량의 양념을 넣어 무친다.  </t>
    <phoneticPr fontId="2" type="noConversion"/>
  </si>
  <si>
    <t>흰살생선국</t>
    <phoneticPr fontId="2" type="noConversion"/>
  </si>
  <si>
    <t>① 다시마와 멸치로 육수를 낸다.
② 동태살은 먹기 좋은 크기로 썰고 양파는 채 썰고, 파는 송송 
     썬다.
③ '①'에 '②'를 넣어 끓인다.
④ 소금, 다진 마늘, 파를 넣어 간을 한다.</t>
    <phoneticPr fontId="2" type="noConversion"/>
  </si>
  <si>
    <r>
      <t>쇠고기양파볶음⑤⑥</t>
    </r>
    <r>
      <rPr>
        <sz val="9"/>
        <color theme="1"/>
        <rFont val="맑은 고딕"/>
        <family val="3"/>
        <charset val="128"/>
      </rPr>
      <t>⑯</t>
    </r>
    <phoneticPr fontId="2" type="noConversion"/>
  </si>
  <si>
    <t>① 쇠고기는 핏물을 제거한 후 한입 크기로 썰어 소금, 후추로  
     밑간한다.
② 양파는 한입 크기로 썬다.
③ 분량의 양념을 섞어 양념장을 만든다.
④ 기름을 두른 팬에 '①'을 볶다가 '②'와 '③'을 넣어 더 볶는다.</t>
    <phoneticPr fontId="2" type="noConversion"/>
  </si>
  <si>
    <t>감자조림⑤⑥</t>
    <phoneticPr fontId="2" type="noConversion"/>
  </si>
  <si>
    <t>① 감자는 껍질을 벗겨 한입 크기로 깍둑 썬 후 물에 담가 
     전분기를 제거한다.
② 기름을 두른 팬에 감자를 넣고 살짝 볶는다.
③ ‘②’에 분량의 양념을 넣고 물을 감자가 잠길 정도로 넣어 
      조린다.
④ 양념이 ⅓정도 남으면 깨를 뿌려 마무리 한다.
Tip. 양념을 넣기 전에 감자를 볶아주면 모양이 부서지지 않는다.</t>
    <phoneticPr fontId="2" type="noConversion"/>
  </si>
  <si>
    <t>올리고당</t>
    <phoneticPr fontId="2" type="noConversion"/>
  </si>
  <si>
    <t>감자된장국⑤⑥</t>
    <phoneticPr fontId="2" type="noConversion"/>
  </si>
  <si>
    <t>① 다시마와 멸치로 육수를 낸다.
② 감자는 먹기 좋은 크기로 썰고 파는 송송 썬다.
③ '①'에 된장을 풀고 '②'를 넣고 끓이다가 다진 마늘로 간한다.</t>
    <phoneticPr fontId="2" type="noConversion"/>
  </si>
  <si>
    <t>돈육무조림⑤⑥⑩</t>
    <phoneticPr fontId="2" type="noConversion"/>
  </si>
  <si>
    <t>① 무와 돼지고기는 한입 크기로 썬다.
② 분량의 양념을 섞어 양념장을 만든다.
③ 냄비에 '①', '②'와 물을 넣고 양념이 배어들도록 푹 조린다.</t>
    <phoneticPr fontId="2" type="noConversion"/>
  </si>
  <si>
    <t>① 애호박은 먹기 좋은 크기로 편 썰고, 파는 다진다.
② 기름을 두른 팬에 애호박을 넣어 볶다가 다진 파, 다진마늘을
     넣고 소금으로 간하여 볶는다.
③ 깨를 뿌려낸다.</t>
    <phoneticPr fontId="2" type="noConversion"/>
  </si>
  <si>
    <t>청포묵국⑤⑥</t>
    <phoneticPr fontId="2" type="noConversion"/>
  </si>
  <si>
    <t>① 멸치와 다시마로 육수를 낸다.
② 청포묵은 1cm 두께로 채썰고 양파는 얇게 채썬 다음, 파는
     송송 썬다.
③ '①'에 '②'를 넣고 간장, 참기름으로 간하여 끓이다가
     김가루를 넣고 더 끓인다.
Tip. 양념한 다진 쇠고기를 볶아 물을 부어 끓인 쇠고기 육수도
         활용 가능하다.</t>
    <phoneticPr fontId="2" type="noConversion"/>
  </si>
  <si>
    <t>고등어조림⑤⑥⑦</t>
    <phoneticPr fontId="2" type="noConversion"/>
  </si>
  <si>
    <t>① 고등어는 깨끗이 씻어 핏물을 제거한 후, 물기를 뺀다.
② 양파는 채 썰고, 파는 다진다.
③ 분량의 양념을 섞어 양념장을 만든다.
④ 냄비에 '②'를 깔고 '①'을 올린 뒤 양념장을 부어 조린다.
⑤ 고등어살을 발라내어 제공한다.</t>
    <phoneticPr fontId="2" type="noConversion"/>
  </si>
  <si>
    <t>버섯나물⑤</t>
    <phoneticPr fontId="2" type="noConversion"/>
  </si>
  <si>
    <t>① 느타리버섯은 한입 크기로 찢고 끓는물에 살짝 데친 후, 
     물기를 짠다.
② 양파와 당근은 채썰어 기름을 두른 팬에 볶는다.
③ 당근이 살짝 익으면 ‘②’에 ‘①’을 넣어 한번 더 볶는다.
④ 다진 마늘, 소금으로 간하고 깨를 뿌린다.</t>
    <phoneticPr fontId="2" type="noConversion"/>
  </si>
  <si>
    <t xml:space="preserve">① 물에 닭가슴살, 파, 통 마늘을 넣고 끓여 국물은 육수로 
     사용한다.
② 삶은 닭가슴살은 찢고, 숙주는 다듬어 짧게 자른다.
③ 무는 나박썰기하고, 고사리는 먹기 좋은 길이로 썬다.
④ 육수에 '②', '③'과 파를 넣고 맛이 어우러질 때까지 끓인다.
⑤ 간장, 다진 마늘, 참기름으로 간한다.  </t>
    <phoneticPr fontId="2" type="noConversion"/>
  </si>
  <si>
    <t>숙주</t>
    <phoneticPr fontId="2" type="noConversion"/>
  </si>
  <si>
    <t>① 청경채는 끓는물에 소금을 넣고 데친 후 찬물에 헹궈 먹기 
     좋은 길이로 자른다.
② ‘①’에 분량의 양념을 넣어 무친다.</t>
    <phoneticPr fontId="2" type="noConversion"/>
  </si>
  <si>
    <t>애호박된장국⑤⑥</t>
    <phoneticPr fontId="2" type="noConversion"/>
  </si>
  <si>
    <t>① 다시마와 멸치로 육수를 낸다.
② 애호박과 양파는 먹기 좋은 크기로 썬다.
③ 파는 송송 썬다.
④ '①'에 된장을 풀고 '②'를 넣고 끓인다.
⑤ '④'에 다진 마늘과 '③'을 넣어 완성한다.</t>
    <phoneticPr fontId="2" type="noConversion"/>
  </si>
  <si>
    <t>닭갈비⑤⑥⑮</t>
    <phoneticPr fontId="2" type="noConversion"/>
  </si>
  <si>
    <t>미역무침</t>
    <phoneticPr fontId="2" type="noConversion"/>
  </si>
  <si>
    <t>미역</t>
  </si>
  <si>
    <t>① 건미역은 미지근한 물에 불린다.
② 불린 미역은 끓는 물에 살짝 데쳐 물기를 뺀 후 1.5cm 길이로
     썬다.
③ 볼에 미역, 다진 마늘, 식초, 소금, 깨, 참기름을 넣고 무친다.</t>
    <phoneticPr fontId="2" type="noConversion"/>
  </si>
  <si>
    <r>
      <t>훈제오리볶음밥
①②⑤⑥⑫</t>
    </r>
    <r>
      <rPr>
        <sz val="10"/>
        <color theme="1"/>
        <rFont val="Segoe UI Symbol"/>
        <family val="3"/>
      </rPr>
      <t>⑯</t>
    </r>
    <phoneticPr fontId="2" type="noConversion"/>
  </si>
  <si>
    <t>① 쌀은 불린 후 적당량의 물을 부어 밥을 짓는다.
② 훈제오리, 양파, 당근은 먹기 좋은 크기로 썬다.
③ 그릇에 간장, 참기름, 후춧가루를 넣고 섞어 양념를 만든다.
④ 팬에 기름을 두르고 다진 마늘을 볶다가 양파, 당근을 넣어 
     더 볶는다.
⑤ '④'에 훈제오리를 넣어 볶다가 '①'과 '③'을 넣은 후 더 
    볶는다.</t>
    <phoneticPr fontId="2" type="noConversion"/>
  </si>
  <si>
    <r>
      <t>가쓰오장국⑤⑥⑦⑨</t>
    </r>
    <r>
      <rPr>
        <sz val="11"/>
        <color theme="1"/>
        <rFont val="Segoe UI Symbol"/>
        <family val="3"/>
      </rPr>
      <t>⑯⑱</t>
    </r>
    <phoneticPr fontId="2" type="noConversion"/>
  </si>
  <si>
    <t>① 멸치, 다시마, 가다랑어포로 육수를 낸다. 
     (국수장국과 물을 1:3으로 섞어 활용 가능하다.)
② 파는 송송 썰고 쑥갓은 먹기 좋은 크기로 썬다.
③ '①'에 다진 마늘과 간장을 넣고 끓이다가 '②'를 넣어 함께
     끓인다.</t>
    <phoneticPr fontId="2" type="noConversion"/>
  </si>
  <si>
    <t>가다랑어포</t>
    <phoneticPr fontId="2" type="noConversion"/>
  </si>
  <si>
    <t>새송이버섯조림⑤⑥</t>
    <phoneticPr fontId="2" type="noConversion"/>
  </si>
  <si>
    <t>① 새송이버섯은 한입 크기로 썬다.
② 분량의 양념을 섞어 양념장을 만든다.
③ 냄비에 ‘①’과 ‘②’, 물을 넣어 조린다.
④ 마지막에 참기름과 깨를 넣고 잘 섞는다.</t>
    <phoneticPr fontId="2" type="noConversion"/>
  </si>
  <si>
    <t>① 미역은 물에 불려 염분기를 빼고, 먹기 좋은 크기로 자른다.
② 냄비에 참기름을 두르고 '①'과 다진마늘을 넣어 볶는다.
③ '②'에 물을 넣고 끓이다가 간장, 소금으로 간을 한다.</t>
    <phoneticPr fontId="2" type="noConversion"/>
  </si>
  <si>
    <r>
      <t>쇠고기청경채볶음⑤⑥</t>
    </r>
    <r>
      <rPr>
        <sz val="11"/>
        <rFont val="Segoe UI Symbol"/>
        <family val="3"/>
      </rPr>
      <t>⑯</t>
    </r>
    <phoneticPr fontId="2" type="noConversion"/>
  </si>
  <si>
    <t>① 쇠고기와 청경채는 먹기 좋은 크기로 썰고, 양파는 얇은 
     두께로 채썬다.
② 기름을 두른 팬에 다진 마늘, 쇠고기를 넣어 볶는다.
③ ‘②’에 양파, 청경채를 넣어 볶다가 분량의 양념을 넣고 다시
     볶아 깨를 뿌려 마무리한다.</t>
    <phoneticPr fontId="2" type="noConversion"/>
  </si>
  <si>
    <t xml:space="preserve">① 콩나물은 끓는 물에 데친 후 찬물에 헹궈 물기를 빼고 먹기 
     좋은 길이로 썰고 파는 다진다.
② '①'에 분량의 양념을 넣어 무친다.  </t>
    <phoneticPr fontId="2" type="noConversion"/>
  </si>
  <si>
    <r>
      <t>떡갈비조림
②⑤⑥⑩⑫</t>
    </r>
    <r>
      <rPr>
        <sz val="11"/>
        <rFont val="Segoe UI Symbol"/>
        <family val="3"/>
      </rPr>
      <t>⑯</t>
    </r>
    <phoneticPr fontId="2" type="noConversion"/>
  </si>
  <si>
    <t>떡갈비</t>
  </si>
  <si>
    <t>① 분량의 양념과 물을 섞는다.
② 냄비에 떡갈비와 '①'을 넣어 조린다.</t>
  </si>
  <si>
    <t>시금치나물⑤⑥</t>
    <phoneticPr fontId="2" type="noConversion"/>
  </si>
  <si>
    <t>① 시금치는 끓는 물에 소금을 넣고 데친 후 찬물에 헹궈 물기를
     빼고 2cm 길이로 썬다.
② '①'에 분량의 양념을 넣고 무친다.</t>
    <phoneticPr fontId="2" type="noConversion"/>
  </si>
  <si>
    <t>맑은배추국</t>
    <phoneticPr fontId="2" type="noConversion"/>
  </si>
  <si>
    <t>① 멸치와 다시마로 육수를 낸다.
② 배추는 채 썰고 파는 송송 썬다.                               
③ '①'에 '②', 다진 마늘, 파를 넣고 끓이다가 소금으로 간한다.</t>
  </si>
  <si>
    <t>돈육양파구이⑤⑩</t>
    <phoneticPr fontId="2" type="noConversion"/>
  </si>
  <si>
    <t>① 돼지고기와 양파는 먹기 좋은 크기로 썬다.
② 청주에 돼지고기를 재운다.
③ 기름을 두른 팬에 '②'를 넣고 굽다가 소금, 후추로 간하고 
     양파를 넣고 더 굽는다.</t>
    <phoneticPr fontId="2" type="noConversion"/>
  </si>
  <si>
    <t>오이나물</t>
    <phoneticPr fontId="2" type="noConversion"/>
  </si>
  <si>
    <t>① 오이는 반달모양으로 얇게 썰어 소금에 절였다가 물기를 짠다.
② 참기름을 두른 팬에 '①'을 볶다가 분량의 양념으로 간한다.</t>
    <phoneticPr fontId="2" type="noConversion"/>
  </si>
  <si>
    <r>
      <t>쇠고기당면국⑤⑥</t>
    </r>
    <r>
      <rPr>
        <sz val="11"/>
        <color theme="1"/>
        <rFont val="Segoe UI Symbol"/>
        <family val="3"/>
      </rPr>
      <t>⑯</t>
    </r>
    <phoneticPr fontId="2" type="noConversion"/>
  </si>
  <si>
    <t>① 쇠고기로 육수를 낸 후, 고기는 건져 잘게 찢는다.
② 당면은 물에 불려 짧게 자르고, 무는 나박썬다.
③ 육수에 찢은 쇠고기, 무를 넣고 끓이다가 당면을 넣어 더 
     끓인다.
④ 송송 썬 파와 소금, 간장을 넣어 간한다.</t>
    <phoneticPr fontId="2" type="noConversion"/>
  </si>
  <si>
    <t>당면</t>
  </si>
  <si>
    <t>① 무는 껍질을 벗겨 채썬다. 
② 들기름을 두른 팬에 '①', 다진 마늘, 소금을 넣고 볶는다.
③ 깨를 뿌려 담아낸다.</t>
    <phoneticPr fontId="2" type="noConversion"/>
  </si>
  <si>
    <t xml:space="preserve">① 다시마와 멸치로 육수를 낸다.
② 두부와 양파를 먹기 좋은 크기로 썰고, 파는 송송 썬다.
③ '①'에 '②'를 넣고 끓이다가 간장, 소금, 다진 마늘로 간한다. </t>
    <phoneticPr fontId="2" type="noConversion"/>
  </si>
  <si>
    <r>
      <t>닭살데리야끼조림
⑤⑥⑫⑮</t>
    </r>
    <r>
      <rPr>
        <sz val="11"/>
        <color theme="1"/>
        <rFont val="Segoe UI Symbol"/>
        <family val="3"/>
      </rPr>
      <t>⑯⑱</t>
    </r>
    <phoneticPr fontId="2" type="noConversion"/>
  </si>
  <si>
    <t>① 냄비에 마늘, 다시마, 물을 넣고 끓이다가 간장, 맛술, 청주, 
     흑설탕을 넣고 졸여 데리야끼소스를 만든다.
② 닭살과 양파는 한입 크기로 썬다. 
③ 기름을 두른 팬에 '②'을 넣고 볶는다.
④ '③'에 '①'을 넣고 조린다.</t>
    <phoneticPr fontId="2" type="noConversion"/>
  </si>
  <si>
    <t>데리야끼소스</t>
  </si>
  <si>
    <t>맛술</t>
  </si>
  <si>
    <t>청주</t>
  </si>
  <si>
    <t>흑설탕</t>
  </si>
  <si>
    <t>김구이</t>
    <phoneticPr fontId="2" type="noConversion"/>
  </si>
  <si>
    <t>김</t>
  </si>
  <si>
    <t>① 김에 참기름과 소금을 발라 구워준다.</t>
    <phoneticPr fontId="2" type="noConversion"/>
  </si>
  <si>
    <t>흑미</t>
  </si>
  <si>
    <t>① 멸치와 다시마로 육수를 낸다.
② 애호박과 양파는 먹기 좋은 크기로 썬다.
③ '①'에 '②'를 넣고 다진마늘과 새우젓으로 간한다.</t>
    <phoneticPr fontId="2" type="noConversion"/>
  </si>
  <si>
    <t>돈육콩나물볶음⑤⑥⑩</t>
    <phoneticPr fontId="2" type="noConversion"/>
  </si>
  <si>
    <t>① 돼지고기, 양파, 당근은 적당한 크기로 썬다.
② 파는 채 썬다.
③ 그릇에 돼지고기를 담고 다진 마늘, 간장, 설탕, 참기름, 
     후춧가루를 넣어 골고루 버무린다.
④ 기름을 두른 팬에 '③'을 넣어 볶다가 당근, 양파, 파, 콩나물을
     넣고 볶는다.</t>
    <phoneticPr fontId="2" type="noConversion"/>
  </si>
  <si>
    <t>상추무침⑤⑥</t>
    <phoneticPr fontId="2" type="noConversion"/>
  </si>
  <si>
    <t>상추</t>
    <phoneticPr fontId="2" type="noConversion"/>
  </si>
  <si>
    <t>① 상추는 먹기 좋은 크기로 썰어 찬물에 담가둔 다음 체에
     밭쳐 물기를 뺀다.
② 분량의 양념을 섞어 양념장을 만들고 '①'을 넣어 무친다.</t>
    <phoneticPr fontId="2" type="noConversion"/>
  </si>
  <si>
    <t>메뉴명</t>
    <phoneticPr fontId="2" type="noConversion"/>
  </si>
  <si>
    <t xml:space="preserve">① 다시마와 멸치로 육수를 낸다.
② 감자는 먹기 좋은 크기로 썰고, 파는 송송 썬다.
③ '①'에 '②'를 넣고 끓이다가 간장, 소금, 다진 마늘, 파로
     간한다.             </t>
  </si>
  <si>
    <r>
      <t>쇠고기무장조림⑤⑥</t>
    </r>
    <r>
      <rPr>
        <sz val="10"/>
        <rFont val="MS Gothic"/>
        <family val="3"/>
        <charset val="128"/>
      </rPr>
      <t>⑯</t>
    </r>
    <phoneticPr fontId="2" type="noConversion"/>
  </si>
  <si>
    <t>① 쇠고기는 먹기 좋은 길이로 잘라 끓는 물에 양파, 통후추, 
     청주를 넣어 함께 삶아 기름을 제거한다.
② 무는 한입 크기로 굵게 편썰기한다.
③ ‘①’이 익으면 찬물에 씻어 식힌 후, 결대로 찢는다.
④ 냄비에 물과 다시마를 넣고 육수를 낸 후, 끓어오르면 다시마
     를 건지고 분량의 양념과 ‘②’, ‘③’을 넣어 조린다.</t>
    <phoneticPr fontId="2" type="noConversion"/>
  </si>
  <si>
    <t>① 브로콜리는 끓는 물에 데친 후 한입 크기로 자른다.
② ‘①’에 소금, 참기름, 깨를 넣어 무친다.</t>
    <phoneticPr fontId="2" type="noConversion"/>
  </si>
  <si>
    <t>닭곰탕⑮</t>
    <phoneticPr fontId="2" type="noConversion"/>
  </si>
  <si>
    <t>① 냄비에 물을 붓고 닭으로 육수를 우려낸 후, 닭이 익으면 건져
     살을 바른다.
② 파는 송송 썰고 무와 양파는 채 썬다.
③ 육수에 살을 발라 둔 닭고기와 '②', 다진마늘을 넣고 끓이다가
     소금, 후추로 간한다.</t>
    <phoneticPr fontId="2" type="noConversion"/>
  </si>
  <si>
    <r>
      <t>돈육완자전
①②⑤⑥⑩⑮</t>
    </r>
    <r>
      <rPr>
        <sz val="11"/>
        <color theme="1"/>
        <rFont val="Segoe UI Symbol"/>
        <family val="3"/>
      </rPr>
      <t>⑯⑱</t>
    </r>
    <phoneticPr fontId="2" type="noConversion"/>
  </si>
  <si>
    <t>다진돼지고기</t>
  </si>
  <si>
    <t>① 다진 돼지고기는 핏물을 제거한다.
② 당근, 양파는 잘게 다진다.
③ '①'에 '②'와 달걀, 밀가루, 소금을 넣고 섞는다.
④ 기름을 두른 팬에 '③'을 한 수저씩 떠 넣어 부친다.</t>
    <phoneticPr fontId="2" type="noConversion"/>
  </si>
  <si>
    <t>배추된장무침⑤⑥</t>
    <phoneticPr fontId="2" type="noConversion"/>
  </si>
  <si>
    <t>① 배추는 끓는 물에 소금을 넣어 데쳐 물기를 제거한 후 한입 
     크기로 썰고, 파는 다진다.
② 그릇에 ‘①’과 분량의 양념을 넣어 무친다.</t>
    <phoneticPr fontId="2" type="noConversion"/>
  </si>
  <si>
    <r>
      <t>달걀표고버섯덮밥
①⑤⑥⑨</t>
    </r>
    <r>
      <rPr>
        <sz val="10"/>
        <rFont val="Segoe UI Symbol"/>
        <family val="3"/>
      </rPr>
      <t>⑱</t>
    </r>
    <phoneticPr fontId="2" type="noConversion"/>
  </si>
  <si>
    <t>① 쌀은 씻어 밥을 짓고, 달걀은 그릇에 풀어둔다.
② 표고버섯과 당근 등 채소를 다진다.
③ 기름을 두른 팬에 양파를 볶다가 당근, 표고버섯을 넣고
     볶는다.
④ ‘③’에 분량의 양념을 넣고 볶은 후 파와 물을 넣어 끓이다가,
     달걀물을 풀고 전분물로 농도를 맞춘다.
⑤ 밥 위에 ‘④’를 부은 후 깨를 뿌려 마무리한다.</t>
    <phoneticPr fontId="2" type="noConversion"/>
  </si>
  <si>
    <t>굴소스</t>
    <phoneticPr fontId="2" type="noConversion"/>
  </si>
  <si>
    <t>전분</t>
    <phoneticPr fontId="2" type="noConversion"/>
  </si>
  <si>
    <t>① 미역은 물에 불려 염분기를 빼고, 먹기 좋은 크기로 자른다.
② 멸치와 다시마로 육수를 낸다.
③ 냄비에 참기름을 두르고 '①'과 다진마늘을 넣어 볶는다.
④ '③'에 육수를 넣고 끓이다가 들깨가루, 간장, 소금으로 
     간한다.</t>
    <phoneticPr fontId="2" type="noConversion"/>
  </si>
  <si>
    <t>① 두부는 편썰고, 파는 어슷썬다.
② 키친타월로 두부의 물기를 제거한 후, 기름을 두른 팬에 
     노릇하게 지진다. 
③ 분량의 양념을 섞어 양념장을 만든다.
④ 냄비에 '②'를 담고 '③'과 물을 섞어 고루 끼얹은 후, 파를 
     얹어 조린다.</t>
    <phoneticPr fontId="2" type="noConversion"/>
  </si>
  <si>
    <r>
      <t>어묵국
①②⑤⑥⑧⑨</t>
    </r>
    <r>
      <rPr>
        <sz val="11"/>
        <color theme="1"/>
        <rFont val="Segoe UI Symbol"/>
        <family val="3"/>
      </rPr>
      <t>⑱</t>
    </r>
    <phoneticPr fontId="2" type="noConversion"/>
  </si>
  <si>
    <t xml:space="preserve">
① 멸치와 다시마로 육수를 낸다.
② 어묵은 한입 크기로 썰고, 파는 송송 썬다.
③ '①'에 '②'를 넣고 끓인 후 다진 마늘, 간장으로 간한다.  
</t>
  </si>
  <si>
    <t>돈육메추리알장조림
①⑤⑥⑩</t>
    <phoneticPr fontId="2" type="noConversion"/>
  </si>
  <si>
    <t>① 돼지고기는 한입 크기로 썰고, 메추리알은 삶아서 껍질을
     벗긴다.
② 분량의 양념으로 양념장을 만든다.
③ 냄비에 '①'의 재료가 잠기도록 물을 붓고 '②'를 넣어 조린다.
④ 메추리알은 ½로 잘라 제공한다.</t>
    <phoneticPr fontId="2" type="noConversion"/>
  </si>
  <si>
    <t>감자볶음⑤</t>
    <phoneticPr fontId="2" type="noConversion"/>
  </si>
  <si>
    <t>① 감자, 양파는 한 입 크기로 썰고, 파는 다진다.
② 기름을 두른 팬에 '①'을 볶는다.
③ 다진 마늘, 소금, 참기름으로 간하고 살짝 더 볶는다.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</si>
</sst>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"/>
    <numFmt numFmtId="177" formatCode="0_ "/>
    <numFmt numFmtId="178" formatCode="0.0_);[Red]\(0.0\)"/>
    <numFmt numFmtId="179" formatCode="0_);[Red]\(0\)"/>
    <numFmt numFmtId="180" formatCode="0.0_ 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9"/>
      <name val="Arial"/>
      <family val="2"/>
    </font>
    <font>
      <sz val="11"/>
      <color theme="1"/>
      <name val="한컴산뜻돋움"/>
      <family val="3"/>
      <charset val="129"/>
    </font>
    <font>
      <b/>
      <sz val="11"/>
      <color theme="1"/>
      <name val="한컴산뜻돋움"/>
      <family val="3"/>
      <charset val="129"/>
    </font>
    <font>
      <sz val="12"/>
      <color rgb="FFFF0000"/>
      <name val="한컴산뜻돋움"/>
      <family val="3"/>
      <charset val="129"/>
    </font>
    <font>
      <b/>
      <sz val="14"/>
      <name val="한컴산뜻돋움"/>
      <family val="3"/>
      <charset val="129"/>
    </font>
    <font>
      <sz val="10"/>
      <color theme="1"/>
      <name val="한컴산뜻돋움"/>
      <family val="3"/>
      <charset val="129"/>
    </font>
    <font>
      <sz val="10"/>
      <name val="한컴산뜻돋움"/>
      <family val="3"/>
      <charset val="129"/>
    </font>
    <font>
      <sz val="9"/>
      <name val="한컴산뜻돋움"/>
      <family val="3"/>
      <charset val="129"/>
    </font>
    <font>
      <sz val="10"/>
      <name val="Segoe UI Symbol"/>
      <family val="3"/>
    </font>
    <font>
      <sz val="10"/>
      <color theme="1"/>
      <name val="Segoe UI Symbol"/>
      <family val="3"/>
    </font>
    <font>
      <sz val="11"/>
      <color theme="1"/>
      <name val="Segoe UI Symbol"/>
      <family val="3"/>
    </font>
    <font>
      <sz val="11"/>
      <name val="Segoe UI Symbol"/>
      <family val="3"/>
    </font>
    <font>
      <sz val="10"/>
      <name val="MS Gothic"/>
      <family val="3"/>
      <charset val="128"/>
    </font>
    <font>
      <b/>
      <sz val="28"/>
      <name val="한컴산뜻돋움"/>
      <family val="3"/>
      <charset val="129"/>
    </font>
    <font>
      <sz val="9"/>
      <color theme="1"/>
      <name val="맑은 고딕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FFFF9F"/>
        <bgColor indexed="64"/>
      </patternFill>
    </fill>
    <fill>
      <patternFill patternType="solid">
        <fgColor rgb="FFFF9B9B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39">
    <border>
      <left/>
      <right/>
      <top/>
      <bottom/>
      <diagonal/>
    </border>
    <border>
      <left style="thick">
        <color rgb="FF0000FF"/>
      </left>
      <right style="thick">
        <color rgb="FF0000FF"/>
      </right>
      <top style="thick">
        <color rgb="FF0000FF"/>
      </top>
      <bottom style="thick">
        <color rgb="FF0000FF"/>
      </bottom>
      <diagonal/>
    </border>
    <border>
      <left style="thick">
        <color rgb="FF0000FF"/>
      </left>
      <right/>
      <top/>
      <bottom/>
      <diagonal/>
    </border>
    <border>
      <left style="thick">
        <color rgb="FF0000FF"/>
      </left>
      <right style="thick">
        <color rgb="FF0000FF"/>
      </right>
      <top style="thick">
        <color rgb="FF0000FF"/>
      </top>
      <bottom/>
      <diagonal/>
    </border>
    <border>
      <left style="thick">
        <color rgb="FF0000FF"/>
      </left>
      <right style="thick">
        <color rgb="FF0000FF"/>
      </right>
      <top/>
      <bottom style="thick">
        <color rgb="FF0000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indexed="64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double">
        <color auto="1"/>
      </right>
      <top style="thin">
        <color auto="1"/>
      </top>
      <bottom style="double">
        <color auto="1"/>
      </bottom>
      <diagonal/>
    </border>
  </borders>
  <cellStyleXfs count="12">
    <xf numFmtId="0" fontId="0" fillId="0" borderId="0">
      <alignment vertical="center"/>
    </xf>
    <xf numFmtId="0" fontId="1" fillId="0" borderId="0">
      <alignment vertical="center"/>
    </xf>
    <xf numFmtId="0" fontId="3" fillId="0" borderId="0"/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99">
    <xf numFmtId="0" fontId="0" fillId="0" borderId="0" xfId="0">
      <alignment vertical="center"/>
    </xf>
    <xf numFmtId="0" fontId="6" fillId="0" borderId="0" xfId="0" applyFo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77" fontId="10" fillId="0" borderId="5" xfId="0" applyNumberFormat="1" applyFont="1" applyBorder="1" applyAlignment="1">
      <alignment horizontal="center" vertical="center"/>
    </xf>
    <xf numFmtId="0" fontId="10" fillId="0" borderId="13" xfId="4" applyFont="1" applyBorder="1" applyAlignment="1">
      <alignment horizontal="center" vertical="center" shrinkToFit="1"/>
    </xf>
    <xf numFmtId="0" fontId="11" fillId="0" borderId="5" xfId="0" applyFont="1" applyBorder="1" applyAlignment="1">
      <alignment horizontal="center" vertical="center" shrinkToFit="1"/>
    </xf>
    <xf numFmtId="0" fontId="10" fillId="0" borderId="13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8" fontId="10" fillId="0" borderId="5" xfId="0" applyNumberFormat="1" applyFont="1" applyBorder="1" applyAlignment="1">
      <alignment horizontal="center" vertical="center"/>
    </xf>
    <xf numFmtId="0" fontId="10" fillId="0" borderId="5" xfId="1" applyFont="1" applyBorder="1" applyAlignment="1">
      <alignment horizontal="center" vertical="center" shrinkToFit="1"/>
    </xf>
    <xf numFmtId="179" fontId="10" fillId="0" borderId="5" xfId="0" applyNumberFormat="1" applyFont="1" applyBorder="1" applyAlignment="1">
      <alignment horizontal="center" vertical="center"/>
    </xf>
    <xf numFmtId="180" fontId="10" fillId="0" borderId="5" xfId="0" applyNumberFormat="1" applyFont="1" applyBorder="1" applyAlignment="1">
      <alignment horizontal="center" vertical="center"/>
    </xf>
    <xf numFmtId="176" fontId="10" fillId="0" borderId="5" xfId="0" applyNumberFormat="1" applyFont="1" applyBorder="1" applyAlignment="1">
      <alignment horizontal="center" vertical="center"/>
    </xf>
    <xf numFmtId="0" fontId="10" fillId="0" borderId="12" xfId="1" applyFont="1" applyBorder="1" applyAlignment="1">
      <alignment horizontal="center" vertical="center" shrinkToFit="1"/>
    </xf>
    <xf numFmtId="1" fontId="10" fillId="0" borderId="5" xfId="0" applyNumberFormat="1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 shrinkToFit="1"/>
    </xf>
    <xf numFmtId="0" fontId="10" fillId="0" borderId="26" xfId="0" applyFont="1" applyBorder="1" applyAlignment="1">
      <alignment horizontal="center" vertical="center"/>
    </xf>
    <xf numFmtId="0" fontId="12" fillId="0" borderId="0" xfId="3" applyFont="1">
      <alignment vertical="center"/>
    </xf>
    <xf numFmtId="0" fontId="10" fillId="0" borderId="0" xfId="0" applyFont="1" applyAlignment="1">
      <alignment horizontal="center" vertical="center" shrinkToFit="1"/>
    </xf>
    <xf numFmtId="0" fontId="10" fillId="0" borderId="0" xfId="0" applyFont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179" fontId="11" fillId="0" borderId="5" xfId="0" applyNumberFormat="1" applyFont="1" applyBorder="1" applyAlignment="1">
      <alignment horizontal="center" vertical="center"/>
    </xf>
    <xf numFmtId="178" fontId="11" fillId="0" borderId="5" xfId="0" applyNumberFormat="1" applyFont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0" fontId="10" fillId="0" borderId="5" xfId="4" applyFont="1" applyBorder="1" applyAlignment="1">
      <alignment horizontal="center" vertical="center" shrinkToFit="1"/>
    </xf>
    <xf numFmtId="0" fontId="6" fillId="0" borderId="0" xfId="0" applyFont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10" fillId="0" borderId="26" xfId="1" applyFont="1" applyBorder="1" applyAlignment="1">
      <alignment horizontal="center" vertical="center" wrapText="1" shrinkToFit="1"/>
    </xf>
    <xf numFmtId="0" fontId="11" fillId="0" borderId="12" xfId="0" applyFont="1" applyBorder="1" applyAlignment="1">
      <alignment horizontal="center" vertical="center" shrinkToFit="1"/>
    </xf>
    <xf numFmtId="0" fontId="10" fillId="0" borderId="26" xfId="1" applyFont="1" applyBorder="1" applyAlignment="1">
      <alignment horizontal="center" vertical="center" shrinkToFit="1"/>
    </xf>
    <xf numFmtId="179" fontId="10" fillId="0" borderId="26" xfId="0" applyNumberFormat="1" applyFont="1" applyBorder="1" applyAlignment="1">
      <alignment horizontal="center" vertical="center"/>
    </xf>
    <xf numFmtId="0" fontId="10" fillId="0" borderId="0" xfId="0" applyFont="1" applyAlignment="1">
      <alignment vertical="center" wrapText="1"/>
    </xf>
    <xf numFmtId="180" fontId="10" fillId="0" borderId="12" xfId="0" applyNumberFormat="1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 shrinkToFit="1"/>
    </xf>
    <xf numFmtId="0" fontId="10" fillId="0" borderId="16" xfId="0" applyFont="1" applyBorder="1" applyAlignment="1">
      <alignment horizontal="center" vertical="center" shrinkToFit="1"/>
    </xf>
    <xf numFmtId="0" fontId="10" fillId="0" borderId="36" xfId="0" applyFont="1" applyBorder="1" applyAlignment="1">
      <alignment horizontal="center" vertical="center" shrinkToFit="1"/>
    </xf>
    <xf numFmtId="0" fontId="10" fillId="0" borderId="30" xfId="0" applyFont="1" applyBorder="1" applyAlignment="1">
      <alignment horizontal="center" vertical="center" shrinkToFit="1"/>
    </xf>
    <xf numFmtId="0" fontId="11" fillId="0" borderId="5" xfId="0" applyFont="1" applyBorder="1" applyAlignment="1">
      <alignment horizontal="center" vertical="center"/>
    </xf>
    <xf numFmtId="0" fontId="10" fillId="0" borderId="0" xfId="1" applyFont="1" applyAlignment="1">
      <alignment vertical="center" wrapText="1"/>
    </xf>
    <xf numFmtId="177" fontId="10" fillId="0" borderId="26" xfId="0" applyNumberFormat="1" applyFont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0" fontId="7" fillId="4" borderId="17" xfId="0" applyFont="1" applyFill="1" applyBorder="1" applyAlignment="1">
      <alignment horizontal="center" vertical="center"/>
    </xf>
    <xf numFmtId="0" fontId="7" fillId="4" borderId="18" xfId="0" applyFont="1" applyFill="1" applyBorder="1" applyAlignment="1">
      <alignment horizontal="center" vertical="center"/>
    </xf>
    <xf numFmtId="0" fontId="7" fillId="4" borderId="22" xfId="0" applyFont="1" applyFill="1" applyBorder="1" applyAlignment="1">
      <alignment horizontal="center" vertical="center"/>
    </xf>
    <xf numFmtId="0" fontId="7" fillId="4" borderId="23" xfId="0" applyFont="1" applyFill="1" applyBorder="1" applyAlignment="1">
      <alignment horizontal="center" vertical="center"/>
    </xf>
    <xf numFmtId="0" fontId="7" fillId="4" borderId="24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center" wrapText="1"/>
    </xf>
    <xf numFmtId="0" fontId="10" fillId="0" borderId="18" xfId="0" applyFont="1" applyBorder="1" applyAlignment="1">
      <alignment horizontal="left" vertical="center" wrapText="1"/>
    </xf>
    <xf numFmtId="0" fontId="10" fillId="0" borderId="20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21" xfId="0" applyFont="1" applyBorder="1" applyAlignment="1">
      <alignment horizontal="left" vertical="center" wrapText="1"/>
    </xf>
    <xf numFmtId="0" fontId="10" fillId="0" borderId="22" xfId="0" applyFont="1" applyBorder="1" applyAlignment="1">
      <alignment horizontal="left" vertical="center" wrapText="1"/>
    </xf>
    <xf numFmtId="0" fontId="10" fillId="0" borderId="23" xfId="0" applyFont="1" applyBorder="1" applyAlignment="1">
      <alignment horizontal="left" vertical="center" wrapText="1"/>
    </xf>
    <xf numFmtId="0" fontId="10" fillId="0" borderId="24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10" xfId="0" applyFont="1" applyBorder="1" applyAlignment="1">
      <alignment horizontal="left" vertical="center" wrapText="1"/>
    </xf>
    <xf numFmtId="0" fontId="10" fillId="0" borderId="16" xfId="4" applyFont="1" applyBorder="1" applyAlignment="1">
      <alignment horizontal="left" vertical="center" wrapText="1"/>
    </xf>
    <xf numFmtId="0" fontId="10" fillId="0" borderId="17" xfId="4" applyFont="1" applyBorder="1" applyAlignment="1">
      <alignment horizontal="left" vertical="center" wrapText="1"/>
    </xf>
    <xf numFmtId="0" fontId="10" fillId="0" borderId="18" xfId="4" applyFont="1" applyBorder="1" applyAlignment="1">
      <alignment horizontal="left" vertical="center" wrapText="1"/>
    </xf>
    <xf numFmtId="0" fontId="10" fillId="0" borderId="20" xfId="4" applyFont="1" applyBorder="1" applyAlignment="1">
      <alignment horizontal="left" vertical="center" wrapText="1"/>
    </xf>
    <xf numFmtId="0" fontId="10" fillId="0" borderId="0" xfId="4" applyFont="1" applyAlignment="1">
      <alignment horizontal="left" vertical="center" wrapText="1"/>
    </xf>
    <xf numFmtId="0" fontId="10" fillId="0" borderId="21" xfId="4" applyFont="1" applyBorder="1" applyAlignment="1">
      <alignment horizontal="left" vertical="center" wrapText="1"/>
    </xf>
    <xf numFmtId="0" fontId="10" fillId="0" borderId="22" xfId="4" applyFont="1" applyBorder="1" applyAlignment="1">
      <alignment horizontal="left" vertical="center" wrapText="1"/>
    </xf>
    <xf numFmtId="0" fontId="10" fillId="0" borderId="23" xfId="4" applyFont="1" applyBorder="1" applyAlignment="1">
      <alignment horizontal="left" vertical="center" wrapText="1"/>
    </xf>
    <xf numFmtId="0" fontId="10" fillId="0" borderId="24" xfId="4" applyFont="1" applyBorder="1" applyAlignment="1">
      <alignment horizontal="left" vertical="center" wrapText="1"/>
    </xf>
    <xf numFmtId="0" fontId="10" fillId="0" borderId="36" xfId="4" applyFont="1" applyBorder="1" applyAlignment="1">
      <alignment horizontal="left" vertical="center" wrapText="1"/>
    </xf>
    <xf numFmtId="0" fontId="10" fillId="0" borderId="37" xfId="4" applyFont="1" applyBorder="1" applyAlignment="1">
      <alignment horizontal="left" vertical="center" wrapText="1"/>
    </xf>
    <xf numFmtId="0" fontId="10" fillId="0" borderId="38" xfId="4" applyFont="1" applyBorder="1" applyAlignment="1">
      <alignment horizontal="left" vertical="center" wrapText="1"/>
    </xf>
    <xf numFmtId="0" fontId="7" fillId="4" borderId="11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0" fontId="7" fillId="4" borderId="30" xfId="0" applyFont="1" applyFill="1" applyBorder="1" applyAlignment="1">
      <alignment horizontal="center" vertical="center"/>
    </xf>
    <xf numFmtId="0" fontId="10" fillId="0" borderId="5" xfId="1" applyFont="1" applyBorder="1" applyAlignment="1">
      <alignment horizontal="left" vertical="center" wrapText="1"/>
    </xf>
    <xf numFmtId="0" fontId="10" fillId="0" borderId="10" xfId="1" applyFont="1" applyBorder="1" applyAlignment="1">
      <alignment horizontal="left" vertical="center" wrapText="1"/>
    </xf>
    <xf numFmtId="0" fontId="12" fillId="0" borderId="0" xfId="3" applyFont="1">
      <alignment vertical="center"/>
    </xf>
    <xf numFmtId="0" fontId="10" fillId="0" borderId="5" xfId="0" applyFont="1" applyBorder="1" applyAlignment="1">
      <alignment horizontal="center" vertical="center" shrinkToFit="1"/>
    </xf>
    <xf numFmtId="0" fontId="10" fillId="0" borderId="15" xfId="0" applyFont="1" applyBorder="1" applyAlignment="1">
      <alignment horizontal="left" vertical="center" wrapText="1"/>
    </xf>
    <xf numFmtId="0" fontId="10" fillId="0" borderId="34" xfId="0" applyFont="1" applyBorder="1" applyAlignment="1">
      <alignment horizontal="left" vertical="center" wrapText="1"/>
    </xf>
    <xf numFmtId="0" fontId="10" fillId="0" borderId="16" xfId="1" applyFont="1" applyBorder="1" applyAlignment="1">
      <alignment horizontal="left" vertical="center" wrapText="1"/>
    </xf>
    <xf numFmtId="0" fontId="10" fillId="0" borderId="17" xfId="1" applyFont="1" applyBorder="1" applyAlignment="1">
      <alignment horizontal="left" vertical="center" wrapText="1"/>
    </xf>
    <xf numFmtId="0" fontId="10" fillId="0" borderId="18" xfId="1" applyFont="1" applyBorder="1" applyAlignment="1">
      <alignment horizontal="left" vertical="center" wrapText="1"/>
    </xf>
    <xf numFmtId="0" fontId="10" fillId="0" borderId="20" xfId="1" applyFont="1" applyBorder="1" applyAlignment="1">
      <alignment horizontal="left" vertical="center" wrapText="1"/>
    </xf>
    <xf numFmtId="0" fontId="10" fillId="0" borderId="0" xfId="1" applyFont="1" applyAlignment="1">
      <alignment horizontal="left" vertical="center" wrapText="1"/>
    </xf>
    <xf numFmtId="0" fontId="10" fillId="0" borderId="21" xfId="1" applyFont="1" applyBorder="1" applyAlignment="1">
      <alignment horizontal="left" vertical="center" wrapText="1"/>
    </xf>
    <xf numFmtId="0" fontId="7" fillId="4" borderId="5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12" fillId="0" borderId="29" xfId="3" applyFont="1" applyBorder="1">
      <alignment vertical="center"/>
    </xf>
    <xf numFmtId="0" fontId="10" fillId="0" borderId="22" xfId="1" applyFont="1" applyBorder="1" applyAlignment="1">
      <alignment horizontal="left" vertical="center" wrapText="1"/>
    </xf>
    <xf numFmtId="0" fontId="10" fillId="0" borderId="23" xfId="1" applyFont="1" applyBorder="1" applyAlignment="1">
      <alignment horizontal="left" vertical="center" wrapText="1"/>
    </xf>
    <xf numFmtId="0" fontId="10" fillId="0" borderId="24" xfId="1" applyFont="1" applyBorder="1" applyAlignment="1">
      <alignment horizontal="left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0" fillId="0" borderId="16" xfId="1" applyFont="1" applyBorder="1" applyAlignment="1">
      <alignment vertical="center" wrapText="1"/>
    </xf>
    <xf numFmtId="0" fontId="10" fillId="0" borderId="17" xfId="1" applyFont="1" applyBorder="1" applyAlignment="1">
      <alignment vertical="center" wrapText="1"/>
    </xf>
    <xf numFmtId="0" fontId="10" fillId="0" borderId="18" xfId="1" applyFont="1" applyBorder="1" applyAlignment="1">
      <alignment vertical="center" wrapText="1"/>
    </xf>
    <xf numFmtId="0" fontId="10" fillId="0" borderId="20" xfId="1" applyFont="1" applyBorder="1" applyAlignment="1">
      <alignment vertical="center" wrapText="1"/>
    </xf>
    <xf numFmtId="0" fontId="10" fillId="0" borderId="0" xfId="1" applyFont="1" applyAlignment="1">
      <alignment vertical="center" wrapText="1"/>
    </xf>
    <xf numFmtId="0" fontId="10" fillId="0" borderId="21" xfId="1" applyFont="1" applyBorder="1" applyAlignment="1">
      <alignment vertical="center" wrapText="1"/>
    </xf>
    <xf numFmtId="0" fontId="10" fillId="0" borderId="22" xfId="1" applyFont="1" applyBorder="1" applyAlignment="1">
      <alignment vertical="center" wrapText="1"/>
    </xf>
    <xf numFmtId="0" fontId="10" fillId="0" borderId="23" xfId="1" applyFont="1" applyBorder="1" applyAlignment="1">
      <alignment vertical="center" wrapText="1"/>
    </xf>
    <xf numFmtId="0" fontId="10" fillId="0" borderId="24" xfId="1" applyFont="1" applyBorder="1" applyAlignment="1">
      <alignment vertical="center" wrapText="1"/>
    </xf>
    <xf numFmtId="0" fontId="10" fillId="0" borderId="26" xfId="4" applyFont="1" applyBorder="1" applyAlignment="1">
      <alignment horizontal="left" vertical="center" wrapText="1"/>
    </xf>
    <xf numFmtId="0" fontId="10" fillId="0" borderId="27" xfId="4" applyFont="1" applyBorder="1" applyAlignment="1">
      <alignment horizontal="left" vertical="center" wrapText="1"/>
    </xf>
    <xf numFmtId="178" fontId="6" fillId="0" borderId="0" xfId="0" applyNumberFormat="1" applyFont="1" applyAlignment="1">
      <alignment horizontal="center" vertical="center"/>
    </xf>
    <xf numFmtId="178" fontId="6" fillId="2" borderId="1" xfId="0" applyNumberFormat="1" applyFont="1" applyFill="1" applyBorder="1" applyAlignment="1">
      <alignment horizontal="center" vertical="center"/>
    </xf>
    <xf numFmtId="178" fontId="6" fillId="3" borderId="1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9" fillId="5" borderId="31" xfId="0" applyFont="1" applyFill="1" applyBorder="1" applyAlignment="1">
      <alignment horizontal="center" vertical="center"/>
    </xf>
    <xf numFmtId="0" fontId="9" fillId="5" borderId="32" xfId="0" applyFont="1" applyFill="1" applyBorder="1" applyAlignment="1">
      <alignment horizontal="center" vertical="center"/>
    </xf>
    <xf numFmtId="0" fontId="9" fillId="5" borderId="33" xfId="0" applyFont="1" applyFill="1" applyBorder="1" applyAlignment="1">
      <alignment horizontal="center" vertical="center"/>
    </xf>
    <xf numFmtId="178" fontId="7" fillId="4" borderId="5" xfId="0" applyNumberFormat="1" applyFont="1" applyFill="1" applyBorder="1" applyAlignment="1">
      <alignment horizontal="center" vertical="center"/>
    </xf>
    <xf numFmtId="0" fontId="10" fillId="0" borderId="11" xfId="0" applyFont="1" applyBorder="1" applyAlignment="1">
      <alignment horizontal="center" vertical="center" shrinkToFit="1"/>
    </xf>
    <xf numFmtId="0" fontId="10" fillId="0" borderId="14" xfId="0" applyFont="1" applyBorder="1" applyAlignment="1">
      <alignment horizontal="center" vertical="center" shrinkToFit="1"/>
    </xf>
    <xf numFmtId="0" fontId="10" fillId="0" borderId="11" xfId="0" applyFont="1" applyBorder="1" applyAlignment="1">
      <alignment horizontal="center" vertical="center" wrapText="1" shrinkToFit="1"/>
    </xf>
    <xf numFmtId="0" fontId="10" fillId="0" borderId="28" xfId="0" applyFont="1" applyBorder="1" applyAlignment="1">
      <alignment horizontal="center" vertical="center" wrapText="1" shrinkToFit="1"/>
    </xf>
    <xf numFmtId="0" fontId="10" fillId="0" borderId="11" xfId="1" applyFont="1" applyBorder="1" applyAlignment="1">
      <alignment horizontal="center" vertical="center" wrapText="1" shrinkToFit="1"/>
    </xf>
    <xf numFmtId="0" fontId="10" fillId="0" borderId="28" xfId="1" applyFont="1" applyBorder="1" applyAlignment="1">
      <alignment horizontal="center" vertical="center" wrapText="1" shrinkToFit="1"/>
    </xf>
    <xf numFmtId="0" fontId="10" fillId="0" borderId="11" xfId="1" applyFont="1" applyBorder="1" applyAlignment="1">
      <alignment horizontal="center" vertical="center" shrinkToFit="1"/>
    </xf>
    <xf numFmtId="0" fontId="10" fillId="0" borderId="28" xfId="1" applyFont="1" applyBorder="1" applyAlignment="1">
      <alignment horizontal="center" vertical="center" shrinkToFit="1"/>
    </xf>
    <xf numFmtId="0" fontId="10" fillId="0" borderId="14" xfId="1" applyFont="1" applyBorder="1" applyAlignment="1">
      <alignment horizontal="center" vertical="center" shrinkToFit="1"/>
    </xf>
    <xf numFmtId="0" fontId="10" fillId="0" borderId="35" xfId="1" applyFont="1" applyBorder="1" applyAlignment="1">
      <alignment horizontal="center" vertical="center" shrinkToFit="1"/>
    </xf>
    <xf numFmtId="0" fontId="11" fillId="0" borderId="11" xfId="0" applyFont="1" applyBorder="1" applyAlignment="1">
      <alignment horizontal="center" vertical="center" wrapText="1" shrinkToFit="1"/>
    </xf>
    <xf numFmtId="0" fontId="11" fillId="0" borderId="28" xfId="0" applyFont="1" applyBorder="1" applyAlignment="1">
      <alignment horizontal="center" vertical="center" wrapText="1" shrinkToFit="1"/>
    </xf>
    <xf numFmtId="0" fontId="11" fillId="0" borderId="14" xfId="0" applyFont="1" applyBorder="1" applyAlignment="1">
      <alignment horizontal="center" vertical="center" wrapText="1" shrinkToFit="1"/>
    </xf>
    <xf numFmtId="0" fontId="10" fillId="0" borderId="28" xfId="0" applyFont="1" applyBorder="1" applyAlignment="1">
      <alignment horizontal="center" vertical="center" shrinkToFit="1"/>
    </xf>
    <xf numFmtId="0" fontId="10" fillId="0" borderId="14" xfId="1" applyFont="1" applyBorder="1" applyAlignment="1">
      <alignment horizontal="center" vertical="center" wrapText="1" shrinkToFit="1"/>
    </xf>
    <xf numFmtId="0" fontId="10" fillId="0" borderId="9" xfId="1" applyFont="1" applyBorder="1" applyAlignment="1">
      <alignment horizontal="center" vertical="center" shrinkToFit="1"/>
    </xf>
    <xf numFmtId="0" fontId="10" fillId="0" borderId="9" xfId="0" applyFont="1" applyBorder="1" applyAlignment="1">
      <alignment horizontal="center" vertical="center" shrinkToFit="1"/>
    </xf>
    <xf numFmtId="0" fontId="10" fillId="0" borderId="15" xfId="4" applyFont="1" applyBorder="1" applyAlignment="1">
      <alignment horizontal="center" vertical="center" shrinkToFit="1"/>
    </xf>
    <xf numFmtId="0" fontId="10" fillId="0" borderId="22" xfId="4" applyFont="1" applyBorder="1" applyAlignment="1">
      <alignment horizontal="center" vertical="center" shrinkToFit="1"/>
    </xf>
    <xf numFmtId="0" fontId="10" fillId="0" borderId="9" xfId="0" applyFont="1" applyBorder="1" applyAlignment="1">
      <alignment horizontal="center" vertical="center" shrinkToFit="1"/>
    </xf>
    <xf numFmtId="0" fontId="10" fillId="0" borderId="9" xfId="1" applyFont="1" applyBorder="1" applyAlignment="1">
      <alignment horizontal="center" vertical="center" wrapText="1" shrinkToFit="1"/>
    </xf>
    <xf numFmtId="0" fontId="9" fillId="5" borderId="6" xfId="0" applyFont="1" applyFill="1" applyBorder="1" applyAlignment="1">
      <alignment horizontal="center" vertical="center"/>
    </xf>
    <xf numFmtId="0" fontId="9" fillId="5" borderId="7" xfId="0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center" vertical="center"/>
    </xf>
    <xf numFmtId="0" fontId="11" fillId="0" borderId="9" xfId="1" applyFont="1" applyBorder="1" applyAlignment="1">
      <alignment horizontal="center" vertical="center" wrapText="1" shrinkToFit="1"/>
    </xf>
    <xf numFmtId="0" fontId="10" fillId="0" borderId="9" xfId="0" applyFont="1" applyBorder="1" applyAlignment="1">
      <alignment horizontal="center" vertical="center" wrapText="1" shrinkToFit="1"/>
    </xf>
    <xf numFmtId="0" fontId="10" fillId="0" borderId="29" xfId="1" applyFont="1" applyBorder="1" applyAlignment="1">
      <alignment horizontal="center" vertical="center" shrinkToFit="1"/>
    </xf>
    <xf numFmtId="0" fontId="10" fillId="0" borderId="14" xfId="0" applyFont="1" applyBorder="1" applyAlignment="1">
      <alignment horizontal="center" vertical="center" wrapText="1" shrinkToFit="1"/>
    </xf>
    <xf numFmtId="0" fontId="11" fillId="0" borderId="11" xfId="1" applyFont="1" applyBorder="1" applyAlignment="1">
      <alignment horizontal="center" vertical="center" wrapText="1" shrinkToFit="1"/>
    </xf>
    <xf numFmtId="0" fontId="11" fillId="0" borderId="28" xfId="1" applyFont="1" applyBorder="1" applyAlignment="1">
      <alignment horizontal="center" vertical="center" wrapText="1" shrinkToFit="1"/>
    </xf>
    <xf numFmtId="0" fontId="11" fillId="0" borderId="14" xfId="1" applyFont="1" applyBorder="1" applyAlignment="1">
      <alignment horizontal="center" vertical="center" wrapText="1" shrinkToFit="1"/>
    </xf>
    <xf numFmtId="0" fontId="10" fillId="0" borderId="25" xfId="0" applyFont="1" applyBorder="1" applyAlignment="1">
      <alignment horizontal="center" vertical="center" shrinkToFit="1"/>
    </xf>
    <xf numFmtId="0" fontId="11" fillId="0" borderId="9" xfId="0" applyFont="1" applyBorder="1" applyAlignment="1">
      <alignment horizontal="center" vertical="center" wrapText="1" shrinkToFit="1"/>
    </xf>
    <xf numFmtId="0" fontId="10" fillId="0" borderId="0" xfId="1" applyFont="1" applyAlignment="1">
      <alignment vertical="center" wrapText="1" shrinkToFit="1"/>
    </xf>
    <xf numFmtId="179" fontId="10" fillId="0" borderId="0" xfId="0" applyNumberFormat="1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vertical="center" shrinkToFit="1"/>
    </xf>
    <xf numFmtId="177" fontId="10" fillId="0" borderId="0" xfId="0" applyNumberFormat="1" applyFont="1" applyAlignment="1">
      <alignment horizontal="center" vertical="center"/>
    </xf>
    <xf numFmtId="180" fontId="10" fillId="0" borderId="0" xfId="0" applyNumberFormat="1" applyFont="1" applyAlignment="1">
      <alignment horizontal="center" vertical="center"/>
    </xf>
    <xf numFmtId="178" fontId="10" fillId="0" borderId="0" xfId="0" applyNumberFormat="1" applyFont="1" applyAlignment="1">
      <alignment horizontal="center" vertical="center"/>
    </xf>
    <xf numFmtId="0" fontId="10" fillId="0" borderId="0" xfId="1" applyFont="1" applyAlignment="1">
      <alignment horizontal="center" vertical="center" shrinkToFit="1"/>
    </xf>
    <xf numFmtId="177" fontId="11" fillId="0" borderId="5" xfId="0" applyNumberFormat="1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 shrinkToFit="1"/>
    </xf>
    <xf numFmtId="0" fontId="11" fillId="0" borderId="16" xfId="0" applyFont="1" applyBorder="1" applyAlignment="1">
      <alignment horizontal="left" vertical="center" wrapText="1"/>
    </xf>
    <xf numFmtId="0" fontId="11" fillId="0" borderId="17" xfId="0" applyFont="1" applyBorder="1" applyAlignment="1">
      <alignment horizontal="left" vertical="center" wrapText="1"/>
    </xf>
    <xf numFmtId="0" fontId="11" fillId="0" borderId="18" xfId="0" applyFont="1" applyBorder="1" applyAlignment="1">
      <alignment horizontal="left" vertical="center" wrapText="1"/>
    </xf>
    <xf numFmtId="180" fontId="11" fillId="0" borderId="5" xfId="0" applyNumberFormat="1" applyFont="1" applyBorder="1" applyAlignment="1">
      <alignment horizontal="center" vertical="center"/>
    </xf>
    <xf numFmtId="0" fontId="11" fillId="0" borderId="20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1" fillId="0" borderId="21" xfId="0" applyFont="1" applyBorder="1" applyAlignment="1">
      <alignment horizontal="left" vertical="center" wrapText="1"/>
    </xf>
    <xf numFmtId="0" fontId="11" fillId="0" borderId="16" xfId="0" applyFont="1" applyBorder="1" applyAlignment="1">
      <alignment horizontal="center" vertical="center" shrinkToFit="1"/>
    </xf>
    <xf numFmtId="0" fontId="11" fillId="0" borderId="16" xfId="1" applyFont="1" applyBorder="1" applyAlignment="1">
      <alignment horizontal="left" vertical="center" wrapText="1"/>
    </xf>
    <xf numFmtId="0" fontId="11" fillId="0" borderId="17" xfId="1" applyFont="1" applyBorder="1" applyAlignment="1">
      <alignment horizontal="left" vertical="center" wrapText="1"/>
    </xf>
    <xf numFmtId="0" fontId="11" fillId="0" borderId="18" xfId="1" applyFont="1" applyBorder="1" applyAlignment="1">
      <alignment horizontal="left" vertical="center" wrapText="1"/>
    </xf>
    <xf numFmtId="0" fontId="11" fillId="0" borderId="20" xfId="1" applyFont="1" applyBorder="1" applyAlignment="1">
      <alignment horizontal="left" vertical="center" wrapText="1"/>
    </xf>
    <xf numFmtId="0" fontId="11" fillId="0" borderId="0" xfId="1" applyFont="1" applyAlignment="1">
      <alignment horizontal="left" vertical="center" wrapText="1"/>
    </xf>
    <xf numFmtId="0" fontId="11" fillId="0" borderId="21" xfId="1" applyFont="1" applyBorder="1" applyAlignment="1">
      <alignment horizontal="left" vertical="center" wrapText="1"/>
    </xf>
    <xf numFmtId="0" fontId="11" fillId="0" borderId="22" xfId="1" applyFont="1" applyBorder="1" applyAlignment="1">
      <alignment horizontal="left" vertical="center" wrapText="1"/>
    </xf>
    <xf numFmtId="0" fontId="11" fillId="0" borderId="23" xfId="1" applyFont="1" applyBorder="1" applyAlignment="1">
      <alignment horizontal="left" vertical="center" wrapText="1"/>
    </xf>
    <xf numFmtId="0" fontId="11" fillId="0" borderId="24" xfId="1" applyFont="1" applyBorder="1" applyAlignment="1">
      <alignment horizontal="left" vertical="center" wrapText="1"/>
    </xf>
    <xf numFmtId="0" fontId="11" fillId="0" borderId="5" xfId="4" applyFont="1" applyBorder="1" applyAlignment="1">
      <alignment horizontal="center" vertical="center" shrinkToFit="1"/>
    </xf>
    <xf numFmtId="0" fontId="11" fillId="0" borderId="13" xfId="4" applyFont="1" applyBorder="1" applyAlignment="1">
      <alignment horizontal="center" vertical="center" shrinkToFit="1"/>
    </xf>
    <xf numFmtId="0" fontId="11" fillId="0" borderId="16" xfId="4" applyFont="1" applyBorder="1" applyAlignment="1">
      <alignment vertical="center" wrapText="1"/>
    </xf>
    <xf numFmtId="0" fontId="11" fillId="0" borderId="17" xfId="4" applyFont="1" applyBorder="1" applyAlignment="1">
      <alignment vertical="center" wrapText="1"/>
    </xf>
    <xf numFmtId="0" fontId="11" fillId="0" borderId="18" xfId="4" applyFont="1" applyBorder="1" applyAlignment="1">
      <alignment vertical="center" wrapText="1"/>
    </xf>
    <xf numFmtId="0" fontId="11" fillId="0" borderId="20" xfId="4" applyFont="1" applyBorder="1" applyAlignment="1">
      <alignment vertical="center" wrapText="1"/>
    </xf>
    <xf numFmtId="0" fontId="11" fillId="0" borderId="0" xfId="4" applyFont="1" applyAlignment="1">
      <alignment vertical="center" wrapText="1"/>
    </xf>
    <xf numFmtId="0" fontId="11" fillId="0" borderId="21" xfId="4" applyFont="1" applyBorder="1" applyAlignment="1">
      <alignment vertical="center" wrapText="1"/>
    </xf>
    <xf numFmtId="0" fontId="11" fillId="0" borderId="19" xfId="4" applyFont="1" applyBorder="1" applyAlignment="1">
      <alignment horizontal="center" vertical="center" shrinkToFit="1"/>
    </xf>
    <xf numFmtId="0" fontId="11" fillId="0" borderId="20" xfId="4" applyFont="1" applyBorder="1" applyAlignment="1">
      <alignment horizontal="center" vertical="center" shrinkToFit="1"/>
    </xf>
    <xf numFmtId="0" fontId="11" fillId="0" borderId="22" xfId="4" applyFont="1" applyBorder="1" applyAlignment="1">
      <alignment vertical="center" wrapText="1"/>
    </xf>
    <xf numFmtId="0" fontId="11" fillId="0" borderId="23" xfId="4" applyFont="1" applyBorder="1" applyAlignment="1">
      <alignment vertical="center" wrapText="1"/>
    </xf>
    <xf numFmtId="0" fontId="11" fillId="0" borderId="24" xfId="4" applyFont="1" applyBorder="1" applyAlignment="1">
      <alignment vertical="center" wrapText="1"/>
    </xf>
    <xf numFmtId="0" fontId="11" fillId="0" borderId="28" xfId="0" applyFont="1" applyBorder="1" applyAlignment="1">
      <alignment horizontal="center" vertical="center" shrinkToFit="1"/>
    </xf>
    <xf numFmtId="0" fontId="11" fillId="0" borderId="14" xfId="0" applyFont="1" applyBorder="1" applyAlignment="1">
      <alignment horizontal="center" vertical="center" shrinkToFit="1"/>
    </xf>
  </cellXfs>
  <cellStyles count="12">
    <cellStyle name="표준" xfId="0" builtinId="0"/>
    <cellStyle name="표준 10 2 2 2 2 2 2 2 2 2 2 2 2 2 2 2" xfId="9" xr:uid="{00000000-0005-0000-0000-000002000000}"/>
    <cellStyle name="표준 13" xfId="8" xr:uid="{00000000-0005-0000-0000-000003000000}"/>
    <cellStyle name="표준 2" xfId="3" xr:uid="{00000000-0005-0000-0000-000004000000}"/>
    <cellStyle name="표준 2 3" xfId="2" xr:uid="{00000000-0005-0000-0000-000005000000}"/>
    <cellStyle name="표준 3" xfId="6" xr:uid="{00000000-0005-0000-0000-000006000000}"/>
    <cellStyle name="표준 4" xfId="1" xr:uid="{00000000-0005-0000-0000-000007000000}"/>
    <cellStyle name="표준 4 10 2 2 5 2 2 2 2 2 2 2 2 2 2 2 2 2 2 2 2 2 2 2 2 2 2 2 2 2 2 2 2" xfId="10" xr:uid="{EB64DB25-FE36-4D92-9AFB-F51149F7689A}"/>
    <cellStyle name="표준 4 2" xfId="7" xr:uid="{00000000-0005-0000-0000-000008000000}"/>
    <cellStyle name="표준 4 3" xfId="4" xr:uid="{00000000-0005-0000-0000-000009000000}"/>
    <cellStyle name="표준 4 54" xfId="11" xr:uid="{C6FE7054-0ACE-4E54-8F7E-812F15CAC95F}"/>
    <cellStyle name="표준 5" xfId="5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2.jpg"/><Relationship Id="rId1" Type="http://schemas.openxmlformats.org/officeDocument/2006/relationships/image" Target="../media/image1.jpeg"/><Relationship Id="rId4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../media/image4.jpeg"/><Relationship Id="rId1" Type="http://schemas.openxmlformats.org/officeDocument/2006/relationships/image" Target="../media/image1.jpe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104775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575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1</xdr:col>
      <xdr:colOff>104775</xdr:colOff>
      <xdr:row>3</xdr:row>
      <xdr:rowOff>32660</xdr:rowOff>
    </xdr:from>
    <xdr:ext cx="1828800" cy="793487"/>
    <xdr:pic>
      <xdr:nvPicPr>
        <xdr:cNvPr id="6" name="그림 5">
          <a:extLst>
            <a:ext uri="{FF2B5EF4-FFF2-40B4-BE49-F238E27FC236}">
              <a16:creationId xmlns:a16="http://schemas.microsoft.com/office/drawing/2014/main" id="{C0BD9DC9-9B4E-4849-BF9A-8869DF099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345" y="716555"/>
          <a:ext cx="1828800" cy="793487"/>
        </a:xfrm>
        <a:prstGeom prst="rect">
          <a:avLst/>
        </a:prstGeom>
      </xdr:spPr>
    </xdr:pic>
    <xdr:clientData/>
  </xdr:oneCellAnchor>
  <xdr:oneCellAnchor>
    <xdr:from>
      <xdr:col>0</xdr:col>
      <xdr:colOff>357762</xdr:colOff>
      <xdr:row>228</xdr:row>
      <xdr:rowOff>0</xdr:rowOff>
    </xdr:from>
    <xdr:ext cx="9179938" cy="943200"/>
    <xdr:pic>
      <xdr:nvPicPr>
        <xdr:cNvPr id="12" name="그림 11">
          <a:extLst>
            <a:ext uri="{FF2B5EF4-FFF2-40B4-BE49-F238E27FC236}">
              <a16:creationId xmlns:a16="http://schemas.microsoft.com/office/drawing/2014/main" id="{03BD7EB7-1AEC-4C88-82EC-C640B4EF8B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572" y="56940450"/>
          <a:ext cx="9179938" cy="9432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57</xdr:row>
      <xdr:rowOff>1</xdr:rowOff>
    </xdr:from>
    <xdr:ext cx="8514429" cy="869229"/>
    <xdr:pic>
      <xdr:nvPicPr>
        <xdr:cNvPr id="5" name="그림 4">
          <a:extLst>
            <a:ext uri="{FF2B5EF4-FFF2-40B4-BE49-F238E27FC236}">
              <a16:creationId xmlns:a16="http://schemas.microsoft.com/office/drawing/2014/main" id="{B285E5B4-16FC-46D0-8406-9DD7E77C2A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4058901"/>
          <a:ext cx="8514429" cy="86922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89</xdr:row>
      <xdr:rowOff>1</xdr:rowOff>
    </xdr:from>
    <xdr:ext cx="8514429" cy="869229"/>
    <xdr:pic>
      <xdr:nvPicPr>
        <xdr:cNvPr id="15" name="그림 14">
          <a:extLst>
            <a:ext uri="{FF2B5EF4-FFF2-40B4-BE49-F238E27FC236}">
              <a16:creationId xmlns:a16="http://schemas.microsoft.com/office/drawing/2014/main" id="{B05766B3-73D5-40C1-92D8-7A90C5179A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22193251"/>
          <a:ext cx="8514429" cy="86922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117</xdr:row>
      <xdr:rowOff>1</xdr:rowOff>
    </xdr:from>
    <xdr:ext cx="8514429" cy="869229"/>
    <xdr:pic>
      <xdr:nvPicPr>
        <xdr:cNvPr id="16" name="그림 15">
          <a:extLst>
            <a:ext uri="{FF2B5EF4-FFF2-40B4-BE49-F238E27FC236}">
              <a16:creationId xmlns:a16="http://schemas.microsoft.com/office/drawing/2014/main" id="{83F280C5-B0C4-4C40-BF67-1C245E20B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29413201"/>
          <a:ext cx="8514429" cy="86922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145</xdr:row>
      <xdr:rowOff>1</xdr:rowOff>
    </xdr:from>
    <xdr:ext cx="8460000" cy="869229"/>
    <xdr:pic>
      <xdr:nvPicPr>
        <xdr:cNvPr id="17" name="그림 16">
          <a:extLst>
            <a:ext uri="{FF2B5EF4-FFF2-40B4-BE49-F238E27FC236}">
              <a16:creationId xmlns:a16="http://schemas.microsoft.com/office/drawing/2014/main" id="{E7182D8C-FCCD-41FD-B16A-86B39B67EF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36633151"/>
          <a:ext cx="8460000" cy="869229"/>
        </a:xfrm>
        <a:prstGeom prst="rect">
          <a:avLst/>
        </a:prstGeom>
      </xdr:spPr>
    </xdr:pic>
    <xdr:clientData/>
  </xdr:oneCellAnchor>
  <xdr:oneCellAnchor>
    <xdr:from>
      <xdr:col>9</xdr:col>
      <xdr:colOff>104775</xdr:colOff>
      <xdr:row>3</xdr:row>
      <xdr:rowOff>304800</xdr:rowOff>
    </xdr:from>
    <xdr:ext cx="1819275" cy="267974"/>
    <xdr:pic>
      <xdr:nvPicPr>
        <xdr:cNvPr id="18" name="그림 17">
          <a:extLst>
            <a:ext uri="{FF2B5EF4-FFF2-40B4-BE49-F238E27FC236}">
              <a16:creationId xmlns:a16="http://schemas.microsoft.com/office/drawing/2014/main" id="{72E1EEB4-58BF-46B8-ADFF-074313D4F8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94195" y="990600"/>
          <a:ext cx="1819275" cy="267974"/>
        </a:xfrm>
        <a:prstGeom prst="rect">
          <a:avLst/>
        </a:prstGeom>
      </xdr:spPr>
    </xdr:pic>
    <xdr:clientData/>
  </xdr:oneCellAnchor>
  <xdr:oneCellAnchor>
    <xdr:from>
      <xdr:col>1</xdr:col>
      <xdr:colOff>7620</xdr:colOff>
      <xdr:row>29</xdr:row>
      <xdr:rowOff>220980</xdr:rowOff>
    </xdr:from>
    <xdr:ext cx="8453650" cy="868913"/>
    <xdr:pic>
      <xdr:nvPicPr>
        <xdr:cNvPr id="20" name="그림 19">
          <a:extLst>
            <a:ext uri="{FF2B5EF4-FFF2-40B4-BE49-F238E27FC236}">
              <a16:creationId xmlns:a16="http://schemas.microsoft.com/office/drawing/2014/main" id="{8FF1C774-47F9-4B91-AC12-F8BD51CD7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7059930"/>
          <a:ext cx="8453650" cy="86891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104775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575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1</xdr:col>
      <xdr:colOff>104775</xdr:colOff>
      <xdr:row>3</xdr:row>
      <xdr:rowOff>32660</xdr:rowOff>
    </xdr:from>
    <xdr:ext cx="1828800" cy="793487"/>
    <xdr:pic>
      <xdr:nvPicPr>
        <xdr:cNvPr id="18" name="그림 17">
          <a:extLst>
            <a:ext uri="{FF2B5EF4-FFF2-40B4-BE49-F238E27FC236}">
              <a16:creationId xmlns:a16="http://schemas.microsoft.com/office/drawing/2014/main" id="{DDD316FF-496F-4E3C-A902-3912A28D91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345" y="716555"/>
          <a:ext cx="1828800" cy="793487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32</xdr:row>
      <xdr:rowOff>0</xdr:rowOff>
    </xdr:from>
    <xdr:ext cx="8453650" cy="868913"/>
    <xdr:pic>
      <xdr:nvPicPr>
        <xdr:cNvPr id="4" name="그림 3">
          <a:extLst>
            <a:ext uri="{FF2B5EF4-FFF2-40B4-BE49-F238E27FC236}">
              <a16:creationId xmlns:a16="http://schemas.microsoft.com/office/drawing/2014/main" id="{0C1C19AE-B1B1-4E91-A807-CF0D88B15C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486650"/>
          <a:ext cx="8453650" cy="868913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8453650" cy="868913"/>
    <xdr:pic>
      <xdr:nvPicPr>
        <xdr:cNvPr id="5" name="그림 4">
          <a:extLst>
            <a:ext uri="{FF2B5EF4-FFF2-40B4-BE49-F238E27FC236}">
              <a16:creationId xmlns:a16="http://schemas.microsoft.com/office/drawing/2014/main" id="{F877EA26-744C-46C0-9156-74FC11951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5392400"/>
          <a:ext cx="8453650" cy="868913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120</xdr:row>
      <xdr:rowOff>0</xdr:rowOff>
    </xdr:from>
    <xdr:ext cx="8453650" cy="868913"/>
    <xdr:pic>
      <xdr:nvPicPr>
        <xdr:cNvPr id="6" name="그림 5">
          <a:extLst>
            <a:ext uri="{FF2B5EF4-FFF2-40B4-BE49-F238E27FC236}">
              <a16:creationId xmlns:a16="http://schemas.microsoft.com/office/drawing/2014/main" id="{15DBC9B3-17EA-4B58-A5DA-0B313CD387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30060900"/>
          <a:ext cx="8453650" cy="868913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148</xdr:row>
      <xdr:rowOff>0</xdr:rowOff>
    </xdr:from>
    <xdr:ext cx="8453650" cy="868913"/>
    <xdr:pic>
      <xdr:nvPicPr>
        <xdr:cNvPr id="7" name="그림 6">
          <a:extLst>
            <a:ext uri="{FF2B5EF4-FFF2-40B4-BE49-F238E27FC236}">
              <a16:creationId xmlns:a16="http://schemas.microsoft.com/office/drawing/2014/main" id="{5E3AFAA3-07A1-4C77-A6A4-EF49FE466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37280850"/>
          <a:ext cx="8453650" cy="868913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91</xdr:row>
      <xdr:rowOff>0</xdr:rowOff>
    </xdr:from>
    <xdr:ext cx="8453650" cy="868913"/>
    <xdr:pic>
      <xdr:nvPicPr>
        <xdr:cNvPr id="9" name="그림 8">
          <a:extLst>
            <a:ext uri="{FF2B5EF4-FFF2-40B4-BE49-F238E27FC236}">
              <a16:creationId xmlns:a16="http://schemas.microsoft.com/office/drawing/2014/main" id="{384D9922-0057-45DA-842E-AFB61B82EE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22612350"/>
          <a:ext cx="8453650" cy="868913"/>
        </a:xfrm>
        <a:prstGeom prst="rect">
          <a:avLst/>
        </a:prstGeom>
      </xdr:spPr>
    </xdr:pic>
    <xdr:clientData/>
  </xdr:oneCellAnchor>
  <xdr:oneCellAnchor>
    <xdr:from>
      <xdr:col>9</xdr:col>
      <xdr:colOff>123825</xdr:colOff>
      <xdr:row>3</xdr:row>
      <xdr:rowOff>304800</xdr:rowOff>
    </xdr:from>
    <xdr:ext cx="1819275" cy="267974"/>
    <xdr:pic>
      <xdr:nvPicPr>
        <xdr:cNvPr id="10" name="그림 9">
          <a:extLst>
            <a:ext uri="{FF2B5EF4-FFF2-40B4-BE49-F238E27FC236}">
              <a16:creationId xmlns:a16="http://schemas.microsoft.com/office/drawing/2014/main" id="{A637D543-5B95-4125-BAF7-615935C173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17055" y="952500"/>
          <a:ext cx="1819275" cy="267974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104775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575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1</xdr:col>
      <xdr:colOff>104775</xdr:colOff>
      <xdr:row>3</xdr:row>
      <xdr:rowOff>32660</xdr:rowOff>
    </xdr:from>
    <xdr:ext cx="1828800" cy="793487"/>
    <xdr:pic>
      <xdr:nvPicPr>
        <xdr:cNvPr id="10" name="그림 9">
          <a:extLst>
            <a:ext uri="{FF2B5EF4-FFF2-40B4-BE49-F238E27FC236}">
              <a16:creationId xmlns:a16="http://schemas.microsoft.com/office/drawing/2014/main" id="{71051D84-1116-40E3-945B-B22295CE9A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345" y="716555"/>
          <a:ext cx="1828800" cy="793487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35</xdr:row>
      <xdr:rowOff>0</xdr:rowOff>
    </xdr:from>
    <xdr:ext cx="8453650" cy="869229"/>
    <xdr:pic>
      <xdr:nvPicPr>
        <xdr:cNvPr id="4" name="그림 3">
          <a:extLst>
            <a:ext uri="{FF2B5EF4-FFF2-40B4-BE49-F238E27FC236}">
              <a16:creationId xmlns:a16="http://schemas.microsoft.com/office/drawing/2014/main" id="{F12086F0-F9BB-4A68-AA39-097450B686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8172450"/>
          <a:ext cx="8453650" cy="86922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62</xdr:row>
      <xdr:rowOff>0</xdr:rowOff>
    </xdr:from>
    <xdr:ext cx="8453650" cy="869229"/>
    <xdr:pic>
      <xdr:nvPicPr>
        <xdr:cNvPr id="5" name="그림 4">
          <a:extLst>
            <a:ext uri="{FF2B5EF4-FFF2-40B4-BE49-F238E27FC236}">
              <a16:creationId xmlns:a16="http://schemas.microsoft.com/office/drawing/2014/main" id="{4609D0B9-CACF-46DA-9D99-9EF7FAF483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5163800"/>
          <a:ext cx="8453650" cy="86922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92</xdr:row>
      <xdr:rowOff>0</xdr:rowOff>
    </xdr:from>
    <xdr:ext cx="8453650" cy="869229"/>
    <xdr:pic>
      <xdr:nvPicPr>
        <xdr:cNvPr id="6" name="그림 5">
          <a:extLst>
            <a:ext uri="{FF2B5EF4-FFF2-40B4-BE49-F238E27FC236}">
              <a16:creationId xmlns:a16="http://schemas.microsoft.com/office/drawing/2014/main" id="{C7D9CBBA-28E2-43FF-BC15-BEE6F8BA39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22840950"/>
          <a:ext cx="8453650" cy="86922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115</xdr:row>
      <xdr:rowOff>0</xdr:rowOff>
    </xdr:from>
    <xdr:ext cx="8453650" cy="869229"/>
    <xdr:pic>
      <xdr:nvPicPr>
        <xdr:cNvPr id="7" name="그림 6">
          <a:extLst>
            <a:ext uri="{FF2B5EF4-FFF2-40B4-BE49-F238E27FC236}">
              <a16:creationId xmlns:a16="http://schemas.microsoft.com/office/drawing/2014/main" id="{955DA054-4FE2-4266-873C-EB8B03BB00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28917900"/>
          <a:ext cx="8453650" cy="86922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141</xdr:row>
      <xdr:rowOff>0</xdr:rowOff>
    </xdr:from>
    <xdr:ext cx="8453650" cy="869229"/>
    <xdr:pic>
      <xdr:nvPicPr>
        <xdr:cNvPr id="9" name="그림 8">
          <a:extLst>
            <a:ext uri="{FF2B5EF4-FFF2-40B4-BE49-F238E27FC236}">
              <a16:creationId xmlns:a16="http://schemas.microsoft.com/office/drawing/2014/main" id="{A4F59593-871E-449D-BE99-8CACA927CE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35680650"/>
          <a:ext cx="8453650" cy="869229"/>
        </a:xfrm>
        <a:prstGeom prst="rect">
          <a:avLst/>
        </a:prstGeom>
      </xdr:spPr>
    </xdr:pic>
    <xdr:clientData/>
  </xdr:oneCellAnchor>
  <xdr:oneCellAnchor>
    <xdr:from>
      <xdr:col>9</xdr:col>
      <xdr:colOff>123825</xdr:colOff>
      <xdr:row>3</xdr:row>
      <xdr:rowOff>295275</xdr:rowOff>
    </xdr:from>
    <xdr:ext cx="1819275" cy="267974"/>
    <xdr:pic>
      <xdr:nvPicPr>
        <xdr:cNvPr id="18" name="그림 17">
          <a:extLst>
            <a:ext uri="{FF2B5EF4-FFF2-40B4-BE49-F238E27FC236}">
              <a16:creationId xmlns:a16="http://schemas.microsoft.com/office/drawing/2014/main" id="{7E796ABC-6D1A-4097-A74F-E36844F35F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17055" y="941070"/>
          <a:ext cx="1819275" cy="267974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104775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575" y="661310"/>
          <a:ext cx="1828800" cy="793487"/>
        </a:xfrm>
        <a:prstGeom prst="rect">
          <a:avLst/>
        </a:prstGeom>
      </xdr:spPr>
    </xdr:pic>
    <xdr:clientData/>
  </xdr:oneCellAnchor>
  <xdr:twoCellAnchor editAs="oneCell">
    <xdr:from>
      <xdr:col>1</xdr:col>
      <xdr:colOff>0</xdr:colOff>
      <xdr:row>189</xdr:row>
      <xdr:rowOff>0</xdr:rowOff>
    </xdr:from>
    <xdr:to>
      <xdr:col>13</xdr:col>
      <xdr:colOff>316230</xdr:colOff>
      <xdr:row>194</xdr:row>
      <xdr:rowOff>97155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8019616" cy="1016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214</xdr:row>
      <xdr:rowOff>0</xdr:rowOff>
    </xdr:from>
    <xdr:to>
      <xdr:col>13</xdr:col>
      <xdr:colOff>316230</xdr:colOff>
      <xdr:row>219</xdr:row>
      <xdr:rowOff>97155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8019616" cy="1016000"/>
        </a:xfrm>
        <a:prstGeom prst="rect">
          <a:avLst/>
        </a:prstGeom>
      </xdr:spPr>
    </xdr:pic>
    <xdr:clientData/>
  </xdr:twoCellAnchor>
  <xdr:oneCellAnchor>
    <xdr:from>
      <xdr:col>1</xdr:col>
      <xdr:colOff>104775</xdr:colOff>
      <xdr:row>3</xdr:row>
      <xdr:rowOff>32660</xdr:rowOff>
    </xdr:from>
    <xdr:ext cx="1828800" cy="793487"/>
    <xdr:pic>
      <xdr:nvPicPr>
        <xdr:cNvPr id="10" name="그림 9">
          <a:extLst>
            <a:ext uri="{FF2B5EF4-FFF2-40B4-BE49-F238E27FC236}">
              <a16:creationId xmlns:a16="http://schemas.microsoft.com/office/drawing/2014/main" id="{54474F61-ECA4-41B9-B80D-D267CB775B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345" y="716555"/>
          <a:ext cx="1828800" cy="793487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29</xdr:row>
      <xdr:rowOff>0</xdr:rowOff>
    </xdr:from>
    <xdr:ext cx="8453650" cy="869229"/>
    <xdr:pic>
      <xdr:nvPicPr>
        <xdr:cNvPr id="4" name="그림 3">
          <a:extLst>
            <a:ext uri="{FF2B5EF4-FFF2-40B4-BE49-F238E27FC236}">
              <a16:creationId xmlns:a16="http://schemas.microsoft.com/office/drawing/2014/main" id="{C2FBD5CE-783A-457E-8576-F43CC7801B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6800850"/>
          <a:ext cx="8453650" cy="86922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58</xdr:row>
      <xdr:rowOff>0</xdr:rowOff>
    </xdr:from>
    <xdr:ext cx="8453650" cy="869229"/>
    <xdr:pic>
      <xdr:nvPicPr>
        <xdr:cNvPr id="5" name="그림 4">
          <a:extLst>
            <a:ext uri="{FF2B5EF4-FFF2-40B4-BE49-F238E27FC236}">
              <a16:creationId xmlns:a16="http://schemas.microsoft.com/office/drawing/2014/main" id="{0361029A-C021-4375-9C8C-FF0D2386F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4249400"/>
          <a:ext cx="8453650" cy="86922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89</xdr:row>
      <xdr:rowOff>0</xdr:rowOff>
    </xdr:from>
    <xdr:ext cx="8453650" cy="869229"/>
    <xdr:pic>
      <xdr:nvPicPr>
        <xdr:cNvPr id="6" name="그림 5">
          <a:extLst>
            <a:ext uri="{FF2B5EF4-FFF2-40B4-BE49-F238E27FC236}">
              <a16:creationId xmlns:a16="http://schemas.microsoft.com/office/drawing/2014/main" id="{D5D81AAD-28FE-4DDE-82B2-DE93F6EBAB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22155150"/>
          <a:ext cx="8453650" cy="86922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118</xdr:row>
      <xdr:rowOff>0</xdr:rowOff>
    </xdr:from>
    <xdr:ext cx="8453650" cy="869229"/>
    <xdr:pic>
      <xdr:nvPicPr>
        <xdr:cNvPr id="17" name="그림 16">
          <a:extLst>
            <a:ext uri="{FF2B5EF4-FFF2-40B4-BE49-F238E27FC236}">
              <a16:creationId xmlns:a16="http://schemas.microsoft.com/office/drawing/2014/main" id="{63C420F2-74AF-4280-B769-36E28CAD98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29603700"/>
          <a:ext cx="8453650" cy="869229"/>
        </a:xfrm>
        <a:prstGeom prst="rect">
          <a:avLst/>
        </a:prstGeom>
      </xdr:spPr>
    </xdr:pic>
    <xdr:clientData/>
  </xdr:oneCellAnchor>
  <xdr:oneCellAnchor>
    <xdr:from>
      <xdr:col>9</xdr:col>
      <xdr:colOff>133350</xdr:colOff>
      <xdr:row>3</xdr:row>
      <xdr:rowOff>304800</xdr:rowOff>
    </xdr:from>
    <xdr:ext cx="1819275" cy="267974"/>
    <xdr:pic>
      <xdr:nvPicPr>
        <xdr:cNvPr id="18" name="그림 17">
          <a:extLst>
            <a:ext uri="{FF2B5EF4-FFF2-40B4-BE49-F238E27FC236}">
              <a16:creationId xmlns:a16="http://schemas.microsoft.com/office/drawing/2014/main" id="{1350BE29-0307-4F7D-BBB4-7FCC6A47A2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0865" y="952500"/>
          <a:ext cx="1819275" cy="267974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104775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575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1</xdr:col>
      <xdr:colOff>104775</xdr:colOff>
      <xdr:row>3</xdr:row>
      <xdr:rowOff>32660</xdr:rowOff>
    </xdr:from>
    <xdr:ext cx="1828800" cy="793487"/>
    <xdr:pic>
      <xdr:nvPicPr>
        <xdr:cNvPr id="10" name="그림 9">
          <a:extLst>
            <a:ext uri="{FF2B5EF4-FFF2-40B4-BE49-F238E27FC236}">
              <a16:creationId xmlns:a16="http://schemas.microsoft.com/office/drawing/2014/main" id="{3FCB8574-3F50-4493-8B6E-1297A4F2D2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345" y="716555"/>
          <a:ext cx="1828800" cy="793487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33</xdr:row>
      <xdr:rowOff>0</xdr:rowOff>
    </xdr:from>
    <xdr:ext cx="8453650" cy="869229"/>
    <xdr:pic>
      <xdr:nvPicPr>
        <xdr:cNvPr id="4" name="그림 3">
          <a:extLst>
            <a:ext uri="{FF2B5EF4-FFF2-40B4-BE49-F238E27FC236}">
              <a16:creationId xmlns:a16="http://schemas.microsoft.com/office/drawing/2014/main" id="{3AC15EE3-884B-4179-8A9F-21C5E43B42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715250"/>
          <a:ext cx="8453650" cy="869229"/>
        </a:xfrm>
        <a:prstGeom prst="rect">
          <a:avLst/>
        </a:prstGeom>
      </xdr:spPr>
    </xdr:pic>
    <xdr:clientData/>
  </xdr:oneCellAnchor>
  <xdr:oneCellAnchor>
    <xdr:from>
      <xdr:col>1</xdr:col>
      <xdr:colOff>23600</xdr:colOff>
      <xdr:row>68</xdr:row>
      <xdr:rowOff>0</xdr:rowOff>
    </xdr:from>
    <xdr:ext cx="8453650" cy="869229"/>
    <xdr:pic>
      <xdr:nvPicPr>
        <xdr:cNvPr id="5" name="그림 4">
          <a:extLst>
            <a:ext uri="{FF2B5EF4-FFF2-40B4-BE49-F238E27FC236}">
              <a16:creationId xmlns:a16="http://schemas.microsoft.com/office/drawing/2014/main" id="{13ECFC80-5E38-4AA9-964F-D855D960F5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1265" y="16497300"/>
          <a:ext cx="8453650" cy="869229"/>
        </a:xfrm>
        <a:prstGeom prst="rect">
          <a:avLst/>
        </a:prstGeom>
      </xdr:spPr>
    </xdr:pic>
    <xdr:clientData/>
  </xdr:oneCellAnchor>
  <xdr:oneCellAnchor>
    <xdr:from>
      <xdr:col>9</xdr:col>
      <xdr:colOff>104775</xdr:colOff>
      <xdr:row>3</xdr:row>
      <xdr:rowOff>314325</xdr:rowOff>
    </xdr:from>
    <xdr:ext cx="1819275" cy="267974"/>
    <xdr:pic>
      <xdr:nvPicPr>
        <xdr:cNvPr id="6" name="그림 5">
          <a:extLst>
            <a:ext uri="{FF2B5EF4-FFF2-40B4-BE49-F238E27FC236}">
              <a16:creationId xmlns:a16="http://schemas.microsoft.com/office/drawing/2014/main" id="{41D04775-6669-4FF8-8659-6CCEA484F8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94195" y="963930"/>
          <a:ext cx="1819275" cy="26797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98</xdr:row>
      <xdr:rowOff>0</xdr:rowOff>
    </xdr:from>
    <xdr:ext cx="8460000" cy="869229"/>
    <xdr:pic>
      <xdr:nvPicPr>
        <xdr:cNvPr id="7" name="그림 6">
          <a:extLst>
            <a:ext uri="{FF2B5EF4-FFF2-40B4-BE49-F238E27FC236}">
              <a16:creationId xmlns:a16="http://schemas.microsoft.com/office/drawing/2014/main" id="{2AFE61E9-5406-4D1B-8723-D6F99E85CC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24136350"/>
          <a:ext cx="8460000" cy="86922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FC7BB-C42C-4F3D-AA5B-E145BB58CD0E}">
  <sheetPr>
    <pageSetUpPr fitToPage="1"/>
  </sheetPr>
  <dimension ref="A1:M146"/>
  <sheetViews>
    <sheetView topLeftCell="A115" zoomScaleNormal="100" zoomScaleSheetLayoutView="70" workbookViewId="0">
      <selection activeCell="O131" sqref="O131"/>
    </sheetView>
  </sheetViews>
  <sheetFormatPr defaultRowHeight="17.399999999999999" x14ac:dyDescent="0.4"/>
  <cols>
    <col min="1" max="1" width="4.8984375" style="1" customWidth="1"/>
    <col min="2" max="2" width="18.59765625" style="1" customWidth="1"/>
    <col min="3" max="3" width="11.59765625" style="1" customWidth="1"/>
    <col min="4" max="4" width="9" style="116" customWidth="1"/>
    <col min="5" max="5" width="9" style="31" customWidth="1"/>
    <col min="6" max="12" width="9" style="1" customWidth="1"/>
    <col min="13" max="13" width="4.8984375" style="1" customWidth="1"/>
  </cols>
  <sheetData>
    <row r="1" spans="2:12" ht="18" thickBot="1" x14ac:dyDescent="0.45"/>
    <row r="2" spans="2:12" ht="18" customHeight="1" thickTop="1" thickBot="1" x14ac:dyDescent="0.45">
      <c r="B2" s="101" t="s">
        <v>0</v>
      </c>
      <c r="C2" s="3" t="s">
        <v>1</v>
      </c>
      <c r="D2" s="117"/>
      <c r="E2" s="103" t="s">
        <v>147</v>
      </c>
      <c r="F2" s="104"/>
      <c r="G2" s="104"/>
      <c r="H2" s="104"/>
      <c r="I2" s="104"/>
      <c r="J2" s="104"/>
      <c r="K2" s="104"/>
      <c r="L2" s="104"/>
    </row>
    <row r="3" spans="2:12" ht="18" customHeight="1" thickTop="1" thickBot="1" x14ac:dyDescent="0.45">
      <c r="B3" s="102"/>
      <c r="C3" s="3" t="s">
        <v>2</v>
      </c>
      <c r="D3" s="118"/>
      <c r="E3" s="103"/>
      <c r="F3" s="104"/>
      <c r="G3" s="104"/>
      <c r="H3" s="104"/>
      <c r="I3" s="104"/>
      <c r="J3" s="104"/>
      <c r="K3" s="104"/>
      <c r="L3" s="104"/>
    </row>
    <row r="4" spans="2:12" ht="34.5" customHeight="1" thickTop="1" x14ac:dyDescent="0.4">
      <c r="B4" s="119" t="s">
        <v>148</v>
      </c>
      <c r="C4" s="119"/>
      <c r="D4" s="119"/>
      <c r="E4" s="119"/>
      <c r="F4" s="119"/>
      <c r="G4" s="119"/>
      <c r="H4" s="119"/>
      <c r="I4" s="119"/>
      <c r="J4" s="119"/>
      <c r="K4" s="119"/>
      <c r="L4" s="119"/>
    </row>
    <row r="5" spans="2:12" ht="16.5" customHeight="1" x14ac:dyDescent="0.4"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19"/>
    </row>
    <row r="6" spans="2:12" ht="16.5" customHeight="1" thickBot="1" x14ac:dyDescent="0.45">
      <c r="B6" s="119"/>
      <c r="C6" s="119"/>
      <c r="D6" s="119"/>
      <c r="E6" s="119"/>
      <c r="F6" s="119"/>
      <c r="G6" s="119"/>
      <c r="H6" s="119"/>
      <c r="I6" s="119"/>
      <c r="J6" s="119"/>
      <c r="K6" s="119"/>
      <c r="L6" s="119"/>
    </row>
    <row r="7" spans="2:12" ht="21" customHeight="1" thickTop="1" x14ac:dyDescent="0.4">
      <c r="B7" s="120" t="s">
        <v>55</v>
      </c>
      <c r="C7" s="121"/>
      <c r="D7" s="121"/>
      <c r="E7" s="121"/>
      <c r="F7" s="121"/>
      <c r="G7" s="121"/>
      <c r="H7" s="121"/>
      <c r="I7" s="121"/>
      <c r="J7" s="121"/>
      <c r="K7" s="121"/>
      <c r="L7" s="122"/>
    </row>
    <row r="8" spans="2:12" ht="18" customHeight="1" x14ac:dyDescent="0.4">
      <c r="B8" s="76" t="s">
        <v>3</v>
      </c>
      <c r="C8" s="78" t="s">
        <v>4</v>
      </c>
      <c r="D8" s="80" t="s">
        <v>5</v>
      </c>
      <c r="E8" s="81"/>
      <c r="F8" s="80" t="s">
        <v>6</v>
      </c>
      <c r="G8" s="81"/>
      <c r="H8" s="47" t="s">
        <v>7</v>
      </c>
      <c r="I8" s="48"/>
      <c r="J8" s="48"/>
      <c r="K8" s="48"/>
      <c r="L8" s="49"/>
    </row>
    <row r="9" spans="2:12" ht="18" customHeight="1" x14ac:dyDescent="0.4">
      <c r="B9" s="77"/>
      <c r="C9" s="79"/>
      <c r="D9" s="123" t="s">
        <v>1</v>
      </c>
      <c r="E9" s="29" t="s">
        <v>2</v>
      </c>
      <c r="F9" s="32" t="s">
        <v>1</v>
      </c>
      <c r="G9" s="33" t="s">
        <v>2</v>
      </c>
      <c r="H9" s="50"/>
      <c r="I9" s="51"/>
      <c r="J9" s="51"/>
      <c r="K9" s="51"/>
      <c r="L9" s="52"/>
    </row>
    <row r="10" spans="2:12" ht="18" customHeight="1" x14ac:dyDescent="0.4">
      <c r="B10" s="124" t="s">
        <v>87</v>
      </c>
      <c r="C10" s="13" t="s">
        <v>58</v>
      </c>
      <c r="D10" s="14">
        <f t="shared" ref="D10:D30" si="0">E10*0.65</f>
        <v>32.5</v>
      </c>
      <c r="E10" s="12">
        <v>50</v>
      </c>
      <c r="F10" s="8">
        <f t="shared" ref="F10:F30" si="1">D10*D$2</f>
        <v>0</v>
      </c>
      <c r="G10" s="8">
        <f t="shared" ref="G10:G30" si="2">E10*D$3</f>
        <v>0</v>
      </c>
      <c r="H10" s="53" t="s">
        <v>149</v>
      </c>
      <c r="I10" s="54"/>
      <c r="J10" s="54"/>
      <c r="K10" s="54"/>
      <c r="L10" s="55"/>
    </row>
    <row r="11" spans="2:12" ht="18" customHeight="1" x14ac:dyDescent="0.4">
      <c r="B11" s="125"/>
      <c r="C11" s="13" t="s">
        <v>150</v>
      </c>
      <c r="D11" s="14">
        <f t="shared" si="0"/>
        <v>1.625</v>
      </c>
      <c r="E11" s="12">
        <v>2.5</v>
      </c>
      <c r="F11" s="8">
        <f t="shared" si="1"/>
        <v>0</v>
      </c>
      <c r="G11" s="8">
        <f t="shared" si="2"/>
        <v>0</v>
      </c>
      <c r="H11" s="59"/>
      <c r="I11" s="60"/>
      <c r="J11" s="60"/>
      <c r="K11" s="60"/>
      <c r="L11" s="61"/>
    </row>
    <row r="12" spans="2:12" ht="18" customHeight="1" x14ac:dyDescent="0.4">
      <c r="B12" s="126" t="s">
        <v>151</v>
      </c>
      <c r="C12" s="13" t="s">
        <v>62</v>
      </c>
      <c r="D12" s="16">
        <f t="shared" si="0"/>
        <v>13</v>
      </c>
      <c r="E12" s="12">
        <v>20</v>
      </c>
      <c r="F12" s="8">
        <f t="shared" si="1"/>
        <v>0</v>
      </c>
      <c r="G12" s="8">
        <f t="shared" si="2"/>
        <v>0</v>
      </c>
      <c r="H12" s="53" t="s">
        <v>152</v>
      </c>
      <c r="I12" s="54"/>
      <c r="J12" s="54"/>
      <c r="K12" s="54"/>
      <c r="L12" s="55"/>
    </row>
    <row r="13" spans="2:12" ht="18" customHeight="1" x14ac:dyDescent="0.4">
      <c r="B13" s="127"/>
      <c r="C13" s="40" t="s">
        <v>93</v>
      </c>
      <c r="D13" s="14">
        <f t="shared" si="0"/>
        <v>9.75</v>
      </c>
      <c r="E13" s="41">
        <v>15</v>
      </c>
      <c r="F13" s="8">
        <f t="shared" si="1"/>
        <v>0</v>
      </c>
      <c r="G13" s="8">
        <f t="shared" si="2"/>
        <v>0</v>
      </c>
      <c r="H13" s="56"/>
      <c r="I13" s="57"/>
      <c r="J13" s="57"/>
      <c r="K13" s="57"/>
      <c r="L13" s="58"/>
    </row>
    <row r="14" spans="2:12" ht="18" customHeight="1" x14ac:dyDescent="0.4">
      <c r="B14" s="127"/>
      <c r="C14" s="40" t="s">
        <v>73</v>
      </c>
      <c r="D14" s="14">
        <f t="shared" si="0"/>
        <v>1.3</v>
      </c>
      <c r="E14" s="41">
        <v>2</v>
      </c>
      <c r="F14" s="8">
        <f t="shared" si="1"/>
        <v>0</v>
      </c>
      <c r="G14" s="8">
        <f t="shared" si="2"/>
        <v>0</v>
      </c>
      <c r="H14" s="56"/>
      <c r="I14" s="57"/>
      <c r="J14" s="57"/>
      <c r="K14" s="57"/>
      <c r="L14" s="58"/>
    </row>
    <row r="15" spans="2:12" ht="18" customHeight="1" x14ac:dyDescent="0.4">
      <c r="B15" s="127"/>
      <c r="C15" s="40" t="s">
        <v>61</v>
      </c>
      <c r="D15" s="14">
        <f t="shared" si="0"/>
        <v>0.32500000000000001</v>
      </c>
      <c r="E15" s="41">
        <v>0.5</v>
      </c>
      <c r="F15" s="8">
        <f t="shared" si="1"/>
        <v>0</v>
      </c>
      <c r="G15" s="8">
        <f t="shared" si="2"/>
        <v>0</v>
      </c>
      <c r="H15" s="56"/>
      <c r="I15" s="57"/>
      <c r="J15" s="57"/>
      <c r="K15" s="57"/>
      <c r="L15" s="58"/>
    </row>
    <row r="16" spans="2:12" ht="18" customHeight="1" x14ac:dyDescent="0.4">
      <c r="B16" s="127"/>
      <c r="C16" s="40" t="s">
        <v>83</v>
      </c>
      <c r="D16" s="14">
        <f t="shared" si="0"/>
        <v>1.3</v>
      </c>
      <c r="E16" s="41">
        <v>2</v>
      </c>
      <c r="F16" s="8">
        <f t="shared" si="1"/>
        <v>0</v>
      </c>
      <c r="G16" s="8">
        <f t="shared" si="2"/>
        <v>0</v>
      </c>
      <c r="H16" s="56"/>
      <c r="I16" s="57"/>
      <c r="J16" s="57"/>
      <c r="K16" s="57"/>
      <c r="L16" s="58"/>
    </row>
    <row r="17" spans="2:12" ht="18" customHeight="1" x14ac:dyDescent="0.4">
      <c r="B17" s="127"/>
      <c r="C17" s="40" t="s">
        <v>64</v>
      </c>
      <c r="D17" s="14">
        <f t="shared" si="0"/>
        <v>1.3</v>
      </c>
      <c r="E17" s="41">
        <v>2</v>
      </c>
      <c r="F17" s="8">
        <f t="shared" si="1"/>
        <v>0</v>
      </c>
      <c r="G17" s="8">
        <f t="shared" si="2"/>
        <v>0</v>
      </c>
      <c r="H17" s="56"/>
      <c r="I17" s="57"/>
      <c r="J17" s="57"/>
      <c r="K17" s="57"/>
      <c r="L17" s="58"/>
    </row>
    <row r="18" spans="2:12" ht="18" customHeight="1" x14ac:dyDescent="0.4">
      <c r="B18" s="127"/>
      <c r="C18" s="40" t="s">
        <v>74</v>
      </c>
      <c r="D18" s="14">
        <f t="shared" si="0"/>
        <v>0.32500000000000001</v>
      </c>
      <c r="E18" s="41">
        <v>0.5</v>
      </c>
      <c r="F18" s="8">
        <f t="shared" si="1"/>
        <v>0</v>
      </c>
      <c r="G18" s="8">
        <f t="shared" si="2"/>
        <v>0</v>
      </c>
      <c r="H18" s="56"/>
      <c r="I18" s="57"/>
      <c r="J18" s="57"/>
      <c r="K18" s="57"/>
      <c r="L18" s="58"/>
    </row>
    <row r="19" spans="2:12" ht="18" customHeight="1" x14ac:dyDescent="0.4">
      <c r="B19" s="127"/>
      <c r="C19" s="40" t="s">
        <v>75</v>
      </c>
      <c r="D19" s="14">
        <f t="shared" si="0"/>
        <v>0.13</v>
      </c>
      <c r="E19" s="41">
        <v>0.2</v>
      </c>
      <c r="F19" s="8">
        <f t="shared" si="1"/>
        <v>0</v>
      </c>
      <c r="G19" s="8">
        <f t="shared" si="2"/>
        <v>0</v>
      </c>
      <c r="H19" s="59"/>
      <c r="I19" s="60"/>
      <c r="J19" s="60"/>
      <c r="K19" s="60"/>
      <c r="L19" s="61"/>
    </row>
    <row r="20" spans="2:12" ht="18" customHeight="1" x14ac:dyDescent="0.4">
      <c r="B20" s="128" t="s">
        <v>153</v>
      </c>
      <c r="C20" s="30" t="s">
        <v>47</v>
      </c>
      <c r="D20" s="16">
        <f t="shared" si="0"/>
        <v>26</v>
      </c>
      <c r="E20" s="10">
        <v>40</v>
      </c>
      <c r="F20" s="8">
        <f t="shared" si="1"/>
        <v>0</v>
      </c>
      <c r="G20" s="8">
        <f t="shared" si="2"/>
        <v>0</v>
      </c>
      <c r="H20" s="64" t="s">
        <v>154</v>
      </c>
      <c r="I20" s="65"/>
      <c r="J20" s="65"/>
      <c r="K20" s="65"/>
      <c r="L20" s="66"/>
    </row>
    <row r="21" spans="2:12" ht="18" customHeight="1" x14ac:dyDescent="0.4">
      <c r="B21" s="129"/>
      <c r="C21" s="30" t="s">
        <v>16</v>
      </c>
      <c r="D21" s="14">
        <f t="shared" si="0"/>
        <v>3.25</v>
      </c>
      <c r="E21" s="10">
        <v>5</v>
      </c>
      <c r="F21" s="8">
        <f t="shared" si="1"/>
        <v>0</v>
      </c>
      <c r="G21" s="8">
        <f t="shared" si="2"/>
        <v>0</v>
      </c>
      <c r="H21" s="67"/>
      <c r="I21" s="68"/>
      <c r="J21" s="68"/>
      <c r="K21" s="68"/>
      <c r="L21" s="69"/>
    </row>
    <row r="22" spans="2:12" ht="18" customHeight="1" x14ac:dyDescent="0.4">
      <c r="B22" s="129"/>
      <c r="C22" s="30" t="s">
        <v>17</v>
      </c>
      <c r="D22" s="14">
        <f t="shared" si="0"/>
        <v>3.25</v>
      </c>
      <c r="E22" s="10">
        <v>5</v>
      </c>
      <c r="F22" s="8">
        <f t="shared" si="1"/>
        <v>0</v>
      </c>
      <c r="G22" s="8">
        <f t="shared" si="2"/>
        <v>0</v>
      </c>
      <c r="H22" s="67"/>
      <c r="I22" s="68"/>
      <c r="J22" s="68"/>
      <c r="K22" s="68"/>
      <c r="L22" s="69"/>
    </row>
    <row r="23" spans="2:12" ht="18" customHeight="1" x14ac:dyDescent="0.4">
      <c r="B23" s="129"/>
      <c r="C23" s="30" t="s">
        <v>19</v>
      </c>
      <c r="D23" s="16">
        <f t="shared" si="0"/>
        <v>1.9500000000000002</v>
      </c>
      <c r="E23" s="10">
        <v>3</v>
      </c>
      <c r="F23" s="8">
        <f t="shared" si="1"/>
        <v>0</v>
      </c>
      <c r="G23" s="8">
        <f t="shared" si="2"/>
        <v>0</v>
      </c>
      <c r="H23" s="67"/>
      <c r="I23" s="68"/>
      <c r="J23" s="68"/>
      <c r="K23" s="68"/>
      <c r="L23" s="69"/>
    </row>
    <row r="24" spans="2:12" ht="18" customHeight="1" x14ac:dyDescent="0.4">
      <c r="B24" s="129"/>
      <c r="C24" s="30" t="s">
        <v>74</v>
      </c>
      <c r="D24" s="14">
        <f t="shared" si="0"/>
        <v>0.32500000000000001</v>
      </c>
      <c r="E24" s="10">
        <v>0.5</v>
      </c>
      <c r="F24" s="8">
        <f t="shared" si="1"/>
        <v>0</v>
      </c>
      <c r="G24" s="8">
        <f t="shared" si="2"/>
        <v>0</v>
      </c>
      <c r="H24" s="67"/>
      <c r="I24" s="68"/>
      <c r="J24" s="68"/>
      <c r="K24" s="68"/>
      <c r="L24" s="69"/>
    </row>
    <row r="25" spans="2:12" ht="18" customHeight="1" x14ac:dyDescent="0.4">
      <c r="B25" s="129"/>
      <c r="C25" s="30" t="s">
        <v>9</v>
      </c>
      <c r="D25" s="16">
        <f t="shared" si="0"/>
        <v>0.97500000000000009</v>
      </c>
      <c r="E25" s="10">
        <v>1.5</v>
      </c>
      <c r="F25" s="8">
        <f t="shared" si="1"/>
        <v>0</v>
      </c>
      <c r="G25" s="8">
        <f t="shared" si="2"/>
        <v>0</v>
      </c>
      <c r="H25" s="70"/>
      <c r="I25" s="71"/>
      <c r="J25" s="71"/>
      <c r="K25" s="71"/>
      <c r="L25" s="72"/>
    </row>
    <row r="26" spans="2:12" ht="18" customHeight="1" x14ac:dyDescent="0.4">
      <c r="B26" s="130" t="s">
        <v>155</v>
      </c>
      <c r="C26" s="13" t="s">
        <v>143</v>
      </c>
      <c r="D26" s="16">
        <f t="shared" si="0"/>
        <v>13</v>
      </c>
      <c r="E26" s="13">
        <v>20</v>
      </c>
      <c r="F26" s="8">
        <f t="shared" si="1"/>
        <v>0</v>
      </c>
      <c r="G26" s="8">
        <f t="shared" si="2"/>
        <v>0</v>
      </c>
      <c r="H26" s="105" t="s">
        <v>156</v>
      </c>
      <c r="I26" s="106"/>
      <c r="J26" s="106"/>
      <c r="K26" s="106"/>
      <c r="L26" s="107"/>
    </row>
    <row r="27" spans="2:12" ht="18" customHeight="1" x14ac:dyDescent="0.4">
      <c r="B27" s="131"/>
      <c r="C27" s="13" t="s">
        <v>83</v>
      </c>
      <c r="D27" s="14">
        <f t="shared" si="0"/>
        <v>0.65</v>
      </c>
      <c r="E27" s="13">
        <v>1</v>
      </c>
      <c r="F27" s="8">
        <f t="shared" si="1"/>
        <v>0</v>
      </c>
      <c r="G27" s="8">
        <f t="shared" si="2"/>
        <v>0</v>
      </c>
      <c r="H27" s="108"/>
      <c r="I27" s="109"/>
      <c r="J27" s="109"/>
      <c r="K27" s="109"/>
      <c r="L27" s="110"/>
    </row>
    <row r="28" spans="2:12" ht="18" customHeight="1" x14ac:dyDescent="0.4">
      <c r="B28" s="131"/>
      <c r="C28" s="13" t="s">
        <v>64</v>
      </c>
      <c r="D28" s="14">
        <f t="shared" si="0"/>
        <v>0.32500000000000001</v>
      </c>
      <c r="E28" s="13">
        <v>0.5</v>
      </c>
      <c r="F28" s="8">
        <f t="shared" si="1"/>
        <v>0</v>
      </c>
      <c r="G28" s="8">
        <f t="shared" si="2"/>
        <v>0</v>
      </c>
      <c r="H28" s="108"/>
      <c r="I28" s="109"/>
      <c r="J28" s="109"/>
      <c r="K28" s="109"/>
      <c r="L28" s="110"/>
    </row>
    <row r="29" spans="2:12" ht="18" customHeight="1" x14ac:dyDescent="0.4">
      <c r="B29" s="132"/>
      <c r="C29" s="13" t="s">
        <v>65</v>
      </c>
      <c r="D29" s="14">
        <f t="shared" si="0"/>
        <v>0.13</v>
      </c>
      <c r="E29" s="13">
        <v>0.2</v>
      </c>
      <c r="F29" s="8">
        <f t="shared" si="1"/>
        <v>0</v>
      </c>
      <c r="G29" s="8">
        <f t="shared" si="2"/>
        <v>0</v>
      </c>
      <c r="H29" s="108"/>
      <c r="I29" s="109"/>
      <c r="J29" s="109"/>
      <c r="K29" s="109"/>
      <c r="L29" s="110"/>
    </row>
    <row r="30" spans="2:12" ht="18" customHeight="1" thickBot="1" x14ac:dyDescent="0.45">
      <c r="B30" s="133" t="s">
        <v>66</v>
      </c>
      <c r="C30" s="34" t="s">
        <v>67</v>
      </c>
      <c r="D30" s="37">
        <f t="shared" si="0"/>
        <v>13</v>
      </c>
      <c r="E30" s="21">
        <v>20</v>
      </c>
      <c r="F30" s="22">
        <f t="shared" si="1"/>
        <v>0</v>
      </c>
      <c r="G30" s="22">
        <f t="shared" si="2"/>
        <v>0</v>
      </c>
      <c r="H30" s="73" t="s">
        <v>54</v>
      </c>
      <c r="I30" s="74"/>
      <c r="J30" s="74"/>
      <c r="K30" s="74"/>
      <c r="L30" s="75"/>
    </row>
    <row r="31" spans="2:12" ht="80.099999999999994" customHeight="1" thickTop="1" x14ac:dyDescent="0.4"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</row>
    <row r="32" spans="2:12" ht="18" thickBot="1" x14ac:dyDescent="0.45"/>
    <row r="33" spans="2:12" ht="21" customHeight="1" thickTop="1" x14ac:dyDescent="0.4">
      <c r="B33" s="120" t="s">
        <v>157</v>
      </c>
      <c r="C33" s="121"/>
      <c r="D33" s="121"/>
      <c r="E33" s="121"/>
      <c r="F33" s="121"/>
      <c r="G33" s="121"/>
      <c r="H33" s="121"/>
      <c r="I33" s="121"/>
      <c r="J33" s="121"/>
      <c r="K33" s="121"/>
      <c r="L33" s="122"/>
    </row>
    <row r="34" spans="2:12" ht="18" customHeight="1" x14ac:dyDescent="0.4">
      <c r="B34" s="76" t="s">
        <v>3</v>
      </c>
      <c r="C34" s="78" t="s">
        <v>4</v>
      </c>
      <c r="D34" s="80" t="s">
        <v>5</v>
      </c>
      <c r="E34" s="81"/>
      <c r="F34" s="80" t="s">
        <v>6</v>
      </c>
      <c r="G34" s="81"/>
      <c r="H34" s="47" t="s">
        <v>7</v>
      </c>
      <c r="I34" s="48"/>
      <c r="J34" s="48"/>
      <c r="K34" s="48"/>
      <c r="L34" s="49"/>
    </row>
    <row r="35" spans="2:12" ht="18" customHeight="1" x14ac:dyDescent="0.4">
      <c r="B35" s="77"/>
      <c r="C35" s="79"/>
      <c r="D35" s="123" t="s">
        <v>1</v>
      </c>
      <c r="E35" s="29" t="s">
        <v>2</v>
      </c>
      <c r="F35" s="32" t="s">
        <v>1</v>
      </c>
      <c r="G35" s="33" t="s">
        <v>2</v>
      </c>
      <c r="H35" s="50"/>
      <c r="I35" s="51"/>
      <c r="J35" s="51"/>
      <c r="K35" s="51"/>
      <c r="L35" s="52"/>
    </row>
    <row r="36" spans="2:12" ht="18" customHeight="1" x14ac:dyDescent="0.4">
      <c r="B36" s="124" t="s">
        <v>158</v>
      </c>
      <c r="C36" s="13" t="s">
        <v>58</v>
      </c>
      <c r="D36" s="14">
        <f t="shared" ref="D36:D57" si="3">E36*0.65</f>
        <v>32.5</v>
      </c>
      <c r="E36" s="12">
        <v>50</v>
      </c>
      <c r="F36" s="8">
        <f t="shared" ref="F36:F57" si="4">D36*D$2</f>
        <v>0</v>
      </c>
      <c r="G36" s="8">
        <f t="shared" ref="G36:G57" si="5">E36*D$3</f>
        <v>0</v>
      </c>
      <c r="H36" s="53" t="s">
        <v>159</v>
      </c>
      <c r="I36" s="54"/>
      <c r="J36" s="54"/>
      <c r="K36" s="54"/>
      <c r="L36" s="55"/>
    </row>
    <row r="37" spans="2:12" ht="18" customHeight="1" x14ac:dyDescent="0.4">
      <c r="B37" s="125"/>
      <c r="C37" s="13" t="s">
        <v>160</v>
      </c>
      <c r="D37" s="14">
        <f t="shared" si="3"/>
        <v>1.625</v>
      </c>
      <c r="E37" s="12">
        <v>2.5</v>
      </c>
      <c r="F37" s="8">
        <f t="shared" si="4"/>
        <v>0</v>
      </c>
      <c r="G37" s="8">
        <f t="shared" si="5"/>
        <v>0</v>
      </c>
      <c r="H37" s="59"/>
      <c r="I37" s="60"/>
      <c r="J37" s="60"/>
      <c r="K37" s="60"/>
      <c r="L37" s="61"/>
    </row>
    <row r="38" spans="2:12" ht="18" customHeight="1" x14ac:dyDescent="0.4">
      <c r="B38" s="128" t="s">
        <v>102</v>
      </c>
      <c r="C38" s="13" t="s">
        <v>20</v>
      </c>
      <c r="D38" s="16">
        <f t="shared" si="3"/>
        <v>13</v>
      </c>
      <c r="E38" s="13">
        <v>20</v>
      </c>
      <c r="F38" s="20">
        <f t="shared" si="4"/>
        <v>0</v>
      </c>
      <c r="G38" s="8">
        <f t="shared" si="5"/>
        <v>0</v>
      </c>
      <c r="H38" s="62" t="s">
        <v>161</v>
      </c>
      <c r="I38" s="62"/>
      <c r="J38" s="62"/>
      <c r="K38" s="62"/>
      <c r="L38" s="63"/>
    </row>
    <row r="39" spans="2:12" ht="18" customHeight="1" x14ac:dyDescent="0.4">
      <c r="B39" s="129"/>
      <c r="C39" s="13" t="s">
        <v>61</v>
      </c>
      <c r="D39" s="14">
        <f t="shared" si="3"/>
        <v>0.32500000000000001</v>
      </c>
      <c r="E39" s="13">
        <v>0.5</v>
      </c>
      <c r="F39" s="20">
        <f t="shared" si="4"/>
        <v>0</v>
      </c>
      <c r="G39" s="8">
        <f t="shared" si="5"/>
        <v>0</v>
      </c>
      <c r="H39" s="62"/>
      <c r="I39" s="62"/>
      <c r="J39" s="62"/>
      <c r="K39" s="62"/>
      <c r="L39" s="63"/>
    </row>
    <row r="40" spans="2:12" ht="18" customHeight="1" x14ac:dyDescent="0.4">
      <c r="B40" s="129"/>
      <c r="C40" s="13" t="s">
        <v>64</v>
      </c>
      <c r="D40" s="14">
        <f t="shared" si="3"/>
        <v>0.32500000000000001</v>
      </c>
      <c r="E40" s="13">
        <v>0.5</v>
      </c>
      <c r="F40" s="20">
        <f t="shared" si="4"/>
        <v>0</v>
      </c>
      <c r="G40" s="8">
        <f t="shared" si="5"/>
        <v>0</v>
      </c>
      <c r="H40" s="62"/>
      <c r="I40" s="62"/>
      <c r="J40" s="62"/>
      <c r="K40" s="62"/>
      <c r="L40" s="63"/>
    </row>
    <row r="41" spans="2:12" ht="18" customHeight="1" x14ac:dyDescent="0.4">
      <c r="B41" s="129"/>
      <c r="C41" s="13" t="s">
        <v>81</v>
      </c>
      <c r="D41" s="14">
        <f t="shared" si="3"/>
        <v>1.3</v>
      </c>
      <c r="E41" s="13">
        <v>2</v>
      </c>
      <c r="F41" s="20">
        <f t="shared" si="4"/>
        <v>0</v>
      </c>
      <c r="G41" s="8">
        <f t="shared" si="5"/>
        <v>0</v>
      </c>
      <c r="H41" s="62"/>
      <c r="I41" s="62"/>
      <c r="J41" s="62"/>
      <c r="K41" s="62"/>
      <c r="L41" s="63"/>
    </row>
    <row r="42" spans="2:12" ht="18" customHeight="1" x14ac:dyDescent="0.4">
      <c r="B42" s="129"/>
      <c r="C42" s="13" t="s">
        <v>162</v>
      </c>
      <c r="D42" s="16">
        <f t="shared" si="3"/>
        <v>1.9500000000000002</v>
      </c>
      <c r="E42" s="13">
        <v>3</v>
      </c>
      <c r="F42" s="20">
        <f t="shared" si="4"/>
        <v>0</v>
      </c>
      <c r="G42" s="8">
        <f t="shared" si="5"/>
        <v>0</v>
      </c>
      <c r="H42" s="62"/>
      <c r="I42" s="62"/>
      <c r="J42" s="62"/>
      <c r="K42" s="62"/>
      <c r="L42" s="63"/>
    </row>
    <row r="43" spans="2:12" ht="18" customHeight="1" x14ac:dyDescent="0.4">
      <c r="B43" s="134" t="s">
        <v>163</v>
      </c>
      <c r="C43" s="13" t="s">
        <v>27</v>
      </c>
      <c r="D43" s="16">
        <f t="shared" si="3"/>
        <v>26</v>
      </c>
      <c r="E43" s="12">
        <v>40</v>
      </c>
      <c r="F43" s="8">
        <f t="shared" si="4"/>
        <v>0</v>
      </c>
      <c r="G43" s="8">
        <f t="shared" si="5"/>
        <v>0</v>
      </c>
      <c r="H43" s="88" t="s">
        <v>164</v>
      </c>
      <c r="I43" s="89"/>
      <c r="J43" s="89"/>
      <c r="K43" s="89"/>
      <c r="L43" s="90"/>
    </row>
    <row r="44" spans="2:12" ht="18" customHeight="1" x14ac:dyDescent="0.4">
      <c r="B44" s="135"/>
      <c r="C44" s="13" t="s">
        <v>56</v>
      </c>
      <c r="D44" s="14">
        <f t="shared" si="3"/>
        <v>9.75</v>
      </c>
      <c r="E44" s="12">
        <v>15</v>
      </c>
      <c r="F44" s="8">
        <f t="shared" si="4"/>
        <v>0</v>
      </c>
      <c r="G44" s="8">
        <f t="shared" si="5"/>
        <v>0</v>
      </c>
      <c r="H44" s="91"/>
      <c r="I44" s="92"/>
      <c r="J44" s="92"/>
      <c r="K44" s="92"/>
      <c r="L44" s="93"/>
    </row>
    <row r="45" spans="2:12" ht="18" customHeight="1" x14ac:dyDescent="0.4">
      <c r="B45" s="135"/>
      <c r="C45" s="13" t="s">
        <v>13</v>
      </c>
      <c r="D45" s="14">
        <f t="shared" si="3"/>
        <v>2.6</v>
      </c>
      <c r="E45" s="12">
        <v>4</v>
      </c>
      <c r="F45" s="8">
        <f t="shared" si="4"/>
        <v>0</v>
      </c>
      <c r="G45" s="8">
        <f t="shared" si="5"/>
        <v>0</v>
      </c>
      <c r="H45" s="91"/>
      <c r="I45" s="92"/>
      <c r="J45" s="92"/>
      <c r="K45" s="92"/>
      <c r="L45" s="93"/>
    </row>
    <row r="46" spans="2:12" ht="18" customHeight="1" x14ac:dyDescent="0.4">
      <c r="B46" s="135"/>
      <c r="C46" s="13" t="s">
        <v>15</v>
      </c>
      <c r="D46" s="14">
        <f t="shared" si="3"/>
        <v>1.3</v>
      </c>
      <c r="E46" s="12">
        <v>2</v>
      </c>
      <c r="F46" s="8">
        <f t="shared" si="4"/>
        <v>0</v>
      </c>
      <c r="G46" s="8">
        <f t="shared" si="5"/>
        <v>0</v>
      </c>
      <c r="H46" s="91"/>
      <c r="I46" s="92"/>
      <c r="J46" s="92"/>
      <c r="K46" s="92"/>
      <c r="L46" s="93"/>
    </row>
    <row r="47" spans="2:12" ht="18" customHeight="1" x14ac:dyDescent="0.4">
      <c r="B47" s="135"/>
      <c r="C47" s="13" t="s">
        <v>9</v>
      </c>
      <c r="D47" s="14">
        <f t="shared" si="3"/>
        <v>0.65</v>
      </c>
      <c r="E47" s="12">
        <v>1</v>
      </c>
      <c r="F47" s="8">
        <f t="shared" si="4"/>
        <v>0</v>
      </c>
      <c r="G47" s="8">
        <f t="shared" si="5"/>
        <v>0</v>
      </c>
      <c r="H47" s="91"/>
      <c r="I47" s="92"/>
      <c r="J47" s="92"/>
      <c r="K47" s="92"/>
      <c r="L47" s="93"/>
    </row>
    <row r="48" spans="2:12" ht="18" customHeight="1" x14ac:dyDescent="0.4">
      <c r="B48" s="135"/>
      <c r="C48" s="13" t="s">
        <v>8</v>
      </c>
      <c r="D48" s="14">
        <f t="shared" si="3"/>
        <v>0.13</v>
      </c>
      <c r="E48" s="12">
        <v>0.2</v>
      </c>
      <c r="F48" s="8">
        <f t="shared" si="4"/>
        <v>0</v>
      </c>
      <c r="G48" s="8">
        <f t="shared" si="5"/>
        <v>0</v>
      </c>
      <c r="H48" s="91"/>
      <c r="I48" s="92"/>
      <c r="J48" s="92"/>
      <c r="K48" s="92"/>
      <c r="L48" s="93"/>
    </row>
    <row r="49" spans="2:12" ht="18" customHeight="1" x14ac:dyDescent="0.4">
      <c r="B49" s="135"/>
      <c r="C49" s="13" t="s">
        <v>73</v>
      </c>
      <c r="D49" s="14">
        <f t="shared" si="3"/>
        <v>0.65</v>
      </c>
      <c r="E49" s="12">
        <v>1</v>
      </c>
      <c r="F49" s="8">
        <f t="shared" si="4"/>
        <v>0</v>
      </c>
      <c r="G49" s="8">
        <f t="shared" si="5"/>
        <v>0</v>
      </c>
      <c r="H49" s="91"/>
      <c r="I49" s="92"/>
      <c r="J49" s="92"/>
      <c r="K49" s="92"/>
      <c r="L49" s="93"/>
    </row>
    <row r="50" spans="2:12" ht="18" customHeight="1" x14ac:dyDescent="0.4">
      <c r="B50" s="136"/>
      <c r="C50" s="13" t="s">
        <v>61</v>
      </c>
      <c r="D50" s="14">
        <f t="shared" si="3"/>
        <v>0.32500000000000001</v>
      </c>
      <c r="E50" s="12">
        <v>0.5</v>
      </c>
      <c r="F50" s="8">
        <f t="shared" si="4"/>
        <v>0</v>
      </c>
      <c r="G50" s="8">
        <f t="shared" si="5"/>
        <v>0</v>
      </c>
      <c r="H50" s="91"/>
      <c r="I50" s="92"/>
      <c r="J50" s="92"/>
      <c r="K50" s="92"/>
      <c r="L50" s="93"/>
    </row>
    <row r="51" spans="2:12" ht="18" customHeight="1" x14ac:dyDescent="0.4">
      <c r="B51" s="130" t="s">
        <v>165</v>
      </c>
      <c r="C51" s="13" t="s">
        <v>44</v>
      </c>
      <c r="D51" s="14">
        <f t="shared" si="3"/>
        <v>19.5</v>
      </c>
      <c r="E51" s="13">
        <v>30</v>
      </c>
      <c r="F51" s="8">
        <f t="shared" si="4"/>
        <v>0</v>
      </c>
      <c r="G51" s="8">
        <f t="shared" si="5"/>
        <v>0</v>
      </c>
      <c r="H51" s="82" t="s">
        <v>166</v>
      </c>
      <c r="I51" s="82"/>
      <c r="J51" s="82"/>
      <c r="K51" s="82"/>
      <c r="L51" s="83"/>
    </row>
    <row r="52" spans="2:12" ht="18" customHeight="1" x14ac:dyDescent="0.4">
      <c r="B52" s="131"/>
      <c r="C52" s="13" t="s">
        <v>61</v>
      </c>
      <c r="D52" s="14">
        <f t="shared" si="3"/>
        <v>0.32500000000000001</v>
      </c>
      <c r="E52" s="13">
        <v>0.5</v>
      </c>
      <c r="F52" s="8">
        <f t="shared" si="4"/>
        <v>0</v>
      </c>
      <c r="G52" s="8">
        <f t="shared" si="5"/>
        <v>0</v>
      </c>
      <c r="H52" s="82"/>
      <c r="I52" s="82"/>
      <c r="J52" s="82"/>
      <c r="K52" s="82"/>
      <c r="L52" s="83"/>
    </row>
    <row r="53" spans="2:12" ht="18" customHeight="1" x14ac:dyDescent="0.4">
      <c r="B53" s="131"/>
      <c r="C53" s="13" t="s">
        <v>74</v>
      </c>
      <c r="D53" s="14">
        <f t="shared" si="3"/>
        <v>0.65</v>
      </c>
      <c r="E53" s="13">
        <v>1</v>
      </c>
      <c r="F53" s="8">
        <f t="shared" si="4"/>
        <v>0</v>
      </c>
      <c r="G53" s="8">
        <f t="shared" si="5"/>
        <v>0</v>
      </c>
      <c r="H53" s="82"/>
      <c r="I53" s="82"/>
      <c r="J53" s="82"/>
      <c r="K53" s="82"/>
      <c r="L53" s="83"/>
    </row>
    <row r="54" spans="2:12" ht="18" customHeight="1" x14ac:dyDescent="0.4">
      <c r="B54" s="131"/>
      <c r="C54" s="13" t="s">
        <v>64</v>
      </c>
      <c r="D54" s="14">
        <f t="shared" si="3"/>
        <v>0.65</v>
      </c>
      <c r="E54" s="13">
        <v>1</v>
      </c>
      <c r="F54" s="8">
        <f t="shared" si="4"/>
        <v>0</v>
      </c>
      <c r="G54" s="8">
        <f t="shared" si="5"/>
        <v>0</v>
      </c>
      <c r="H54" s="82"/>
      <c r="I54" s="82"/>
      <c r="J54" s="82"/>
      <c r="K54" s="82"/>
      <c r="L54" s="83"/>
    </row>
    <row r="55" spans="2:12" ht="18" customHeight="1" x14ac:dyDescent="0.4">
      <c r="B55" s="131"/>
      <c r="C55" s="13" t="s">
        <v>65</v>
      </c>
      <c r="D55" s="14">
        <f t="shared" si="3"/>
        <v>0.13</v>
      </c>
      <c r="E55" s="13">
        <v>0.2</v>
      </c>
      <c r="F55" s="8">
        <f t="shared" si="4"/>
        <v>0</v>
      </c>
      <c r="G55" s="8">
        <f t="shared" si="5"/>
        <v>0</v>
      </c>
      <c r="H55" s="82"/>
      <c r="I55" s="82"/>
      <c r="J55" s="82"/>
      <c r="K55" s="82"/>
      <c r="L55" s="83"/>
    </row>
    <row r="56" spans="2:12" ht="18" customHeight="1" x14ac:dyDescent="0.4">
      <c r="B56" s="132"/>
      <c r="C56" s="13" t="s">
        <v>9</v>
      </c>
      <c r="D56" s="14">
        <f t="shared" si="3"/>
        <v>0.32500000000000001</v>
      </c>
      <c r="E56" s="13">
        <v>0.5</v>
      </c>
      <c r="F56" s="8">
        <f t="shared" si="4"/>
        <v>0</v>
      </c>
      <c r="G56" s="8">
        <f t="shared" si="5"/>
        <v>0</v>
      </c>
      <c r="H56" s="82"/>
      <c r="I56" s="82"/>
      <c r="J56" s="82"/>
      <c r="K56" s="82"/>
      <c r="L56" s="83"/>
    </row>
    <row r="57" spans="2:12" ht="18" customHeight="1" thickBot="1" x14ac:dyDescent="0.45">
      <c r="B57" s="133" t="s">
        <v>66</v>
      </c>
      <c r="C57" s="34" t="s">
        <v>67</v>
      </c>
      <c r="D57" s="37">
        <f t="shared" si="3"/>
        <v>13</v>
      </c>
      <c r="E57" s="21">
        <v>20</v>
      </c>
      <c r="F57" s="22">
        <f t="shared" si="4"/>
        <v>0</v>
      </c>
      <c r="G57" s="22">
        <f t="shared" si="5"/>
        <v>0</v>
      </c>
      <c r="H57" s="73" t="s">
        <v>54</v>
      </c>
      <c r="I57" s="74"/>
      <c r="J57" s="74"/>
      <c r="K57" s="74"/>
      <c r="L57" s="75"/>
    </row>
    <row r="58" spans="2:12" ht="80.099999999999994" customHeight="1" thickTop="1" x14ac:dyDescent="0.4">
      <c r="B58" s="84"/>
      <c r="C58" s="84"/>
      <c r="D58" s="84"/>
      <c r="E58" s="84"/>
      <c r="F58" s="84"/>
      <c r="G58" s="84"/>
      <c r="H58" s="84"/>
      <c r="I58" s="84"/>
      <c r="J58" s="84"/>
      <c r="K58" s="84"/>
      <c r="L58" s="84"/>
    </row>
    <row r="59" spans="2:12" ht="18" thickBot="1" x14ac:dyDescent="0.45"/>
    <row r="60" spans="2:12" ht="21" customHeight="1" thickTop="1" x14ac:dyDescent="0.4">
      <c r="B60" s="120" t="s">
        <v>80</v>
      </c>
      <c r="C60" s="121"/>
      <c r="D60" s="121"/>
      <c r="E60" s="121"/>
      <c r="F60" s="121"/>
      <c r="G60" s="121"/>
      <c r="H60" s="121"/>
      <c r="I60" s="121"/>
      <c r="J60" s="121"/>
      <c r="K60" s="121"/>
      <c r="L60" s="122"/>
    </row>
    <row r="61" spans="2:12" ht="18" customHeight="1" x14ac:dyDescent="0.4">
      <c r="B61" s="76" t="s">
        <v>3</v>
      </c>
      <c r="C61" s="78" t="s">
        <v>4</v>
      </c>
      <c r="D61" s="80" t="s">
        <v>5</v>
      </c>
      <c r="E61" s="81"/>
      <c r="F61" s="80" t="s">
        <v>6</v>
      </c>
      <c r="G61" s="81"/>
      <c r="H61" s="47" t="s">
        <v>7</v>
      </c>
      <c r="I61" s="48"/>
      <c r="J61" s="48"/>
      <c r="K61" s="48"/>
      <c r="L61" s="49"/>
    </row>
    <row r="62" spans="2:12" ht="18" customHeight="1" x14ac:dyDescent="0.4">
      <c r="B62" s="77"/>
      <c r="C62" s="79"/>
      <c r="D62" s="123" t="s">
        <v>1</v>
      </c>
      <c r="E62" s="29" t="s">
        <v>2</v>
      </c>
      <c r="F62" s="32" t="s">
        <v>1</v>
      </c>
      <c r="G62" s="33" t="s">
        <v>2</v>
      </c>
      <c r="H62" s="50"/>
      <c r="I62" s="51"/>
      <c r="J62" s="51"/>
      <c r="K62" s="51"/>
      <c r="L62" s="52"/>
    </row>
    <row r="63" spans="2:12" ht="18" customHeight="1" x14ac:dyDescent="0.4">
      <c r="B63" s="124" t="s">
        <v>98</v>
      </c>
      <c r="C63" s="43" t="s">
        <v>30</v>
      </c>
      <c r="D63" s="14">
        <f t="shared" ref="D63:D89" si="6">E63*0.65</f>
        <v>32.5</v>
      </c>
      <c r="E63" s="12">
        <v>50</v>
      </c>
      <c r="F63" s="8">
        <f t="shared" ref="F63:F89" si="7">D63*D$2</f>
        <v>0</v>
      </c>
      <c r="G63" s="8">
        <f t="shared" ref="G63:G89" si="8">E63*D$3</f>
        <v>0</v>
      </c>
      <c r="H63" s="53" t="s">
        <v>167</v>
      </c>
      <c r="I63" s="54"/>
      <c r="J63" s="54"/>
      <c r="K63" s="54"/>
      <c r="L63" s="55"/>
    </row>
    <row r="64" spans="2:12" ht="18" customHeight="1" x14ac:dyDescent="0.4">
      <c r="B64" s="125"/>
      <c r="C64" s="43" t="s">
        <v>168</v>
      </c>
      <c r="D64" s="14">
        <f t="shared" si="6"/>
        <v>1.625</v>
      </c>
      <c r="E64" s="12">
        <v>2.5</v>
      </c>
      <c r="F64" s="8">
        <f t="shared" si="7"/>
        <v>0</v>
      </c>
      <c r="G64" s="8">
        <f t="shared" si="8"/>
        <v>0</v>
      </c>
      <c r="H64" s="59"/>
      <c r="I64" s="60"/>
      <c r="J64" s="60"/>
      <c r="K64" s="60"/>
      <c r="L64" s="61"/>
    </row>
    <row r="65" spans="2:12" ht="18" customHeight="1" x14ac:dyDescent="0.4">
      <c r="B65" s="124" t="s">
        <v>169</v>
      </c>
      <c r="C65" s="15" t="s">
        <v>170</v>
      </c>
      <c r="D65" s="14">
        <f t="shared" si="6"/>
        <v>4.55</v>
      </c>
      <c r="E65" s="13">
        <v>7</v>
      </c>
      <c r="F65" s="8">
        <f t="shared" si="7"/>
        <v>0</v>
      </c>
      <c r="G65" s="8">
        <f t="shared" si="8"/>
        <v>0</v>
      </c>
      <c r="H65" s="88" t="s">
        <v>171</v>
      </c>
      <c r="I65" s="89"/>
      <c r="J65" s="89"/>
      <c r="K65" s="89"/>
      <c r="L65" s="90"/>
    </row>
    <row r="66" spans="2:12" ht="18" customHeight="1" x14ac:dyDescent="0.4">
      <c r="B66" s="137"/>
      <c r="C66" s="15" t="s">
        <v>20</v>
      </c>
      <c r="D66" s="14">
        <f t="shared" si="6"/>
        <v>6.5</v>
      </c>
      <c r="E66" s="13">
        <v>10</v>
      </c>
      <c r="F66" s="8">
        <f t="shared" si="7"/>
        <v>0</v>
      </c>
      <c r="G66" s="8">
        <f t="shared" si="8"/>
        <v>0</v>
      </c>
      <c r="H66" s="91"/>
      <c r="I66" s="92"/>
      <c r="J66" s="92"/>
      <c r="K66" s="92"/>
      <c r="L66" s="93"/>
    </row>
    <row r="67" spans="2:12" ht="18" customHeight="1" x14ac:dyDescent="0.4">
      <c r="B67" s="137"/>
      <c r="C67" s="15" t="s">
        <v>73</v>
      </c>
      <c r="D67" s="14">
        <f t="shared" si="6"/>
        <v>0.65</v>
      </c>
      <c r="E67" s="13">
        <v>1</v>
      </c>
      <c r="F67" s="8">
        <f t="shared" si="7"/>
        <v>0</v>
      </c>
      <c r="G67" s="8">
        <f t="shared" si="8"/>
        <v>0</v>
      </c>
      <c r="H67" s="91"/>
      <c r="I67" s="92"/>
      <c r="J67" s="92"/>
      <c r="K67" s="92"/>
      <c r="L67" s="93"/>
    </row>
    <row r="68" spans="2:12" ht="18" customHeight="1" x14ac:dyDescent="0.4">
      <c r="B68" s="137"/>
      <c r="C68" s="15" t="s">
        <v>61</v>
      </c>
      <c r="D68" s="14">
        <f t="shared" si="6"/>
        <v>0.32500000000000001</v>
      </c>
      <c r="E68" s="13">
        <v>0.5</v>
      </c>
      <c r="F68" s="8">
        <f t="shared" si="7"/>
        <v>0</v>
      </c>
      <c r="G68" s="8">
        <f t="shared" si="8"/>
        <v>0</v>
      </c>
      <c r="H68" s="91"/>
      <c r="I68" s="92"/>
      <c r="J68" s="92"/>
      <c r="K68" s="92"/>
      <c r="L68" s="93"/>
    </row>
    <row r="69" spans="2:12" ht="18" customHeight="1" x14ac:dyDescent="0.4">
      <c r="B69" s="137"/>
      <c r="C69" s="15" t="s">
        <v>64</v>
      </c>
      <c r="D69" s="14">
        <f t="shared" si="6"/>
        <v>0.65</v>
      </c>
      <c r="E69" s="13">
        <v>1</v>
      </c>
      <c r="F69" s="8">
        <f t="shared" si="7"/>
        <v>0</v>
      </c>
      <c r="G69" s="8">
        <f t="shared" si="8"/>
        <v>0</v>
      </c>
      <c r="H69" s="91"/>
      <c r="I69" s="92"/>
      <c r="J69" s="92"/>
      <c r="K69" s="92"/>
      <c r="L69" s="93"/>
    </row>
    <row r="70" spans="2:12" ht="18" customHeight="1" x14ac:dyDescent="0.4">
      <c r="B70" s="125"/>
      <c r="C70" s="15" t="s">
        <v>9</v>
      </c>
      <c r="D70" s="14">
        <f t="shared" si="6"/>
        <v>0.65</v>
      </c>
      <c r="E70" s="13">
        <v>1</v>
      </c>
      <c r="F70" s="8">
        <f t="shared" si="7"/>
        <v>0</v>
      </c>
      <c r="G70" s="8">
        <f t="shared" si="8"/>
        <v>0</v>
      </c>
      <c r="H70" s="98"/>
      <c r="I70" s="99"/>
      <c r="J70" s="99"/>
      <c r="K70" s="99"/>
      <c r="L70" s="100"/>
    </row>
    <row r="71" spans="2:12" ht="18" customHeight="1" x14ac:dyDescent="0.4">
      <c r="B71" s="128" t="s">
        <v>142</v>
      </c>
      <c r="C71" s="13" t="s">
        <v>48</v>
      </c>
      <c r="D71" s="16">
        <f t="shared" si="6"/>
        <v>26</v>
      </c>
      <c r="E71" s="13">
        <v>40</v>
      </c>
      <c r="F71" s="8">
        <f t="shared" si="7"/>
        <v>0</v>
      </c>
      <c r="G71" s="8">
        <f t="shared" si="8"/>
        <v>0</v>
      </c>
      <c r="H71" s="88" t="s">
        <v>172</v>
      </c>
      <c r="I71" s="89"/>
      <c r="J71" s="89"/>
      <c r="K71" s="89"/>
      <c r="L71" s="90"/>
    </row>
    <row r="72" spans="2:12" ht="18" customHeight="1" x14ac:dyDescent="0.4">
      <c r="B72" s="129"/>
      <c r="C72" s="15" t="s">
        <v>17</v>
      </c>
      <c r="D72" s="14">
        <f t="shared" si="6"/>
        <v>6.5</v>
      </c>
      <c r="E72" s="13">
        <v>10</v>
      </c>
      <c r="F72" s="8">
        <f t="shared" si="7"/>
        <v>0</v>
      </c>
      <c r="G72" s="8">
        <f t="shared" si="8"/>
        <v>0</v>
      </c>
      <c r="H72" s="91"/>
      <c r="I72" s="92"/>
      <c r="J72" s="92"/>
      <c r="K72" s="92"/>
      <c r="L72" s="93"/>
    </row>
    <row r="73" spans="2:12" ht="18" customHeight="1" x14ac:dyDescent="0.4">
      <c r="B73" s="129"/>
      <c r="C73" s="15" t="s">
        <v>18</v>
      </c>
      <c r="D73" s="14">
        <f t="shared" si="6"/>
        <v>6.5</v>
      </c>
      <c r="E73" s="13">
        <v>10</v>
      </c>
      <c r="F73" s="8">
        <f t="shared" si="7"/>
        <v>0</v>
      </c>
      <c r="G73" s="8">
        <f t="shared" si="8"/>
        <v>0</v>
      </c>
      <c r="H73" s="91"/>
      <c r="I73" s="92"/>
      <c r="J73" s="92"/>
      <c r="K73" s="92"/>
      <c r="L73" s="93"/>
    </row>
    <row r="74" spans="2:12" ht="18" customHeight="1" x14ac:dyDescent="0.4">
      <c r="B74" s="129"/>
      <c r="C74" s="15" t="s">
        <v>19</v>
      </c>
      <c r="D74" s="14">
        <f t="shared" si="6"/>
        <v>1.3</v>
      </c>
      <c r="E74" s="13">
        <v>2</v>
      </c>
      <c r="F74" s="8">
        <f t="shared" si="7"/>
        <v>0</v>
      </c>
      <c r="G74" s="8">
        <f t="shared" si="8"/>
        <v>0</v>
      </c>
      <c r="H74" s="91"/>
      <c r="I74" s="92"/>
      <c r="J74" s="92"/>
      <c r="K74" s="92"/>
      <c r="L74" s="93"/>
    </row>
    <row r="75" spans="2:12" ht="18" customHeight="1" x14ac:dyDescent="0.4">
      <c r="B75" s="129"/>
      <c r="C75" s="15" t="s">
        <v>13</v>
      </c>
      <c r="D75" s="14">
        <f t="shared" si="6"/>
        <v>3.25</v>
      </c>
      <c r="E75" s="13">
        <v>5</v>
      </c>
      <c r="F75" s="8">
        <f t="shared" si="7"/>
        <v>0</v>
      </c>
      <c r="G75" s="8">
        <f t="shared" si="8"/>
        <v>0</v>
      </c>
      <c r="H75" s="91"/>
      <c r="I75" s="92"/>
      <c r="J75" s="92"/>
      <c r="K75" s="92"/>
      <c r="L75" s="93"/>
    </row>
    <row r="76" spans="2:12" ht="18" customHeight="1" x14ac:dyDescent="0.4">
      <c r="B76" s="129"/>
      <c r="C76" s="15" t="s">
        <v>12</v>
      </c>
      <c r="D76" s="16">
        <f t="shared" si="6"/>
        <v>1.9500000000000002</v>
      </c>
      <c r="E76" s="13">
        <v>3</v>
      </c>
      <c r="F76" s="8">
        <f t="shared" si="7"/>
        <v>0</v>
      </c>
      <c r="G76" s="8">
        <f t="shared" si="8"/>
        <v>0</v>
      </c>
      <c r="H76" s="91"/>
      <c r="I76" s="92"/>
      <c r="J76" s="92"/>
      <c r="K76" s="92"/>
      <c r="L76" s="93"/>
    </row>
    <row r="77" spans="2:12" ht="18" customHeight="1" x14ac:dyDescent="0.4">
      <c r="B77" s="129"/>
      <c r="C77" s="15" t="s">
        <v>61</v>
      </c>
      <c r="D77" s="14">
        <f t="shared" si="6"/>
        <v>0.65</v>
      </c>
      <c r="E77" s="13">
        <v>1</v>
      </c>
      <c r="F77" s="8">
        <f t="shared" si="7"/>
        <v>0</v>
      </c>
      <c r="G77" s="8">
        <f t="shared" si="8"/>
        <v>0</v>
      </c>
      <c r="H77" s="91"/>
      <c r="I77" s="92"/>
      <c r="J77" s="92"/>
      <c r="K77" s="92"/>
      <c r="L77" s="93"/>
    </row>
    <row r="78" spans="2:12" ht="18" customHeight="1" x14ac:dyDescent="0.4">
      <c r="B78" s="129"/>
      <c r="C78" s="15" t="s">
        <v>9</v>
      </c>
      <c r="D78" s="14">
        <f t="shared" si="6"/>
        <v>0.32500000000000001</v>
      </c>
      <c r="E78" s="13">
        <v>0.5</v>
      </c>
      <c r="F78" s="8">
        <f t="shared" si="7"/>
        <v>0</v>
      </c>
      <c r="G78" s="8">
        <f t="shared" si="8"/>
        <v>0</v>
      </c>
      <c r="H78" s="91"/>
      <c r="I78" s="92"/>
      <c r="J78" s="92"/>
      <c r="K78" s="92"/>
      <c r="L78" s="93"/>
    </row>
    <row r="79" spans="2:12" ht="18" customHeight="1" x14ac:dyDescent="0.4">
      <c r="B79" s="129"/>
      <c r="C79" s="15" t="s">
        <v>10</v>
      </c>
      <c r="D79" s="14">
        <f t="shared" si="6"/>
        <v>0.32500000000000001</v>
      </c>
      <c r="E79" s="13">
        <v>0.5</v>
      </c>
      <c r="F79" s="8">
        <f t="shared" si="7"/>
        <v>0</v>
      </c>
      <c r="G79" s="8">
        <f t="shared" si="8"/>
        <v>0</v>
      </c>
      <c r="H79" s="91"/>
      <c r="I79" s="92"/>
      <c r="J79" s="92"/>
      <c r="K79" s="92"/>
      <c r="L79" s="93"/>
    </row>
    <row r="80" spans="2:12" ht="18" customHeight="1" x14ac:dyDescent="0.4">
      <c r="B80" s="129"/>
      <c r="C80" s="15" t="s">
        <v>26</v>
      </c>
      <c r="D80" s="14">
        <f t="shared" si="6"/>
        <v>0.13</v>
      </c>
      <c r="E80" s="13">
        <v>0.2</v>
      </c>
      <c r="F80" s="8">
        <f t="shared" si="7"/>
        <v>0</v>
      </c>
      <c r="G80" s="8">
        <f t="shared" si="8"/>
        <v>0</v>
      </c>
      <c r="H80" s="91"/>
      <c r="I80" s="92"/>
      <c r="J80" s="92"/>
      <c r="K80" s="92"/>
      <c r="L80" s="93"/>
    </row>
    <row r="81" spans="2:12" ht="18" customHeight="1" x14ac:dyDescent="0.4">
      <c r="B81" s="138"/>
      <c r="C81" s="15" t="s">
        <v>14</v>
      </c>
      <c r="D81" s="14">
        <f t="shared" si="6"/>
        <v>1.3</v>
      </c>
      <c r="E81" s="13">
        <v>2</v>
      </c>
      <c r="F81" s="8">
        <f t="shared" si="7"/>
        <v>0</v>
      </c>
      <c r="G81" s="8">
        <f t="shared" si="8"/>
        <v>0</v>
      </c>
      <c r="H81" s="91"/>
      <c r="I81" s="92"/>
      <c r="J81" s="92"/>
      <c r="K81" s="92"/>
      <c r="L81" s="93"/>
    </row>
    <row r="82" spans="2:12" ht="18" customHeight="1" x14ac:dyDescent="0.4">
      <c r="B82" s="139" t="s">
        <v>173</v>
      </c>
      <c r="C82" s="13" t="s">
        <v>105</v>
      </c>
      <c r="D82" s="14">
        <f t="shared" si="6"/>
        <v>16.25</v>
      </c>
      <c r="E82" s="13">
        <v>25</v>
      </c>
      <c r="F82" s="8">
        <f t="shared" si="7"/>
        <v>0</v>
      </c>
      <c r="G82" s="8">
        <f t="shared" si="8"/>
        <v>0</v>
      </c>
      <c r="H82" s="82" t="s">
        <v>174</v>
      </c>
      <c r="I82" s="82"/>
      <c r="J82" s="82"/>
      <c r="K82" s="82"/>
      <c r="L82" s="83"/>
    </row>
    <row r="83" spans="2:12" ht="18" customHeight="1" x14ac:dyDescent="0.4">
      <c r="B83" s="139"/>
      <c r="C83" s="13" t="s">
        <v>16</v>
      </c>
      <c r="D83" s="14">
        <f t="shared" si="6"/>
        <v>6.5</v>
      </c>
      <c r="E83" s="13">
        <v>10</v>
      </c>
      <c r="F83" s="8">
        <f t="shared" si="7"/>
        <v>0</v>
      </c>
      <c r="G83" s="8">
        <f t="shared" si="8"/>
        <v>0</v>
      </c>
      <c r="H83" s="82"/>
      <c r="I83" s="82"/>
      <c r="J83" s="82"/>
      <c r="K83" s="82"/>
      <c r="L83" s="83"/>
    </row>
    <row r="84" spans="2:12" ht="18" customHeight="1" x14ac:dyDescent="0.4">
      <c r="B84" s="139"/>
      <c r="C84" s="13" t="s">
        <v>17</v>
      </c>
      <c r="D84" s="14">
        <f t="shared" si="6"/>
        <v>3.25</v>
      </c>
      <c r="E84" s="13">
        <v>5</v>
      </c>
      <c r="F84" s="8">
        <f t="shared" si="7"/>
        <v>0</v>
      </c>
      <c r="G84" s="8">
        <f t="shared" si="8"/>
        <v>0</v>
      </c>
      <c r="H84" s="82"/>
      <c r="I84" s="82"/>
      <c r="J84" s="82"/>
      <c r="K84" s="82"/>
      <c r="L84" s="83"/>
    </row>
    <row r="85" spans="2:12" ht="18" customHeight="1" x14ac:dyDescent="0.4">
      <c r="B85" s="139"/>
      <c r="C85" s="13" t="s">
        <v>40</v>
      </c>
      <c r="D85" s="14">
        <f t="shared" si="6"/>
        <v>0.32500000000000001</v>
      </c>
      <c r="E85" s="13">
        <v>0.5</v>
      </c>
      <c r="F85" s="8">
        <f t="shared" si="7"/>
        <v>0</v>
      </c>
      <c r="G85" s="8">
        <f t="shared" si="8"/>
        <v>0</v>
      </c>
      <c r="H85" s="82"/>
      <c r="I85" s="82"/>
      <c r="J85" s="82"/>
      <c r="K85" s="82"/>
      <c r="L85" s="83"/>
    </row>
    <row r="86" spans="2:12" ht="18" customHeight="1" x14ac:dyDescent="0.4">
      <c r="B86" s="139"/>
      <c r="C86" s="13" t="s">
        <v>10</v>
      </c>
      <c r="D86" s="14">
        <f t="shared" si="6"/>
        <v>0.32500000000000001</v>
      </c>
      <c r="E86" s="13">
        <v>0.5</v>
      </c>
      <c r="F86" s="8">
        <f t="shared" si="7"/>
        <v>0</v>
      </c>
      <c r="G86" s="8">
        <f t="shared" si="8"/>
        <v>0</v>
      </c>
      <c r="H86" s="82"/>
      <c r="I86" s="82"/>
      <c r="J86" s="82"/>
      <c r="K86" s="82"/>
      <c r="L86" s="83"/>
    </row>
    <row r="87" spans="2:12" ht="18" customHeight="1" x14ac:dyDescent="0.4">
      <c r="B87" s="139"/>
      <c r="C87" s="13" t="s">
        <v>8</v>
      </c>
      <c r="D87" s="14">
        <f t="shared" si="6"/>
        <v>0.32500000000000001</v>
      </c>
      <c r="E87" s="13">
        <v>0.5</v>
      </c>
      <c r="F87" s="8">
        <f t="shared" si="7"/>
        <v>0</v>
      </c>
      <c r="G87" s="8">
        <f t="shared" si="8"/>
        <v>0</v>
      </c>
      <c r="H87" s="82"/>
      <c r="I87" s="82"/>
      <c r="J87" s="82"/>
      <c r="K87" s="82"/>
      <c r="L87" s="83"/>
    </row>
    <row r="88" spans="2:12" ht="18" customHeight="1" x14ac:dyDescent="0.4">
      <c r="B88" s="139"/>
      <c r="C88" s="13" t="s">
        <v>14</v>
      </c>
      <c r="D88" s="14">
        <f t="shared" si="6"/>
        <v>0.65</v>
      </c>
      <c r="E88" s="13">
        <v>1</v>
      </c>
      <c r="F88" s="8">
        <f t="shared" si="7"/>
        <v>0</v>
      </c>
      <c r="G88" s="8">
        <f t="shared" si="8"/>
        <v>0</v>
      </c>
      <c r="H88" s="82"/>
      <c r="I88" s="82"/>
      <c r="J88" s="82"/>
      <c r="K88" s="82"/>
      <c r="L88" s="83"/>
    </row>
    <row r="89" spans="2:12" ht="18" customHeight="1" thickBot="1" x14ac:dyDescent="0.45">
      <c r="B89" s="133" t="s">
        <v>66</v>
      </c>
      <c r="C89" s="34" t="s">
        <v>67</v>
      </c>
      <c r="D89" s="37">
        <f t="shared" si="6"/>
        <v>13</v>
      </c>
      <c r="E89" s="21">
        <v>20</v>
      </c>
      <c r="F89" s="22">
        <f t="shared" si="7"/>
        <v>0</v>
      </c>
      <c r="G89" s="22">
        <f t="shared" si="8"/>
        <v>0</v>
      </c>
      <c r="H89" s="73" t="s">
        <v>54</v>
      </c>
      <c r="I89" s="74"/>
      <c r="J89" s="74"/>
      <c r="K89" s="74"/>
      <c r="L89" s="75"/>
    </row>
    <row r="90" spans="2:12" ht="80.099999999999994" customHeight="1" thickTop="1" x14ac:dyDescent="0.4"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</row>
    <row r="91" spans="2:12" ht="18" thickBot="1" x14ac:dyDescent="0.45"/>
    <row r="92" spans="2:12" ht="21" customHeight="1" thickTop="1" x14ac:dyDescent="0.4">
      <c r="B92" s="120" t="s">
        <v>84</v>
      </c>
      <c r="C92" s="121"/>
      <c r="D92" s="121"/>
      <c r="E92" s="121"/>
      <c r="F92" s="121"/>
      <c r="G92" s="121"/>
      <c r="H92" s="121"/>
      <c r="I92" s="121"/>
      <c r="J92" s="121"/>
      <c r="K92" s="121"/>
      <c r="L92" s="122"/>
    </row>
    <row r="93" spans="2:12" ht="18" customHeight="1" x14ac:dyDescent="0.4">
      <c r="B93" s="76" t="s">
        <v>3</v>
      </c>
      <c r="C93" s="78" t="s">
        <v>4</v>
      </c>
      <c r="D93" s="80" t="s">
        <v>5</v>
      </c>
      <c r="E93" s="81"/>
      <c r="F93" s="80" t="s">
        <v>6</v>
      </c>
      <c r="G93" s="81"/>
      <c r="H93" s="47" t="s">
        <v>7</v>
      </c>
      <c r="I93" s="48"/>
      <c r="J93" s="48"/>
      <c r="K93" s="48"/>
      <c r="L93" s="49"/>
    </row>
    <row r="94" spans="2:12" ht="18" customHeight="1" x14ac:dyDescent="0.4">
      <c r="B94" s="77"/>
      <c r="C94" s="79"/>
      <c r="D94" s="123" t="s">
        <v>1</v>
      </c>
      <c r="E94" s="29" t="s">
        <v>2</v>
      </c>
      <c r="F94" s="32" t="s">
        <v>1</v>
      </c>
      <c r="G94" s="33" t="s">
        <v>2</v>
      </c>
      <c r="H94" s="50"/>
      <c r="I94" s="51"/>
      <c r="J94" s="51"/>
      <c r="K94" s="51"/>
      <c r="L94" s="52"/>
    </row>
    <row r="95" spans="2:12" ht="18" customHeight="1" x14ac:dyDescent="0.4">
      <c r="B95" s="140" t="s">
        <v>68</v>
      </c>
      <c r="C95" s="13" t="s">
        <v>30</v>
      </c>
      <c r="D95" s="14">
        <f t="shared" ref="D95:D117" si="9">E95*0.65</f>
        <v>32.5</v>
      </c>
      <c r="E95" s="13">
        <v>50</v>
      </c>
      <c r="F95" s="8">
        <f t="shared" ref="F95:F117" si="10">D95*D$2</f>
        <v>0</v>
      </c>
      <c r="G95" s="8">
        <f t="shared" ref="G95:G117" si="11">E95*D$3</f>
        <v>0</v>
      </c>
      <c r="H95" s="62" t="s">
        <v>130</v>
      </c>
      <c r="I95" s="62"/>
      <c r="J95" s="62"/>
      <c r="K95" s="62"/>
      <c r="L95" s="63"/>
    </row>
    <row r="96" spans="2:12" ht="18" customHeight="1" x14ac:dyDescent="0.4">
      <c r="B96" s="140"/>
      <c r="C96" s="13" t="s">
        <v>69</v>
      </c>
      <c r="D96" s="14">
        <f t="shared" si="9"/>
        <v>1.625</v>
      </c>
      <c r="E96" s="13">
        <v>2.5</v>
      </c>
      <c r="F96" s="8">
        <f t="shared" si="10"/>
        <v>0</v>
      </c>
      <c r="G96" s="8">
        <f t="shared" si="11"/>
        <v>0</v>
      </c>
      <c r="H96" s="62"/>
      <c r="I96" s="62"/>
      <c r="J96" s="62"/>
      <c r="K96" s="62"/>
      <c r="L96" s="63"/>
    </row>
    <row r="97" spans="2:12" ht="18" customHeight="1" x14ac:dyDescent="0.4">
      <c r="B97" s="130" t="s">
        <v>146</v>
      </c>
      <c r="C97" s="13" t="s">
        <v>47</v>
      </c>
      <c r="D97" s="16">
        <f t="shared" si="9"/>
        <v>13</v>
      </c>
      <c r="E97" s="13">
        <v>20</v>
      </c>
      <c r="F97" s="8">
        <f t="shared" si="10"/>
        <v>0</v>
      </c>
      <c r="G97" s="8">
        <f t="shared" si="11"/>
        <v>0</v>
      </c>
      <c r="H97" s="53" t="s">
        <v>175</v>
      </c>
      <c r="I97" s="54"/>
      <c r="J97" s="54"/>
      <c r="K97" s="54"/>
      <c r="L97" s="55"/>
    </row>
    <row r="98" spans="2:12" ht="18" customHeight="1" x14ac:dyDescent="0.4">
      <c r="B98" s="131"/>
      <c r="C98" s="13" t="s">
        <v>19</v>
      </c>
      <c r="D98" s="14">
        <f t="shared" si="9"/>
        <v>3.25</v>
      </c>
      <c r="E98" s="13">
        <v>5</v>
      </c>
      <c r="F98" s="8">
        <f t="shared" si="10"/>
        <v>0</v>
      </c>
      <c r="G98" s="8">
        <f t="shared" si="11"/>
        <v>0</v>
      </c>
      <c r="H98" s="56"/>
      <c r="I98" s="57"/>
      <c r="J98" s="57"/>
      <c r="K98" s="57"/>
      <c r="L98" s="58"/>
    </row>
    <row r="99" spans="2:12" ht="18" customHeight="1" x14ac:dyDescent="0.4">
      <c r="B99" s="131"/>
      <c r="C99" s="13" t="s">
        <v>22</v>
      </c>
      <c r="D99" s="14">
        <f t="shared" si="9"/>
        <v>1.3</v>
      </c>
      <c r="E99" s="13">
        <v>2</v>
      </c>
      <c r="F99" s="8">
        <f t="shared" si="10"/>
        <v>0</v>
      </c>
      <c r="G99" s="8">
        <f t="shared" si="11"/>
        <v>0</v>
      </c>
      <c r="H99" s="56"/>
      <c r="I99" s="57"/>
      <c r="J99" s="57"/>
      <c r="K99" s="57"/>
      <c r="L99" s="58"/>
    </row>
    <row r="100" spans="2:12" ht="18" customHeight="1" x14ac:dyDescent="0.4">
      <c r="B100" s="131"/>
      <c r="C100" s="13" t="s">
        <v>21</v>
      </c>
      <c r="D100" s="14">
        <f t="shared" si="9"/>
        <v>1.3</v>
      </c>
      <c r="E100" s="13">
        <v>2</v>
      </c>
      <c r="F100" s="8">
        <f t="shared" si="10"/>
        <v>0</v>
      </c>
      <c r="G100" s="8">
        <f t="shared" si="11"/>
        <v>0</v>
      </c>
      <c r="H100" s="56"/>
      <c r="I100" s="57"/>
      <c r="J100" s="57"/>
      <c r="K100" s="57"/>
      <c r="L100" s="58"/>
    </row>
    <row r="101" spans="2:12" ht="18" customHeight="1" x14ac:dyDescent="0.4">
      <c r="B101" s="131"/>
      <c r="C101" s="13" t="s">
        <v>61</v>
      </c>
      <c r="D101" s="14">
        <f t="shared" si="9"/>
        <v>0.32500000000000001</v>
      </c>
      <c r="E101" s="13">
        <v>0.5</v>
      </c>
      <c r="F101" s="8">
        <f t="shared" si="10"/>
        <v>0</v>
      </c>
      <c r="G101" s="8">
        <f t="shared" si="11"/>
        <v>0</v>
      </c>
      <c r="H101" s="56"/>
      <c r="I101" s="57"/>
      <c r="J101" s="57"/>
      <c r="K101" s="57"/>
      <c r="L101" s="58"/>
    </row>
    <row r="102" spans="2:12" ht="18" customHeight="1" x14ac:dyDescent="0.4">
      <c r="B102" s="132"/>
      <c r="C102" s="13" t="s">
        <v>10</v>
      </c>
      <c r="D102" s="14">
        <f t="shared" si="9"/>
        <v>0.32500000000000001</v>
      </c>
      <c r="E102" s="13">
        <v>0.5</v>
      </c>
      <c r="F102" s="8">
        <f t="shared" si="10"/>
        <v>0</v>
      </c>
      <c r="G102" s="8">
        <f t="shared" si="11"/>
        <v>0</v>
      </c>
      <c r="H102" s="59"/>
      <c r="I102" s="60"/>
      <c r="J102" s="60"/>
      <c r="K102" s="60"/>
      <c r="L102" s="61"/>
    </row>
    <row r="103" spans="2:12" ht="18" customHeight="1" x14ac:dyDescent="0.4">
      <c r="B103" s="134" t="s">
        <v>176</v>
      </c>
      <c r="C103" s="30" t="s">
        <v>62</v>
      </c>
      <c r="D103" s="16">
        <f t="shared" si="9"/>
        <v>26</v>
      </c>
      <c r="E103" s="10">
        <v>40</v>
      </c>
      <c r="F103" s="8">
        <f t="shared" si="10"/>
        <v>0</v>
      </c>
      <c r="G103" s="8">
        <f t="shared" si="11"/>
        <v>0</v>
      </c>
      <c r="H103" s="64" t="s">
        <v>177</v>
      </c>
      <c r="I103" s="65"/>
      <c r="J103" s="65"/>
      <c r="K103" s="65"/>
      <c r="L103" s="66"/>
    </row>
    <row r="104" spans="2:12" ht="18" customHeight="1" x14ac:dyDescent="0.4">
      <c r="B104" s="135"/>
      <c r="C104" s="30" t="s">
        <v>85</v>
      </c>
      <c r="D104" s="14">
        <f t="shared" si="9"/>
        <v>9.75</v>
      </c>
      <c r="E104" s="10">
        <v>15</v>
      </c>
      <c r="F104" s="8">
        <f t="shared" si="10"/>
        <v>0</v>
      </c>
      <c r="G104" s="8">
        <f t="shared" si="11"/>
        <v>0</v>
      </c>
      <c r="H104" s="67"/>
      <c r="I104" s="68"/>
      <c r="J104" s="68"/>
      <c r="K104" s="68"/>
      <c r="L104" s="69"/>
    </row>
    <row r="105" spans="2:12" ht="18" customHeight="1" x14ac:dyDescent="0.4">
      <c r="B105" s="135"/>
      <c r="C105" s="30" t="s">
        <v>73</v>
      </c>
      <c r="D105" s="14">
        <f t="shared" si="9"/>
        <v>1.3</v>
      </c>
      <c r="E105" s="10">
        <v>2</v>
      </c>
      <c r="F105" s="8">
        <f t="shared" si="10"/>
        <v>0</v>
      </c>
      <c r="G105" s="8">
        <f t="shared" si="11"/>
        <v>0</v>
      </c>
      <c r="H105" s="67"/>
      <c r="I105" s="68"/>
      <c r="J105" s="68"/>
      <c r="K105" s="68"/>
      <c r="L105" s="69"/>
    </row>
    <row r="106" spans="2:12" ht="18" customHeight="1" x14ac:dyDescent="0.4">
      <c r="B106" s="135"/>
      <c r="C106" s="30" t="s">
        <v>61</v>
      </c>
      <c r="D106" s="14">
        <f t="shared" si="9"/>
        <v>0.65</v>
      </c>
      <c r="E106" s="10">
        <v>1</v>
      </c>
      <c r="F106" s="8">
        <f t="shared" si="10"/>
        <v>0</v>
      </c>
      <c r="G106" s="8">
        <f t="shared" si="11"/>
        <v>0</v>
      </c>
      <c r="H106" s="67"/>
      <c r="I106" s="68"/>
      <c r="J106" s="68"/>
      <c r="K106" s="68"/>
      <c r="L106" s="69"/>
    </row>
    <row r="107" spans="2:12" ht="18" customHeight="1" x14ac:dyDescent="0.4">
      <c r="B107" s="135"/>
      <c r="C107" s="30" t="s">
        <v>64</v>
      </c>
      <c r="D107" s="14">
        <f t="shared" si="9"/>
        <v>3.25</v>
      </c>
      <c r="E107" s="10">
        <v>5</v>
      </c>
      <c r="F107" s="8">
        <f t="shared" si="10"/>
        <v>0</v>
      </c>
      <c r="G107" s="8">
        <f t="shared" si="11"/>
        <v>0</v>
      </c>
      <c r="H107" s="67"/>
      <c r="I107" s="68"/>
      <c r="J107" s="68"/>
      <c r="K107" s="68"/>
      <c r="L107" s="69"/>
    </row>
    <row r="108" spans="2:12" ht="18" customHeight="1" x14ac:dyDescent="0.4">
      <c r="B108" s="135"/>
      <c r="C108" s="141" t="s">
        <v>79</v>
      </c>
      <c r="D108" s="14">
        <f t="shared" si="9"/>
        <v>1.3</v>
      </c>
      <c r="E108" s="142">
        <v>2</v>
      </c>
      <c r="F108" s="8">
        <f t="shared" si="10"/>
        <v>0</v>
      </c>
      <c r="G108" s="8">
        <f t="shared" si="11"/>
        <v>0</v>
      </c>
      <c r="H108" s="67"/>
      <c r="I108" s="68"/>
      <c r="J108" s="68"/>
      <c r="K108" s="68"/>
      <c r="L108" s="69"/>
    </row>
    <row r="109" spans="2:12" ht="18" customHeight="1" x14ac:dyDescent="0.4">
      <c r="B109" s="135"/>
      <c r="C109" s="141" t="s">
        <v>96</v>
      </c>
      <c r="D109" s="14">
        <f t="shared" si="9"/>
        <v>1.3</v>
      </c>
      <c r="E109" s="142">
        <v>2</v>
      </c>
      <c r="F109" s="8">
        <f t="shared" si="10"/>
        <v>0</v>
      </c>
      <c r="G109" s="8">
        <f t="shared" si="11"/>
        <v>0</v>
      </c>
      <c r="H109" s="67"/>
      <c r="I109" s="68"/>
      <c r="J109" s="68"/>
      <c r="K109" s="68"/>
      <c r="L109" s="69"/>
    </row>
    <row r="110" spans="2:12" ht="18" customHeight="1" x14ac:dyDescent="0.4">
      <c r="B110" s="135"/>
      <c r="C110" s="141" t="s">
        <v>178</v>
      </c>
      <c r="D110" s="16">
        <f t="shared" si="9"/>
        <v>1.9500000000000002</v>
      </c>
      <c r="E110" s="142">
        <v>3</v>
      </c>
      <c r="F110" s="8">
        <f t="shared" si="10"/>
        <v>0</v>
      </c>
      <c r="G110" s="8">
        <f t="shared" si="11"/>
        <v>0</v>
      </c>
      <c r="H110" s="67"/>
      <c r="I110" s="68"/>
      <c r="J110" s="68"/>
      <c r="K110" s="68"/>
      <c r="L110" s="69"/>
    </row>
    <row r="111" spans="2:12" ht="18" customHeight="1" x14ac:dyDescent="0.4">
      <c r="B111" s="136"/>
      <c r="C111" s="141" t="s">
        <v>78</v>
      </c>
      <c r="D111" s="16">
        <f t="shared" si="9"/>
        <v>1.9500000000000002</v>
      </c>
      <c r="E111" s="142">
        <v>3</v>
      </c>
      <c r="F111" s="8">
        <f t="shared" si="10"/>
        <v>0</v>
      </c>
      <c r="G111" s="8">
        <f t="shared" si="11"/>
        <v>0</v>
      </c>
      <c r="H111" s="70"/>
      <c r="I111" s="71"/>
      <c r="J111" s="71"/>
      <c r="K111" s="71"/>
      <c r="L111" s="72"/>
    </row>
    <row r="112" spans="2:12" ht="18" customHeight="1" x14ac:dyDescent="0.4">
      <c r="B112" s="130" t="s">
        <v>179</v>
      </c>
      <c r="C112" s="13" t="s">
        <v>20</v>
      </c>
      <c r="D112" s="14">
        <f t="shared" si="9"/>
        <v>19.5</v>
      </c>
      <c r="E112" s="12">
        <v>30</v>
      </c>
      <c r="F112" s="8">
        <f t="shared" si="10"/>
        <v>0</v>
      </c>
      <c r="G112" s="8">
        <f t="shared" si="11"/>
        <v>0</v>
      </c>
      <c r="H112" s="88" t="s">
        <v>180</v>
      </c>
      <c r="I112" s="89"/>
      <c r="J112" s="89"/>
      <c r="K112" s="89"/>
      <c r="L112" s="90"/>
    </row>
    <row r="113" spans="2:12" ht="18" customHeight="1" x14ac:dyDescent="0.4">
      <c r="B113" s="131"/>
      <c r="C113" s="13" t="s">
        <v>61</v>
      </c>
      <c r="D113" s="14">
        <f t="shared" si="9"/>
        <v>0.65</v>
      </c>
      <c r="E113" s="12">
        <v>1</v>
      </c>
      <c r="F113" s="8">
        <f t="shared" si="10"/>
        <v>0</v>
      </c>
      <c r="G113" s="8">
        <f t="shared" si="11"/>
        <v>0</v>
      </c>
      <c r="H113" s="91"/>
      <c r="I113" s="92"/>
      <c r="J113" s="92"/>
      <c r="K113" s="92"/>
      <c r="L113" s="93"/>
    </row>
    <row r="114" spans="2:12" ht="18" customHeight="1" x14ac:dyDescent="0.4">
      <c r="B114" s="131"/>
      <c r="C114" s="13" t="s">
        <v>10</v>
      </c>
      <c r="D114" s="14">
        <f t="shared" si="9"/>
        <v>0.32500000000000001</v>
      </c>
      <c r="E114" s="12">
        <v>0.5</v>
      </c>
      <c r="F114" s="8">
        <f t="shared" si="10"/>
        <v>0</v>
      </c>
      <c r="G114" s="8">
        <f t="shared" si="11"/>
        <v>0</v>
      </c>
      <c r="H114" s="91"/>
      <c r="I114" s="92"/>
      <c r="J114" s="92"/>
      <c r="K114" s="92"/>
      <c r="L114" s="93"/>
    </row>
    <row r="115" spans="2:12" ht="18" customHeight="1" x14ac:dyDescent="0.4">
      <c r="B115" s="131"/>
      <c r="C115" s="13" t="s">
        <v>49</v>
      </c>
      <c r="D115" s="14">
        <f t="shared" si="9"/>
        <v>1.3</v>
      </c>
      <c r="E115" s="12">
        <v>2</v>
      </c>
      <c r="F115" s="8">
        <f t="shared" si="10"/>
        <v>0</v>
      </c>
      <c r="G115" s="8">
        <f t="shared" si="11"/>
        <v>0</v>
      </c>
      <c r="H115" s="91"/>
      <c r="I115" s="92"/>
      <c r="J115" s="92"/>
      <c r="K115" s="92"/>
      <c r="L115" s="93"/>
    </row>
    <row r="116" spans="2:12" ht="18" customHeight="1" x14ac:dyDescent="0.4">
      <c r="B116" s="132"/>
      <c r="C116" s="13" t="s">
        <v>8</v>
      </c>
      <c r="D116" s="14">
        <f t="shared" si="9"/>
        <v>0.13</v>
      </c>
      <c r="E116" s="12">
        <v>0.2</v>
      </c>
      <c r="F116" s="8">
        <f t="shared" si="10"/>
        <v>0</v>
      </c>
      <c r="G116" s="8">
        <f t="shared" si="11"/>
        <v>0</v>
      </c>
      <c r="H116" s="91"/>
      <c r="I116" s="92"/>
      <c r="J116" s="92"/>
      <c r="K116" s="92"/>
      <c r="L116" s="93"/>
    </row>
    <row r="117" spans="2:12" ht="18" customHeight="1" thickBot="1" x14ac:dyDescent="0.45">
      <c r="B117" s="133" t="s">
        <v>66</v>
      </c>
      <c r="C117" s="34" t="s">
        <v>67</v>
      </c>
      <c r="D117" s="37">
        <f t="shared" si="9"/>
        <v>13</v>
      </c>
      <c r="E117" s="21">
        <v>20</v>
      </c>
      <c r="F117" s="22">
        <f t="shared" si="10"/>
        <v>0</v>
      </c>
      <c r="G117" s="22">
        <f t="shared" si="11"/>
        <v>0</v>
      </c>
      <c r="H117" s="73" t="s">
        <v>54</v>
      </c>
      <c r="I117" s="74"/>
      <c r="J117" s="74"/>
      <c r="K117" s="74"/>
      <c r="L117" s="75"/>
    </row>
    <row r="118" spans="2:12" ht="80.099999999999994" customHeight="1" thickTop="1" x14ac:dyDescent="0.4">
      <c r="B118" s="97"/>
      <c r="C118" s="97"/>
      <c r="D118" s="97"/>
      <c r="E118" s="97"/>
      <c r="F118" s="97"/>
      <c r="G118" s="97"/>
      <c r="H118" s="97"/>
      <c r="I118" s="97"/>
      <c r="J118" s="97"/>
      <c r="K118" s="97"/>
      <c r="L118" s="97"/>
    </row>
    <row r="119" spans="2:12" ht="18" thickBot="1" x14ac:dyDescent="0.45"/>
    <row r="120" spans="2:12" ht="21" customHeight="1" thickTop="1" x14ac:dyDescent="0.4">
      <c r="B120" s="120" t="s">
        <v>86</v>
      </c>
      <c r="C120" s="121"/>
      <c r="D120" s="121"/>
      <c r="E120" s="121"/>
      <c r="F120" s="121"/>
      <c r="G120" s="121"/>
      <c r="H120" s="121"/>
      <c r="I120" s="121"/>
      <c r="J120" s="121"/>
      <c r="K120" s="121"/>
      <c r="L120" s="122"/>
    </row>
    <row r="121" spans="2:12" ht="18" customHeight="1" x14ac:dyDescent="0.4">
      <c r="B121" s="96" t="s">
        <v>3</v>
      </c>
      <c r="C121" s="94" t="s">
        <v>4</v>
      </c>
      <c r="D121" s="94" t="s">
        <v>5</v>
      </c>
      <c r="E121" s="94"/>
      <c r="F121" s="94" t="s">
        <v>6</v>
      </c>
      <c r="G121" s="94"/>
      <c r="H121" s="47" t="s">
        <v>7</v>
      </c>
      <c r="I121" s="48"/>
      <c r="J121" s="48"/>
      <c r="K121" s="48"/>
      <c r="L121" s="49"/>
    </row>
    <row r="122" spans="2:12" ht="18" customHeight="1" x14ac:dyDescent="0.4">
      <c r="B122" s="96"/>
      <c r="C122" s="94"/>
      <c r="D122" s="123" t="s">
        <v>1</v>
      </c>
      <c r="E122" s="5" t="s">
        <v>2</v>
      </c>
      <c r="F122" s="6" t="s">
        <v>1</v>
      </c>
      <c r="G122" s="7" t="s">
        <v>2</v>
      </c>
      <c r="H122" s="50"/>
      <c r="I122" s="51"/>
      <c r="J122" s="51"/>
      <c r="K122" s="51"/>
      <c r="L122" s="52"/>
    </row>
    <row r="123" spans="2:12" ht="18" customHeight="1" x14ac:dyDescent="0.4">
      <c r="B123" s="143" t="s">
        <v>57</v>
      </c>
      <c r="C123" s="13" t="s">
        <v>30</v>
      </c>
      <c r="D123" s="14">
        <f t="shared" ref="D123:D145" si="12">E123*0.65</f>
        <v>35.75</v>
      </c>
      <c r="E123" s="12">
        <v>55</v>
      </c>
      <c r="F123" s="8">
        <f t="shared" ref="F123:F145" si="13">D123*D$2</f>
        <v>0</v>
      </c>
      <c r="G123" s="8">
        <f t="shared" ref="G123:G145" si="14">E123*D$3</f>
        <v>0</v>
      </c>
      <c r="H123" s="86" t="s">
        <v>52</v>
      </c>
      <c r="I123" s="86"/>
      <c r="J123" s="86"/>
      <c r="K123" s="86"/>
      <c r="L123" s="87"/>
    </row>
    <row r="124" spans="2:12" ht="18" customHeight="1" x14ac:dyDescent="0.4">
      <c r="B124" s="124" t="s">
        <v>181</v>
      </c>
      <c r="C124" s="13" t="s">
        <v>138</v>
      </c>
      <c r="D124" s="16">
        <f t="shared" si="12"/>
        <v>13</v>
      </c>
      <c r="E124" s="13">
        <v>20</v>
      </c>
      <c r="F124" s="8">
        <f t="shared" si="13"/>
        <v>0</v>
      </c>
      <c r="G124" s="8">
        <f t="shared" si="14"/>
        <v>0</v>
      </c>
      <c r="H124" s="88" t="s">
        <v>182</v>
      </c>
      <c r="I124" s="89"/>
      <c r="J124" s="89"/>
      <c r="K124" s="89"/>
      <c r="L124" s="90"/>
    </row>
    <row r="125" spans="2:12" ht="18" customHeight="1" x14ac:dyDescent="0.4">
      <c r="B125" s="137"/>
      <c r="C125" s="13" t="s">
        <v>72</v>
      </c>
      <c r="D125" s="14">
        <f t="shared" si="12"/>
        <v>3.25</v>
      </c>
      <c r="E125" s="13">
        <v>5</v>
      </c>
      <c r="F125" s="8">
        <f t="shared" si="13"/>
        <v>0</v>
      </c>
      <c r="G125" s="8">
        <f t="shared" si="14"/>
        <v>0</v>
      </c>
      <c r="H125" s="91"/>
      <c r="I125" s="92"/>
      <c r="J125" s="92"/>
      <c r="K125" s="92"/>
      <c r="L125" s="93"/>
    </row>
    <row r="126" spans="2:12" ht="18" customHeight="1" x14ac:dyDescent="0.4">
      <c r="B126" s="137"/>
      <c r="C126" s="13" t="s">
        <v>141</v>
      </c>
      <c r="D126" s="16">
        <f t="shared" si="12"/>
        <v>1.9500000000000002</v>
      </c>
      <c r="E126" s="13">
        <v>3</v>
      </c>
      <c r="F126" s="8">
        <f t="shared" si="13"/>
        <v>0</v>
      </c>
      <c r="G126" s="8">
        <f t="shared" si="14"/>
        <v>0</v>
      </c>
      <c r="H126" s="91"/>
      <c r="I126" s="92"/>
      <c r="J126" s="92"/>
      <c r="K126" s="92"/>
      <c r="L126" s="93"/>
    </row>
    <row r="127" spans="2:12" ht="18" customHeight="1" x14ac:dyDescent="0.4">
      <c r="B127" s="137"/>
      <c r="C127" s="13" t="s">
        <v>21</v>
      </c>
      <c r="D127" s="14">
        <f t="shared" si="12"/>
        <v>1.3</v>
      </c>
      <c r="E127" s="13">
        <v>2</v>
      </c>
      <c r="F127" s="8">
        <f t="shared" si="13"/>
        <v>0</v>
      </c>
      <c r="G127" s="8">
        <f t="shared" si="14"/>
        <v>0</v>
      </c>
      <c r="H127" s="91"/>
      <c r="I127" s="92"/>
      <c r="J127" s="92"/>
      <c r="K127" s="92"/>
      <c r="L127" s="93"/>
    </row>
    <row r="128" spans="2:12" ht="18" customHeight="1" x14ac:dyDescent="0.4">
      <c r="B128" s="137"/>
      <c r="C128" s="13" t="s">
        <v>81</v>
      </c>
      <c r="D128" s="14">
        <f t="shared" si="12"/>
        <v>1.3</v>
      </c>
      <c r="E128" s="13">
        <v>2</v>
      </c>
      <c r="F128" s="8">
        <f t="shared" si="13"/>
        <v>0</v>
      </c>
      <c r="G128" s="8">
        <f t="shared" si="14"/>
        <v>0</v>
      </c>
      <c r="H128" s="91"/>
      <c r="I128" s="92"/>
      <c r="J128" s="92"/>
      <c r="K128" s="92"/>
      <c r="L128" s="93"/>
    </row>
    <row r="129" spans="2:12" ht="18" customHeight="1" x14ac:dyDescent="0.4">
      <c r="B129" s="137"/>
      <c r="C129" s="13" t="s">
        <v>73</v>
      </c>
      <c r="D129" s="14">
        <f t="shared" si="12"/>
        <v>1.3</v>
      </c>
      <c r="E129" s="13">
        <v>2</v>
      </c>
      <c r="F129" s="8">
        <f t="shared" si="13"/>
        <v>0</v>
      </c>
      <c r="G129" s="8">
        <f t="shared" si="14"/>
        <v>0</v>
      </c>
      <c r="H129" s="91"/>
      <c r="I129" s="92"/>
      <c r="J129" s="92"/>
      <c r="K129" s="92"/>
      <c r="L129" s="93"/>
    </row>
    <row r="130" spans="2:12" ht="18" customHeight="1" x14ac:dyDescent="0.4">
      <c r="B130" s="125"/>
      <c r="C130" s="13" t="s">
        <v>61</v>
      </c>
      <c r="D130" s="14">
        <f t="shared" si="12"/>
        <v>0.65</v>
      </c>
      <c r="E130" s="13">
        <v>1</v>
      </c>
      <c r="F130" s="8">
        <f t="shared" si="13"/>
        <v>0</v>
      </c>
      <c r="G130" s="8">
        <f t="shared" si="14"/>
        <v>0</v>
      </c>
      <c r="H130" s="98"/>
      <c r="I130" s="99"/>
      <c r="J130" s="99"/>
      <c r="K130" s="99"/>
      <c r="L130" s="100"/>
    </row>
    <row r="131" spans="2:12" ht="18" customHeight="1" x14ac:dyDescent="0.4">
      <c r="B131" s="140" t="s">
        <v>183</v>
      </c>
      <c r="C131" s="13" t="s">
        <v>48</v>
      </c>
      <c r="D131" s="16">
        <f t="shared" si="12"/>
        <v>26</v>
      </c>
      <c r="E131" s="12">
        <v>40</v>
      </c>
      <c r="F131" s="8">
        <f t="shared" si="13"/>
        <v>0</v>
      </c>
      <c r="G131" s="8">
        <f t="shared" si="14"/>
        <v>0</v>
      </c>
      <c r="H131" s="88" t="s">
        <v>184</v>
      </c>
      <c r="I131" s="89"/>
      <c r="J131" s="89"/>
      <c r="K131" s="89"/>
      <c r="L131" s="90"/>
    </row>
    <row r="132" spans="2:12" ht="18" customHeight="1" x14ac:dyDescent="0.4">
      <c r="B132" s="140"/>
      <c r="C132" s="13" t="s">
        <v>90</v>
      </c>
      <c r="D132" s="14">
        <f t="shared" si="12"/>
        <v>6.5</v>
      </c>
      <c r="E132" s="12">
        <v>10</v>
      </c>
      <c r="F132" s="8">
        <f t="shared" si="13"/>
        <v>0</v>
      </c>
      <c r="G132" s="8">
        <f t="shared" si="14"/>
        <v>0</v>
      </c>
      <c r="H132" s="91"/>
      <c r="I132" s="92"/>
      <c r="J132" s="92"/>
      <c r="K132" s="92"/>
      <c r="L132" s="93"/>
    </row>
    <row r="133" spans="2:12" ht="18" customHeight="1" x14ac:dyDescent="0.4">
      <c r="B133" s="140"/>
      <c r="C133" s="13" t="s">
        <v>72</v>
      </c>
      <c r="D133" s="14">
        <f t="shared" si="12"/>
        <v>3.25</v>
      </c>
      <c r="E133" s="12">
        <v>5</v>
      </c>
      <c r="F133" s="8">
        <f t="shared" si="13"/>
        <v>0</v>
      </c>
      <c r="G133" s="8">
        <f t="shared" si="14"/>
        <v>0</v>
      </c>
      <c r="H133" s="91"/>
      <c r="I133" s="92"/>
      <c r="J133" s="92"/>
      <c r="K133" s="92"/>
      <c r="L133" s="93"/>
    </row>
    <row r="134" spans="2:12" ht="18" customHeight="1" x14ac:dyDescent="0.4">
      <c r="B134" s="140"/>
      <c r="C134" s="13" t="s">
        <v>73</v>
      </c>
      <c r="D134" s="14">
        <f t="shared" si="12"/>
        <v>0.65</v>
      </c>
      <c r="E134" s="12">
        <v>1</v>
      </c>
      <c r="F134" s="8">
        <f t="shared" si="13"/>
        <v>0</v>
      </c>
      <c r="G134" s="8">
        <f t="shared" si="14"/>
        <v>0</v>
      </c>
      <c r="H134" s="91"/>
      <c r="I134" s="92"/>
      <c r="J134" s="92"/>
      <c r="K134" s="92"/>
      <c r="L134" s="93"/>
    </row>
    <row r="135" spans="2:12" ht="18" customHeight="1" x14ac:dyDescent="0.4">
      <c r="B135" s="140"/>
      <c r="C135" s="13" t="s">
        <v>64</v>
      </c>
      <c r="D135" s="14">
        <f t="shared" si="12"/>
        <v>2.6</v>
      </c>
      <c r="E135" s="12">
        <v>4</v>
      </c>
      <c r="F135" s="8">
        <f t="shared" si="13"/>
        <v>0</v>
      </c>
      <c r="G135" s="8">
        <f t="shared" si="14"/>
        <v>0</v>
      </c>
      <c r="H135" s="91"/>
      <c r="I135" s="92"/>
      <c r="J135" s="92"/>
      <c r="K135" s="92"/>
      <c r="L135" s="93"/>
    </row>
    <row r="136" spans="2:12" ht="18" customHeight="1" x14ac:dyDescent="0.4">
      <c r="B136" s="140"/>
      <c r="C136" s="13" t="s">
        <v>83</v>
      </c>
      <c r="D136" s="14">
        <f t="shared" si="12"/>
        <v>1.3</v>
      </c>
      <c r="E136" s="12">
        <v>2</v>
      </c>
      <c r="F136" s="8">
        <f t="shared" si="13"/>
        <v>0</v>
      </c>
      <c r="G136" s="8">
        <f t="shared" si="14"/>
        <v>0</v>
      </c>
      <c r="H136" s="91"/>
      <c r="I136" s="92"/>
      <c r="J136" s="92"/>
      <c r="K136" s="92"/>
      <c r="L136" s="93"/>
    </row>
    <row r="137" spans="2:12" ht="18" customHeight="1" x14ac:dyDescent="0.4">
      <c r="B137" s="140"/>
      <c r="C137" s="13" t="s">
        <v>76</v>
      </c>
      <c r="D137" s="14">
        <f t="shared" si="12"/>
        <v>0.19500000000000001</v>
      </c>
      <c r="E137" s="12">
        <v>0.3</v>
      </c>
      <c r="F137" s="8">
        <f t="shared" si="13"/>
        <v>0</v>
      </c>
      <c r="G137" s="8">
        <f t="shared" si="14"/>
        <v>0</v>
      </c>
      <c r="H137" s="91"/>
      <c r="I137" s="92"/>
      <c r="J137" s="92"/>
      <c r="K137" s="92"/>
      <c r="L137" s="93"/>
    </row>
    <row r="138" spans="2:12" ht="18" customHeight="1" x14ac:dyDescent="0.4">
      <c r="B138" s="140"/>
      <c r="C138" s="13" t="s">
        <v>61</v>
      </c>
      <c r="D138" s="14">
        <f t="shared" si="12"/>
        <v>6.5000000000000002E-2</v>
      </c>
      <c r="E138" s="12">
        <v>0.1</v>
      </c>
      <c r="F138" s="8">
        <f t="shared" si="13"/>
        <v>0</v>
      </c>
      <c r="G138" s="8">
        <f t="shared" si="14"/>
        <v>0</v>
      </c>
      <c r="H138" s="91"/>
      <c r="I138" s="92"/>
      <c r="J138" s="92"/>
      <c r="K138" s="92"/>
      <c r="L138" s="93"/>
    </row>
    <row r="139" spans="2:12" ht="18" customHeight="1" x14ac:dyDescent="0.4">
      <c r="B139" s="140"/>
      <c r="C139" s="13" t="s">
        <v>75</v>
      </c>
      <c r="D139" s="14">
        <f t="shared" si="12"/>
        <v>0.65</v>
      </c>
      <c r="E139" s="12">
        <v>1</v>
      </c>
      <c r="F139" s="8">
        <f t="shared" si="13"/>
        <v>0</v>
      </c>
      <c r="G139" s="8">
        <f t="shared" si="14"/>
        <v>0</v>
      </c>
      <c r="H139" s="91"/>
      <c r="I139" s="92"/>
      <c r="J139" s="92"/>
      <c r="K139" s="92"/>
      <c r="L139" s="93"/>
    </row>
    <row r="140" spans="2:12" ht="18" customHeight="1" x14ac:dyDescent="0.4">
      <c r="B140" s="130" t="s">
        <v>124</v>
      </c>
      <c r="C140" s="13" t="s">
        <v>36</v>
      </c>
      <c r="D140" s="14">
        <f t="shared" si="12"/>
        <v>3.25</v>
      </c>
      <c r="E140" s="13">
        <v>5</v>
      </c>
      <c r="F140" s="8">
        <f t="shared" si="13"/>
        <v>0</v>
      </c>
      <c r="G140" s="8">
        <f t="shared" si="14"/>
        <v>0</v>
      </c>
      <c r="H140" s="88" t="s">
        <v>125</v>
      </c>
      <c r="I140" s="89"/>
      <c r="J140" s="89"/>
      <c r="K140" s="89"/>
      <c r="L140" s="90"/>
    </row>
    <row r="141" spans="2:12" ht="18" customHeight="1" x14ac:dyDescent="0.4">
      <c r="B141" s="131"/>
      <c r="C141" s="13" t="s">
        <v>10</v>
      </c>
      <c r="D141" s="14">
        <f t="shared" si="12"/>
        <v>0.13</v>
      </c>
      <c r="E141" s="13">
        <v>0.2</v>
      </c>
      <c r="F141" s="8">
        <f t="shared" si="13"/>
        <v>0</v>
      </c>
      <c r="G141" s="8">
        <f t="shared" si="14"/>
        <v>0</v>
      </c>
      <c r="H141" s="91"/>
      <c r="I141" s="92"/>
      <c r="J141" s="92"/>
      <c r="K141" s="92"/>
      <c r="L141" s="93"/>
    </row>
    <row r="142" spans="2:12" ht="18" customHeight="1" x14ac:dyDescent="0.4">
      <c r="B142" s="131"/>
      <c r="C142" s="13" t="s">
        <v>15</v>
      </c>
      <c r="D142" s="14">
        <f t="shared" si="12"/>
        <v>0.13</v>
      </c>
      <c r="E142" s="13">
        <v>0.2</v>
      </c>
      <c r="F142" s="8">
        <f t="shared" si="13"/>
        <v>0</v>
      </c>
      <c r="G142" s="8">
        <f t="shared" si="14"/>
        <v>0</v>
      </c>
      <c r="H142" s="91"/>
      <c r="I142" s="92"/>
      <c r="J142" s="92"/>
      <c r="K142" s="92"/>
      <c r="L142" s="93"/>
    </row>
    <row r="143" spans="2:12" ht="18" customHeight="1" x14ac:dyDescent="0.4">
      <c r="B143" s="131"/>
      <c r="C143" s="13" t="s">
        <v>9</v>
      </c>
      <c r="D143" s="14">
        <f t="shared" si="12"/>
        <v>0.65</v>
      </c>
      <c r="E143" s="13">
        <v>1</v>
      </c>
      <c r="F143" s="8">
        <f t="shared" si="13"/>
        <v>0</v>
      </c>
      <c r="G143" s="8">
        <f t="shared" si="14"/>
        <v>0</v>
      </c>
      <c r="H143" s="91"/>
      <c r="I143" s="92"/>
      <c r="J143" s="92"/>
      <c r="K143" s="92"/>
      <c r="L143" s="93"/>
    </row>
    <row r="144" spans="2:12" ht="18" customHeight="1" x14ac:dyDescent="0.4">
      <c r="B144" s="132"/>
      <c r="C144" s="13" t="s">
        <v>8</v>
      </c>
      <c r="D144" s="14">
        <f t="shared" si="12"/>
        <v>0.13</v>
      </c>
      <c r="E144" s="13">
        <v>0.2</v>
      </c>
      <c r="F144" s="8">
        <f t="shared" si="13"/>
        <v>0</v>
      </c>
      <c r="G144" s="8">
        <f t="shared" si="14"/>
        <v>0</v>
      </c>
      <c r="H144" s="98"/>
      <c r="I144" s="99"/>
      <c r="J144" s="99"/>
      <c r="K144" s="99"/>
      <c r="L144" s="100"/>
    </row>
    <row r="145" spans="2:12" ht="18" customHeight="1" thickBot="1" x14ac:dyDescent="0.45">
      <c r="B145" s="133" t="s">
        <v>66</v>
      </c>
      <c r="C145" s="34" t="s">
        <v>67</v>
      </c>
      <c r="D145" s="37">
        <f t="shared" si="12"/>
        <v>13</v>
      </c>
      <c r="E145" s="21">
        <v>20</v>
      </c>
      <c r="F145" s="22">
        <f t="shared" si="13"/>
        <v>0</v>
      </c>
      <c r="G145" s="22">
        <f t="shared" si="14"/>
        <v>0</v>
      </c>
      <c r="H145" s="73" t="s">
        <v>54</v>
      </c>
      <c r="I145" s="74"/>
      <c r="J145" s="74"/>
      <c r="K145" s="74"/>
      <c r="L145" s="75"/>
    </row>
    <row r="146" spans="2:12" ht="80.099999999999994" customHeight="1" thickTop="1" x14ac:dyDescent="0.4">
      <c r="B146" s="97"/>
      <c r="C146" s="97"/>
      <c r="D146" s="97"/>
      <c r="E146" s="97"/>
      <c r="F146" s="97"/>
      <c r="G146" s="97"/>
      <c r="H146" s="97"/>
      <c r="I146" s="97"/>
      <c r="J146" s="97"/>
      <c r="K146" s="97"/>
      <c r="L146" s="97"/>
    </row>
  </sheetData>
  <mergeCells count="82">
    <mergeCell ref="H123:L123"/>
    <mergeCell ref="B124:B130"/>
    <mergeCell ref="H124:L130"/>
    <mergeCell ref="B131:B139"/>
    <mergeCell ref="H131:L139"/>
    <mergeCell ref="B140:B144"/>
    <mergeCell ref="H140:L144"/>
    <mergeCell ref="H145:L145"/>
    <mergeCell ref="B146:L146"/>
    <mergeCell ref="B103:B111"/>
    <mergeCell ref="H103:L111"/>
    <mergeCell ref="B112:B116"/>
    <mergeCell ref="H112:L116"/>
    <mergeCell ref="H117:L117"/>
    <mergeCell ref="B118:L118"/>
    <mergeCell ref="B120:L120"/>
    <mergeCell ref="B121:B122"/>
    <mergeCell ref="C121:C122"/>
    <mergeCell ref="D121:E121"/>
    <mergeCell ref="F121:G121"/>
    <mergeCell ref="H121:L122"/>
    <mergeCell ref="B71:B81"/>
    <mergeCell ref="H71:L81"/>
    <mergeCell ref="B82:B88"/>
    <mergeCell ref="H82:L88"/>
    <mergeCell ref="H89:L89"/>
    <mergeCell ref="B90:L90"/>
    <mergeCell ref="B92:L92"/>
    <mergeCell ref="B93:B94"/>
    <mergeCell ref="C93:C94"/>
    <mergeCell ref="D93:E93"/>
    <mergeCell ref="F93:G93"/>
    <mergeCell ref="H93:L94"/>
    <mergeCell ref="B61:B62"/>
    <mergeCell ref="C61:C62"/>
    <mergeCell ref="D61:E61"/>
    <mergeCell ref="F61:G61"/>
    <mergeCell ref="H61:L62"/>
    <mergeCell ref="B63:B64"/>
    <mergeCell ref="H63:L64"/>
    <mergeCell ref="B65:B70"/>
    <mergeCell ref="H65:L70"/>
    <mergeCell ref="B10:B11"/>
    <mergeCell ref="H10:L11"/>
    <mergeCell ref="B12:B19"/>
    <mergeCell ref="H12:L19"/>
    <mergeCell ref="B20:B25"/>
    <mergeCell ref="H20:L25"/>
    <mergeCell ref="B26:B29"/>
    <mergeCell ref="H26:L29"/>
    <mergeCell ref="H30:L30"/>
    <mergeCell ref="B31:L31"/>
    <mergeCell ref="B8:B9"/>
    <mergeCell ref="C8:C9"/>
    <mergeCell ref="B2:B3"/>
    <mergeCell ref="E2:L3"/>
    <mergeCell ref="B4:L6"/>
    <mergeCell ref="B7:L7"/>
    <mergeCell ref="D8:E8"/>
    <mergeCell ref="F8:G8"/>
    <mergeCell ref="H8:L9"/>
    <mergeCell ref="B33:L33"/>
    <mergeCell ref="B34:B35"/>
    <mergeCell ref="C34:C35"/>
    <mergeCell ref="D34:E34"/>
    <mergeCell ref="F34:G34"/>
    <mergeCell ref="H34:L35"/>
    <mergeCell ref="B36:B37"/>
    <mergeCell ref="H36:L37"/>
    <mergeCell ref="B38:B42"/>
    <mergeCell ref="H38:L42"/>
    <mergeCell ref="B43:B50"/>
    <mergeCell ref="H43:L50"/>
    <mergeCell ref="B51:B56"/>
    <mergeCell ref="H51:L56"/>
    <mergeCell ref="H57:L57"/>
    <mergeCell ref="B58:L58"/>
    <mergeCell ref="B60:L60"/>
    <mergeCell ref="B95:B96"/>
    <mergeCell ref="H95:L96"/>
    <mergeCell ref="B97:B102"/>
    <mergeCell ref="H97:L102"/>
  </mergeCells>
  <phoneticPr fontId="2" type="noConversion"/>
  <pageMargins left="0.25" right="0.25" top="0.75" bottom="0.75" header="0.3" footer="0.3"/>
  <rowBreaks count="5" manualBreakCount="5">
    <brk id="41" min="1" max="12" man="1"/>
    <brk id="83" min="1" max="12" man="1"/>
    <brk id="116" min="1" max="12" man="1"/>
    <brk id="152" min="1" max="12" man="1"/>
    <brk id="186" min="1" max="12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C12C5-6D1B-4D42-AA6C-89DF8F3EBBA6}">
  <sheetPr>
    <pageSetUpPr fitToPage="1"/>
  </sheetPr>
  <dimension ref="B1:L150"/>
  <sheetViews>
    <sheetView zoomScaleNormal="100" zoomScaleSheetLayoutView="70" workbookViewId="0">
      <selection activeCell="P10" sqref="P10"/>
    </sheetView>
  </sheetViews>
  <sheetFormatPr defaultColWidth="9" defaultRowHeight="14.4" x14ac:dyDescent="0.4"/>
  <cols>
    <col min="1" max="1" width="4.8984375" style="1" customWidth="1"/>
    <col min="2" max="2" width="18.59765625" style="1" customWidth="1"/>
    <col min="3" max="3" width="11.59765625" style="1" customWidth="1"/>
    <col min="4" max="12" width="9" style="1"/>
    <col min="13" max="13" width="4.8984375" style="1" customWidth="1"/>
    <col min="14" max="16384" width="9" style="1"/>
  </cols>
  <sheetData>
    <row r="1" spans="2:12" ht="15" thickBot="1" x14ac:dyDescent="0.45"/>
    <row r="2" spans="2:12" ht="18" customHeight="1" thickTop="1" thickBot="1" x14ac:dyDescent="0.45">
      <c r="B2" s="101" t="s">
        <v>0</v>
      </c>
      <c r="C2" s="3" t="s">
        <v>1</v>
      </c>
      <c r="D2" s="4"/>
      <c r="E2" s="103" t="s">
        <v>147</v>
      </c>
      <c r="F2" s="104"/>
      <c r="G2" s="104"/>
      <c r="H2" s="104"/>
      <c r="I2" s="104"/>
      <c r="J2" s="104"/>
      <c r="K2" s="104"/>
      <c r="L2" s="104"/>
    </row>
    <row r="3" spans="2:12" ht="18" customHeight="1" thickTop="1" thickBot="1" x14ac:dyDescent="0.45">
      <c r="B3" s="102"/>
      <c r="C3" s="3" t="s">
        <v>2</v>
      </c>
      <c r="D3" s="2"/>
      <c r="E3" s="103"/>
      <c r="F3" s="104"/>
      <c r="G3" s="104"/>
      <c r="H3" s="104"/>
      <c r="I3" s="104"/>
      <c r="J3" s="104"/>
      <c r="K3" s="104"/>
      <c r="L3" s="104"/>
    </row>
    <row r="4" spans="2:12" ht="34.5" customHeight="1" thickTop="1" x14ac:dyDescent="0.4">
      <c r="B4" s="119" t="s">
        <v>148</v>
      </c>
      <c r="C4" s="119"/>
      <c r="D4" s="119"/>
      <c r="E4" s="119"/>
      <c r="F4" s="119"/>
      <c r="G4" s="119"/>
      <c r="H4" s="119"/>
      <c r="I4" s="119"/>
      <c r="J4" s="119"/>
      <c r="K4" s="119"/>
      <c r="L4" s="119"/>
    </row>
    <row r="5" spans="2:12" ht="16.5" customHeight="1" x14ac:dyDescent="0.4"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19"/>
    </row>
    <row r="6" spans="2:12" ht="16.5" customHeight="1" thickBot="1" x14ac:dyDescent="0.45">
      <c r="B6" s="119"/>
      <c r="C6" s="119"/>
      <c r="D6" s="119"/>
      <c r="E6" s="119"/>
      <c r="F6" s="119"/>
      <c r="G6" s="119"/>
      <c r="H6" s="119"/>
      <c r="I6" s="119"/>
      <c r="J6" s="119"/>
      <c r="K6" s="119"/>
      <c r="L6" s="119"/>
    </row>
    <row r="7" spans="2:12" ht="21" customHeight="1" thickTop="1" x14ac:dyDescent="0.4">
      <c r="B7" s="120" t="s">
        <v>95</v>
      </c>
      <c r="C7" s="121"/>
      <c r="D7" s="121"/>
      <c r="E7" s="121"/>
      <c r="F7" s="121"/>
      <c r="G7" s="121"/>
      <c r="H7" s="121"/>
      <c r="I7" s="121"/>
      <c r="J7" s="121"/>
      <c r="K7" s="121"/>
      <c r="L7" s="122"/>
    </row>
    <row r="8" spans="2:12" ht="18" customHeight="1" x14ac:dyDescent="0.4">
      <c r="B8" s="76" t="s">
        <v>3</v>
      </c>
      <c r="C8" s="78" t="s">
        <v>4</v>
      </c>
      <c r="D8" s="80" t="s">
        <v>5</v>
      </c>
      <c r="E8" s="81"/>
      <c r="F8" s="80" t="s">
        <v>6</v>
      </c>
      <c r="G8" s="81"/>
      <c r="H8" s="47" t="s">
        <v>7</v>
      </c>
      <c r="I8" s="48"/>
      <c r="J8" s="48"/>
      <c r="K8" s="48"/>
      <c r="L8" s="49"/>
    </row>
    <row r="9" spans="2:12" ht="18" customHeight="1" x14ac:dyDescent="0.4">
      <c r="B9" s="77"/>
      <c r="C9" s="79"/>
      <c r="D9" s="5" t="s">
        <v>1</v>
      </c>
      <c r="E9" s="29" t="s">
        <v>2</v>
      </c>
      <c r="F9" s="32" t="s">
        <v>1</v>
      </c>
      <c r="G9" s="33" t="s">
        <v>2</v>
      </c>
      <c r="H9" s="50"/>
      <c r="I9" s="51"/>
      <c r="J9" s="51"/>
      <c r="K9" s="51"/>
      <c r="L9" s="52"/>
    </row>
    <row r="10" spans="2:12" ht="18" customHeight="1" x14ac:dyDescent="0.4">
      <c r="B10" s="140" t="s">
        <v>68</v>
      </c>
      <c r="C10" s="13" t="s">
        <v>30</v>
      </c>
      <c r="D10" s="17">
        <f t="shared" ref="D10:D32" si="0">E10*0.65</f>
        <v>32.5</v>
      </c>
      <c r="E10" s="13">
        <v>50</v>
      </c>
      <c r="F10" s="8">
        <f t="shared" ref="F10:F32" si="1">D10*D$2</f>
        <v>0</v>
      </c>
      <c r="G10" s="8">
        <f t="shared" ref="G10:G32" si="2">E10*D$3</f>
        <v>0</v>
      </c>
      <c r="H10" s="62" t="s">
        <v>130</v>
      </c>
      <c r="I10" s="62"/>
      <c r="J10" s="62"/>
      <c r="K10" s="62"/>
      <c r="L10" s="63"/>
    </row>
    <row r="11" spans="2:12" ht="18" customHeight="1" x14ac:dyDescent="0.4">
      <c r="B11" s="140"/>
      <c r="C11" s="13" t="s">
        <v>69</v>
      </c>
      <c r="D11" s="17">
        <f t="shared" si="0"/>
        <v>1.625</v>
      </c>
      <c r="E11" s="13">
        <v>2.5</v>
      </c>
      <c r="F11" s="8">
        <f t="shared" si="1"/>
        <v>0</v>
      </c>
      <c r="G11" s="8">
        <f t="shared" si="2"/>
        <v>0</v>
      </c>
      <c r="H11" s="62"/>
      <c r="I11" s="62"/>
      <c r="J11" s="62"/>
      <c r="K11" s="62"/>
      <c r="L11" s="63"/>
    </row>
    <row r="12" spans="2:12" ht="18" customHeight="1" x14ac:dyDescent="0.4">
      <c r="B12" s="137" t="s">
        <v>185</v>
      </c>
      <c r="C12" s="30" t="s">
        <v>28</v>
      </c>
      <c r="D12" s="17">
        <f t="shared" si="0"/>
        <v>6.5</v>
      </c>
      <c r="E12" s="30">
        <v>10</v>
      </c>
      <c r="F12" s="8">
        <f t="shared" si="1"/>
        <v>0</v>
      </c>
      <c r="G12" s="8">
        <f t="shared" si="2"/>
        <v>0</v>
      </c>
      <c r="H12" s="56" t="s">
        <v>186</v>
      </c>
      <c r="I12" s="57"/>
      <c r="J12" s="57"/>
      <c r="K12" s="57"/>
      <c r="L12" s="58"/>
    </row>
    <row r="13" spans="2:12" ht="18" customHeight="1" x14ac:dyDescent="0.4">
      <c r="B13" s="137"/>
      <c r="C13" s="30" t="s">
        <v>17</v>
      </c>
      <c r="D13" s="17">
        <f t="shared" si="0"/>
        <v>3.25</v>
      </c>
      <c r="E13" s="30">
        <v>5</v>
      </c>
      <c r="F13" s="8">
        <f t="shared" si="1"/>
        <v>0</v>
      </c>
      <c r="G13" s="8">
        <f t="shared" si="2"/>
        <v>0</v>
      </c>
      <c r="H13" s="56"/>
      <c r="I13" s="57"/>
      <c r="J13" s="57"/>
      <c r="K13" s="57"/>
      <c r="L13" s="58"/>
    </row>
    <row r="14" spans="2:12" ht="18" customHeight="1" x14ac:dyDescent="0.4">
      <c r="B14" s="137"/>
      <c r="C14" s="30" t="s">
        <v>19</v>
      </c>
      <c r="D14" s="17">
        <f t="shared" si="0"/>
        <v>0.65</v>
      </c>
      <c r="E14" s="30">
        <v>1</v>
      </c>
      <c r="F14" s="8">
        <f t="shared" si="1"/>
        <v>0</v>
      </c>
      <c r="G14" s="8">
        <f t="shared" si="2"/>
        <v>0</v>
      </c>
      <c r="H14" s="56"/>
      <c r="I14" s="57"/>
      <c r="J14" s="57"/>
      <c r="K14" s="57"/>
      <c r="L14" s="58"/>
    </row>
    <row r="15" spans="2:12" ht="18" customHeight="1" x14ac:dyDescent="0.4">
      <c r="B15" s="137"/>
      <c r="C15" s="30" t="s">
        <v>61</v>
      </c>
      <c r="D15" s="17">
        <f t="shared" si="0"/>
        <v>0.32500000000000001</v>
      </c>
      <c r="E15" s="30">
        <v>0.5</v>
      </c>
      <c r="F15" s="8">
        <f t="shared" si="1"/>
        <v>0</v>
      </c>
      <c r="G15" s="8">
        <f t="shared" si="2"/>
        <v>0</v>
      </c>
      <c r="H15" s="56"/>
      <c r="I15" s="57"/>
      <c r="J15" s="57"/>
      <c r="K15" s="57"/>
      <c r="L15" s="58"/>
    </row>
    <row r="16" spans="2:12" ht="18" customHeight="1" x14ac:dyDescent="0.4">
      <c r="B16" s="137"/>
      <c r="C16" s="30" t="s">
        <v>13</v>
      </c>
      <c r="D16" s="17">
        <f t="shared" si="0"/>
        <v>0.65</v>
      </c>
      <c r="E16" s="30">
        <v>1</v>
      </c>
      <c r="F16" s="8">
        <f t="shared" si="1"/>
        <v>0</v>
      </c>
      <c r="G16" s="8">
        <f t="shared" si="2"/>
        <v>0</v>
      </c>
      <c r="H16" s="56"/>
      <c r="I16" s="57"/>
      <c r="J16" s="57"/>
      <c r="K16" s="57"/>
      <c r="L16" s="58"/>
    </row>
    <row r="17" spans="2:12" ht="18" customHeight="1" x14ac:dyDescent="0.4">
      <c r="B17" s="137"/>
      <c r="C17" s="30" t="s">
        <v>81</v>
      </c>
      <c r="D17" s="17">
        <f t="shared" si="0"/>
        <v>1.3</v>
      </c>
      <c r="E17" s="30">
        <v>2</v>
      </c>
      <c r="F17" s="8">
        <f t="shared" si="1"/>
        <v>0</v>
      </c>
      <c r="G17" s="8">
        <f t="shared" si="2"/>
        <v>0</v>
      </c>
      <c r="H17" s="56"/>
      <c r="I17" s="57"/>
      <c r="J17" s="57"/>
      <c r="K17" s="57"/>
      <c r="L17" s="58"/>
    </row>
    <row r="18" spans="2:12" ht="18" customHeight="1" x14ac:dyDescent="0.4">
      <c r="B18" s="125"/>
      <c r="C18" s="30" t="s">
        <v>82</v>
      </c>
      <c r="D18" s="17">
        <f t="shared" si="0"/>
        <v>1.3</v>
      </c>
      <c r="E18" s="30">
        <v>2</v>
      </c>
      <c r="F18" s="8">
        <f t="shared" si="1"/>
        <v>0</v>
      </c>
      <c r="G18" s="8">
        <f t="shared" si="2"/>
        <v>0</v>
      </c>
      <c r="H18" s="59"/>
      <c r="I18" s="60"/>
      <c r="J18" s="60"/>
      <c r="K18" s="60"/>
      <c r="L18" s="61"/>
    </row>
    <row r="19" spans="2:12" ht="18" customHeight="1" x14ac:dyDescent="0.4">
      <c r="B19" s="128" t="s">
        <v>187</v>
      </c>
      <c r="C19" s="13" t="s">
        <v>27</v>
      </c>
      <c r="D19" s="9">
        <f t="shared" si="0"/>
        <v>26</v>
      </c>
      <c r="E19" s="12">
        <v>40</v>
      </c>
      <c r="F19" s="8">
        <f t="shared" si="1"/>
        <v>0</v>
      </c>
      <c r="G19" s="8">
        <f t="shared" si="2"/>
        <v>0</v>
      </c>
      <c r="H19" s="53" t="s">
        <v>188</v>
      </c>
      <c r="I19" s="54"/>
      <c r="J19" s="54"/>
      <c r="K19" s="54"/>
      <c r="L19" s="55"/>
    </row>
    <row r="20" spans="2:12" ht="18" customHeight="1" x14ac:dyDescent="0.4">
      <c r="B20" s="129"/>
      <c r="C20" s="13" t="s">
        <v>103</v>
      </c>
      <c r="D20" s="17">
        <f t="shared" si="0"/>
        <v>9.75</v>
      </c>
      <c r="E20" s="12">
        <v>15</v>
      </c>
      <c r="F20" s="8">
        <f t="shared" si="1"/>
        <v>0</v>
      </c>
      <c r="G20" s="8">
        <f t="shared" si="2"/>
        <v>0</v>
      </c>
      <c r="H20" s="56"/>
      <c r="I20" s="57"/>
      <c r="J20" s="57"/>
      <c r="K20" s="57"/>
      <c r="L20" s="58"/>
    </row>
    <row r="21" spans="2:12" ht="18" customHeight="1" x14ac:dyDescent="0.4">
      <c r="B21" s="129"/>
      <c r="C21" s="13" t="s">
        <v>72</v>
      </c>
      <c r="D21" s="17">
        <f t="shared" si="0"/>
        <v>6.5</v>
      </c>
      <c r="E21" s="12">
        <v>10</v>
      </c>
      <c r="F21" s="8">
        <f t="shared" si="1"/>
        <v>0</v>
      </c>
      <c r="G21" s="8">
        <f t="shared" si="2"/>
        <v>0</v>
      </c>
      <c r="H21" s="56"/>
      <c r="I21" s="57"/>
      <c r="J21" s="57"/>
      <c r="K21" s="57"/>
      <c r="L21" s="58"/>
    </row>
    <row r="22" spans="2:12" ht="18" customHeight="1" x14ac:dyDescent="0.4">
      <c r="B22" s="129"/>
      <c r="C22" s="13" t="s">
        <v>189</v>
      </c>
      <c r="D22" s="17">
        <f t="shared" si="0"/>
        <v>2.6</v>
      </c>
      <c r="E22" s="12">
        <v>4</v>
      </c>
      <c r="F22" s="8">
        <f t="shared" si="1"/>
        <v>0</v>
      </c>
      <c r="G22" s="8">
        <f t="shared" si="2"/>
        <v>0</v>
      </c>
      <c r="H22" s="56"/>
      <c r="I22" s="57"/>
      <c r="J22" s="57"/>
      <c r="K22" s="57"/>
      <c r="L22" s="58"/>
    </row>
    <row r="23" spans="2:12" ht="18" customHeight="1" x14ac:dyDescent="0.4">
      <c r="B23" s="129"/>
      <c r="C23" s="13" t="s">
        <v>64</v>
      </c>
      <c r="D23" s="17">
        <f t="shared" si="0"/>
        <v>0.65</v>
      </c>
      <c r="E23" s="12">
        <v>1</v>
      </c>
      <c r="F23" s="8">
        <f t="shared" si="1"/>
        <v>0</v>
      </c>
      <c r="G23" s="8">
        <f t="shared" si="2"/>
        <v>0</v>
      </c>
      <c r="H23" s="56"/>
      <c r="I23" s="57"/>
      <c r="J23" s="57"/>
      <c r="K23" s="57"/>
      <c r="L23" s="58"/>
    </row>
    <row r="24" spans="2:12" ht="18" customHeight="1" x14ac:dyDescent="0.4">
      <c r="B24" s="129"/>
      <c r="C24" s="13" t="s">
        <v>61</v>
      </c>
      <c r="D24" s="17">
        <f t="shared" si="0"/>
        <v>0.65</v>
      </c>
      <c r="E24" s="12">
        <v>1</v>
      </c>
      <c r="F24" s="8">
        <f t="shared" si="1"/>
        <v>0</v>
      </c>
      <c r="G24" s="8">
        <f t="shared" si="2"/>
        <v>0</v>
      </c>
      <c r="H24" s="56"/>
      <c r="I24" s="57"/>
      <c r="J24" s="57"/>
      <c r="K24" s="57"/>
      <c r="L24" s="58"/>
    </row>
    <row r="25" spans="2:12" ht="18" customHeight="1" x14ac:dyDescent="0.4">
      <c r="B25" s="129"/>
      <c r="C25" s="13" t="s">
        <v>96</v>
      </c>
      <c r="D25" s="17">
        <f t="shared" si="0"/>
        <v>0.65</v>
      </c>
      <c r="E25" s="12">
        <v>1</v>
      </c>
      <c r="F25" s="8">
        <f t="shared" si="1"/>
        <v>0</v>
      </c>
      <c r="G25" s="8">
        <f t="shared" si="2"/>
        <v>0</v>
      </c>
      <c r="H25" s="56"/>
      <c r="I25" s="57"/>
      <c r="J25" s="57"/>
      <c r="K25" s="57"/>
      <c r="L25" s="58"/>
    </row>
    <row r="26" spans="2:12" ht="18" customHeight="1" x14ac:dyDescent="0.4">
      <c r="B26" s="144" t="s">
        <v>117</v>
      </c>
      <c r="C26" s="13" t="s">
        <v>34</v>
      </c>
      <c r="D26" s="17">
        <f t="shared" si="0"/>
        <v>19.5</v>
      </c>
      <c r="E26" s="13">
        <v>30</v>
      </c>
      <c r="F26" s="8">
        <f t="shared" si="1"/>
        <v>0</v>
      </c>
      <c r="G26" s="8">
        <f t="shared" si="2"/>
        <v>0</v>
      </c>
      <c r="H26" s="88" t="s">
        <v>190</v>
      </c>
      <c r="I26" s="89"/>
      <c r="J26" s="89"/>
      <c r="K26" s="89"/>
      <c r="L26" s="90"/>
    </row>
    <row r="27" spans="2:12" ht="18" customHeight="1" x14ac:dyDescent="0.4">
      <c r="B27" s="144"/>
      <c r="C27" s="13" t="s">
        <v>61</v>
      </c>
      <c r="D27" s="17">
        <f t="shared" si="0"/>
        <v>0.19500000000000001</v>
      </c>
      <c r="E27" s="13">
        <v>0.3</v>
      </c>
      <c r="F27" s="8">
        <f t="shared" si="1"/>
        <v>0</v>
      </c>
      <c r="G27" s="8">
        <f t="shared" si="2"/>
        <v>0</v>
      </c>
      <c r="H27" s="91"/>
      <c r="I27" s="92"/>
      <c r="J27" s="92"/>
      <c r="K27" s="92"/>
      <c r="L27" s="93"/>
    </row>
    <row r="28" spans="2:12" ht="18" customHeight="1" x14ac:dyDescent="0.4">
      <c r="B28" s="144"/>
      <c r="C28" s="13" t="s">
        <v>19</v>
      </c>
      <c r="D28" s="17">
        <f t="shared" si="0"/>
        <v>0.13</v>
      </c>
      <c r="E28" s="13">
        <v>0.2</v>
      </c>
      <c r="F28" s="8">
        <f t="shared" si="1"/>
        <v>0</v>
      </c>
      <c r="G28" s="8">
        <f t="shared" si="2"/>
        <v>0</v>
      </c>
      <c r="H28" s="91"/>
      <c r="I28" s="92"/>
      <c r="J28" s="92"/>
      <c r="K28" s="92"/>
      <c r="L28" s="93"/>
    </row>
    <row r="29" spans="2:12" ht="18" customHeight="1" x14ac:dyDescent="0.4">
      <c r="B29" s="144"/>
      <c r="C29" s="13" t="s">
        <v>10</v>
      </c>
      <c r="D29" s="17">
        <f t="shared" si="0"/>
        <v>6.5000000000000002E-2</v>
      </c>
      <c r="E29" s="13">
        <v>0.1</v>
      </c>
      <c r="F29" s="8">
        <f t="shared" si="1"/>
        <v>0</v>
      </c>
      <c r="G29" s="8">
        <f t="shared" si="2"/>
        <v>0</v>
      </c>
      <c r="H29" s="91"/>
      <c r="I29" s="92"/>
      <c r="J29" s="92"/>
      <c r="K29" s="92"/>
      <c r="L29" s="93"/>
    </row>
    <row r="30" spans="2:12" ht="18" customHeight="1" x14ac:dyDescent="0.4">
      <c r="B30" s="144"/>
      <c r="C30" s="13" t="s">
        <v>9</v>
      </c>
      <c r="D30" s="17">
        <f t="shared" si="0"/>
        <v>0.13</v>
      </c>
      <c r="E30" s="13">
        <v>0.2</v>
      </c>
      <c r="F30" s="8">
        <f t="shared" si="1"/>
        <v>0</v>
      </c>
      <c r="G30" s="8">
        <f t="shared" si="2"/>
        <v>0</v>
      </c>
      <c r="H30" s="91"/>
      <c r="I30" s="92"/>
      <c r="J30" s="92"/>
      <c r="K30" s="92"/>
      <c r="L30" s="93"/>
    </row>
    <row r="31" spans="2:12" ht="18" customHeight="1" x14ac:dyDescent="0.4">
      <c r="B31" s="144"/>
      <c r="C31" s="13" t="s">
        <v>8</v>
      </c>
      <c r="D31" s="17">
        <f t="shared" si="0"/>
        <v>0.13</v>
      </c>
      <c r="E31" s="13">
        <v>0.2</v>
      </c>
      <c r="F31" s="8">
        <f t="shared" si="1"/>
        <v>0</v>
      </c>
      <c r="G31" s="8">
        <f t="shared" si="2"/>
        <v>0</v>
      </c>
      <c r="H31" s="98"/>
      <c r="I31" s="99"/>
      <c r="J31" s="99"/>
      <c r="K31" s="99"/>
      <c r="L31" s="100"/>
    </row>
    <row r="32" spans="2:12" ht="18" customHeight="1" thickBot="1" x14ac:dyDescent="0.45">
      <c r="B32" s="133" t="s">
        <v>66</v>
      </c>
      <c r="C32" s="34" t="s">
        <v>67</v>
      </c>
      <c r="D32" s="37">
        <f t="shared" si="0"/>
        <v>13</v>
      </c>
      <c r="E32" s="21">
        <v>20</v>
      </c>
      <c r="F32" s="22">
        <f t="shared" si="1"/>
        <v>0</v>
      </c>
      <c r="G32" s="22">
        <f t="shared" si="2"/>
        <v>0</v>
      </c>
      <c r="H32" s="73" t="s">
        <v>54</v>
      </c>
      <c r="I32" s="74"/>
      <c r="J32" s="74"/>
      <c r="K32" s="74"/>
      <c r="L32" s="75"/>
    </row>
    <row r="33" spans="2:12" ht="80.099999999999994" customHeight="1" thickTop="1" x14ac:dyDescent="0.4"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</row>
    <row r="34" spans="2:12" ht="18" customHeight="1" thickBot="1" x14ac:dyDescent="0.45"/>
    <row r="35" spans="2:12" ht="21" customHeight="1" thickTop="1" x14ac:dyDescent="0.4">
      <c r="B35" s="145" t="s">
        <v>97</v>
      </c>
      <c r="C35" s="146"/>
      <c r="D35" s="146"/>
      <c r="E35" s="146"/>
      <c r="F35" s="146"/>
      <c r="G35" s="146"/>
      <c r="H35" s="146"/>
      <c r="I35" s="146"/>
      <c r="J35" s="146"/>
      <c r="K35" s="146"/>
      <c r="L35" s="147"/>
    </row>
    <row r="36" spans="2:12" ht="18" customHeight="1" x14ac:dyDescent="0.4">
      <c r="B36" s="96" t="s">
        <v>3</v>
      </c>
      <c r="C36" s="94" t="s">
        <v>4</v>
      </c>
      <c r="D36" s="94" t="s">
        <v>5</v>
      </c>
      <c r="E36" s="94"/>
      <c r="F36" s="94" t="s">
        <v>6</v>
      </c>
      <c r="G36" s="94"/>
      <c r="H36" s="94" t="s">
        <v>7</v>
      </c>
      <c r="I36" s="94"/>
      <c r="J36" s="94"/>
      <c r="K36" s="94"/>
      <c r="L36" s="95"/>
    </row>
    <row r="37" spans="2:12" ht="18" customHeight="1" x14ac:dyDescent="0.4">
      <c r="B37" s="96"/>
      <c r="C37" s="94"/>
      <c r="D37" s="5" t="s">
        <v>1</v>
      </c>
      <c r="E37" s="5" t="s">
        <v>2</v>
      </c>
      <c r="F37" s="6" t="s">
        <v>1</v>
      </c>
      <c r="G37" s="7" t="s">
        <v>2</v>
      </c>
      <c r="H37" s="94"/>
      <c r="I37" s="94"/>
      <c r="J37" s="94"/>
      <c r="K37" s="94"/>
      <c r="L37" s="95"/>
    </row>
    <row r="38" spans="2:12" ht="18" customHeight="1" x14ac:dyDescent="0.4">
      <c r="B38" s="124" t="s">
        <v>87</v>
      </c>
      <c r="C38" s="43" t="s">
        <v>30</v>
      </c>
      <c r="D38" s="17">
        <f t="shared" ref="D38:D63" si="3">E38*0.65</f>
        <v>32.5</v>
      </c>
      <c r="E38" s="12">
        <v>50</v>
      </c>
      <c r="F38" s="8">
        <f t="shared" ref="F38:F63" si="4">D38*D$2</f>
        <v>0</v>
      </c>
      <c r="G38" s="8">
        <f t="shared" ref="G38:G63" si="5">E38*D$3</f>
        <v>0</v>
      </c>
      <c r="H38" s="53" t="s">
        <v>149</v>
      </c>
      <c r="I38" s="54"/>
      <c r="J38" s="54"/>
      <c r="K38" s="54"/>
      <c r="L38" s="55"/>
    </row>
    <row r="39" spans="2:12" ht="18" customHeight="1" x14ac:dyDescent="0.4">
      <c r="B39" s="125"/>
      <c r="C39" s="43" t="s">
        <v>150</v>
      </c>
      <c r="D39" s="17">
        <f t="shared" si="3"/>
        <v>1.625</v>
      </c>
      <c r="E39" s="12">
        <v>2.5</v>
      </c>
      <c r="F39" s="8">
        <f t="shared" si="4"/>
        <v>0</v>
      </c>
      <c r="G39" s="8">
        <f t="shared" si="5"/>
        <v>0</v>
      </c>
      <c r="H39" s="59"/>
      <c r="I39" s="60"/>
      <c r="J39" s="60"/>
      <c r="K39" s="60"/>
      <c r="L39" s="61"/>
    </row>
    <row r="40" spans="2:12" ht="18" customHeight="1" x14ac:dyDescent="0.4">
      <c r="B40" s="126" t="s">
        <v>191</v>
      </c>
      <c r="C40" s="13" t="s">
        <v>50</v>
      </c>
      <c r="D40" s="9">
        <f t="shared" si="3"/>
        <v>13</v>
      </c>
      <c r="E40" s="13">
        <v>20</v>
      </c>
      <c r="F40" s="8">
        <f t="shared" si="4"/>
        <v>0</v>
      </c>
      <c r="G40" s="8">
        <f t="shared" si="5"/>
        <v>0</v>
      </c>
      <c r="H40" s="62" t="s">
        <v>192</v>
      </c>
      <c r="I40" s="62"/>
      <c r="J40" s="62"/>
      <c r="K40" s="62"/>
      <c r="L40" s="63"/>
    </row>
    <row r="41" spans="2:12" ht="18" customHeight="1" x14ac:dyDescent="0.4">
      <c r="B41" s="127"/>
      <c r="C41" s="13" t="s">
        <v>22</v>
      </c>
      <c r="D41" s="17">
        <f t="shared" si="3"/>
        <v>1.3</v>
      </c>
      <c r="E41" s="13">
        <v>2</v>
      </c>
      <c r="F41" s="8">
        <f t="shared" si="4"/>
        <v>0</v>
      </c>
      <c r="G41" s="8">
        <f t="shared" si="5"/>
        <v>0</v>
      </c>
      <c r="H41" s="62"/>
      <c r="I41" s="62"/>
      <c r="J41" s="62"/>
      <c r="K41" s="62"/>
      <c r="L41" s="63"/>
    </row>
    <row r="42" spans="2:12" ht="18" customHeight="1" x14ac:dyDescent="0.4">
      <c r="B42" s="127"/>
      <c r="C42" s="13" t="s">
        <v>21</v>
      </c>
      <c r="D42" s="17">
        <f t="shared" si="3"/>
        <v>1.3</v>
      </c>
      <c r="E42" s="13">
        <v>2</v>
      </c>
      <c r="F42" s="8">
        <f t="shared" si="4"/>
        <v>0</v>
      </c>
      <c r="G42" s="8">
        <f t="shared" si="5"/>
        <v>0</v>
      </c>
      <c r="H42" s="62"/>
      <c r="I42" s="62"/>
      <c r="J42" s="62"/>
      <c r="K42" s="62"/>
      <c r="L42" s="63"/>
    </row>
    <row r="43" spans="2:12" ht="18" customHeight="1" x14ac:dyDescent="0.4">
      <c r="B43" s="127"/>
      <c r="C43" s="13" t="s">
        <v>72</v>
      </c>
      <c r="D43" s="17">
        <f t="shared" si="3"/>
        <v>3.25</v>
      </c>
      <c r="E43" s="13">
        <v>5</v>
      </c>
      <c r="F43" s="8">
        <f t="shared" si="4"/>
        <v>0</v>
      </c>
      <c r="G43" s="8">
        <f t="shared" si="5"/>
        <v>0</v>
      </c>
      <c r="H43" s="62"/>
      <c r="I43" s="62"/>
      <c r="J43" s="62"/>
      <c r="K43" s="62"/>
      <c r="L43" s="63"/>
    </row>
    <row r="44" spans="2:12" ht="18" customHeight="1" x14ac:dyDescent="0.4">
      <c r="B44" s="127"/>
      <c r="C44" s="13" t="s">
        <v>10</v>
      </c>
      <c r="D44" s="17">
        <f t="shared" si="3"/>
        <v>0.65</v>
      </c>
      <c r="E44" s="13">
        <v>1</v>
      </c>
      <c r="F44" s="8">
        <f t="shared" si="4"/>
        <v>0</v>
      </c>
      <c r="G44" s="8">
        <f t="shared" si="5"/>
        <v>0</v>
      </c>
      <c r="H44" s="62"/>
      <c r="I44" s="62"/>
      <c r="J44" s="62"/>
      <c r="K44" s="62"/>
      <c r="L44" s="63"/>
    </row>
    <row r="45" spans="2:12" ht="18" customHeight="1" x14ac:dyDescent="0.4">
      <c r="B45" s="127"/>
      <c r="C45" s="13" t="s">
        <v>61</v>
      </c>
      <c r="D45" s="17">
        <f t="shared" si="3"/>
        <v>0.32500000000000001</v>
      </c>
      <c r="E45" s="13">
        <v>0.5</v>
      </c>
      <c r="F45" s="8">
        <f t="shared" si="4"/>
        <v>0</v>
      </c>
      <c r="G45" s="8">
        <f t="shared" si="5"/>
        <v>0</v>
      </c>
      <c r="H45" s="62"/>
      <c r="I45" s="62"/>
      <c r="J45" s="62"/>
      <c r="K45" s="62"/>
      <c r="L45" s="63"/>
    </row>
    <row r="46" spans="2:12" ht="18" customHeight="1" x14ac:dyDescent="0.4">
      <c r="B46" s="127"/>
      <c r="C46" s="13" t="s">
        <v>19</v>
      </c>
      <c r="D46" s="17">
        <f t="shared" si="3"/>
        <v>0.65</v>
      </c>
      <c r="E46" s="13">
        <v>1</v>
      </c>
      <c r="F46" s="8">
        <f t="shared" si="4"/>
        <v>0</v>
      </c>
      <c r="G46" s="8">
        <f t="shared" si="5"/>
        <v>0</v>
      </c>
      <c r="H46" s="62"/>
      <c r="I46" s="62"/>
      <c r="J46" s="62"/>
      <c r="K46" s="62"/>
      <c r="L46" s="63"/>
    </row>
    <row r="47" spans="2:12" ht="18" customHeight="1" x14ac:dyDescent="0.4">
      <c r="B47" s="140" t="s">
        <v>193</v>
      </c>
      <c r="C47" s="13" t="s">
        <v>62</v>
      </c>
      <c r="D47" s="14">
        <f t="shared" si="3"/>
        <v>19.5</v>
      </c>
      <c r="E47" s="13">
        <v>30</v>
      </c>
      <c r="F47" s="20">
        <f t="shared" si="4"/>
        <v>0</v>
      </c>
      <c r="G47" s="8">
        <f t="shared" si="5"/>
        <v>0</v>
      </c>
      <c r="H47" s="82" t="s">
        <v>194</v>
      </c>
      <c r="I47" s="82"/>
      <c r="J47" s="82"/>
      <c r="K47" s="82"/>
      <c r="L47" s="83"/>
    </row>
    <row r="48" spans="2:12" ht="18" customHeight="1" x14ac:dyDescent="0.4">
      <c r="B48" s="140"/>
      <c r="C48" s="13" t="s">
        <v>17</v>
      </c>
      <c r="D48" s="14">
        <f t="shared" si="3"/>
        <v>6.5</v>
      </c>
      <c r="E48" s="13">
        <v>10</v>
      </c>
      <c r="F48" s="20">
        <f t="shared" si="4"/>
        <v>0</v>
      </c>
      <c r="G48" s="8">
        <f t="shared" si="5"/>
        <v>0</v>
      </c>
      <c r="H48" s="82"/>
      <c r="I48" s="82"/>
      <c r="J48" s="82"/>
      <c r="K48" s="82"/>
      <c r="L48" s="83"/>
    </row>
    <row r="49" spans="2:12" ht="18" customHeight="1" x14ac:dyDescent="0.4">
      <c r="B49" s="140"/>
      <c r="C49" s="13" t="s">
        <v>73</v>
      </c>
      <c r="D49" s="16">
        <f t="shared" si="3"/>
        <v>1.9500000000000002</v>
      </c>
      <c r="E49" s="13">
        <v>3</v>
      </c>
      <c r="F49" s="20">
        <f t="shared" si="4"/>
        <v>0</v>
      </c>
      <c r="G49" s="8">
        <f t="shared" si="5"/>
        <v>0</v>
      </c>
      <c r="H49" s="82"/>
      <c r="I49" s="82"/>
      <c r="J49" s="82"/>
      <c r="K49" s="82"/>
      <c r="L49" s="83"/>
    </row>
    <row r="50" spans="2:12" ht="18" customHeight="1" x14ac:dyDescent="0.4">
      <c r="B50" s="140"/>
      <c r="C50" s="13" t="s">
        <v>61</v>
      </c>
      <c r="D50" s="14">
        <f t="shared" si="3"/>
        <v>0.32500000000000001</v>
      </c>
      <c r="E50" s="13">
        <v>0.5</v>
      </c>
      <c r="F50" s="20">
        <f t="shared" si="4"/>
        <v>0</v>
      </c>
      <c r="G50" s="8">
        <f t="shared" si="5"/>
        <v>0</v>
      </c>
      <c r="H50" s="82"/>
      <c r="I50" s="82"/>
      <c r="J50" s="82"/>
      <c r="K50" s="82"/>
      <c r="L50" s="83"/>
    </row>
    <row r="51" spans="2:12" ht="18" customHeight="1" x14ac:dyDescent="0.4">
      <c r="B51" s="140"/>
      <c r="C51" s="13" t="s">
        <v>13</v>
      </c>
      <c r="D51" s="16">
        <f t="shared" si="3"/>
        <v>1.9500000000000002</v>
      </c>
      <c r="E51" s="13">
        <v>3</v>
      </c>
      <c r="F51" s="20">
        <f t="shared" si="4"/>
        <v>0</v>
      </c>
      <c r="G51" s="8">
        <f t="shared" si="5"/>
        <v>0</v>
      </c>
      <c r="H51" s="82"/>
      <c r="I51" s="82"/>
      <c r="J51" s="82"/>
      <c r="K51" s="82"/>
      <c r="L51" s="83"/>
    </row>
    <row r="52" spans="2:12" ht="18" customHeight="1" x14ac:dyDescent="0.4">
      <c r="B52" s="140"/>
      <c r="C52" s="13" t="s">
        <v>83</v>
      </c>
      <c r="D52" s="14">
        <f t="shared" si="3"/>
        <v>0.65</v>
      </c>
      <c r="E52" s="13">
        <v>1</v>
      </c>
      <c r="F52" s="20">
        <f t="shared" si="4"/>
        <v>0</v>
      </c>
      <c r="G52" s="8">
        <f t="shared" si="5"/>
        <v>0</v>
      </c>
      <c r="H52" s="82"/>
      <c r="I52" s="82"/>
      <c r="J52" s="82"/>
      <c r="K52" s="82"/>
      <c r="L52" s="83"/>
    </row>
    <row r="53" spans="2:12" ht="18" customHeight="1" x14ac:dyDescent="0.4">
      <c r="B53" s="140"/>
      <c r="C53" s="13" t="s">
        <v>74</v>
      </c>
      <c r="D53" s="14">
        <f t="shared" si="3"/>
        <v>0.32500000000000001</v>
      </c>
      <c r="E53" s="13">
        <v>0.5</v>
      </c>
      <c r="F53" s="20">
        <f t="shared" si="4"/>
        <v>0</v>
      </c>
      <c r="G53" s="8">
        <f t="shared" si="5"/>
        <v>0</v>
      </c>
      <c r="H53" s="82"/>
      <c r="I53" s="82"/>
      <c r="J53" s="82"/>
      <c r="K53" s="82"/>
      <c r="L53" s="83"/>
    </row>
    <row r="54" spans="2:12" ht="18" customHeight="1" x14ac:dyDescent="0.4">
      <c r="B54" s="140"/>
      <c r="C54" s="13" t="s">
        <v>75</v>
      </c>
      <c r="D54" s="14">
        <f t="shared" si="3"/>
        <v>0.13</v>
      </c>
      <c r="E54" s="13">
        <v>0.2</v>
      </c>
      <c r="F54" s="20">
        <f t="shared" si="4"/>
        <v>0</v>
      </c>
      <c r="G54" s="8">
        <f t="shared" si="5"/>
        <v>0</v>
      </c>
      <c r="H54" s="82"/>
      <c r="I54" s="82"/>
      <c r="J54" s="82"/>
      <c r="K54" s="82"/>
      <c r="L54" s="83"/>
    </row>
    <row r="55" spans="2:12" ht="18" customHeight="1" x14ac:dyDescent="0.4">
      <c r="B55" s="140"/>
      <c r="C55" s="13" t="s">
        <v>76</v>
      </c>
      <c r="D55" s="14">
        <f t="shared" si="3"/>
        <v>1.3</v>
      </c>
      <c r="E55" s="13">
        <v>2</v>
      </c>
      <c r="F55" s="20">
        <f t="shared" si="4"/>
        <v>0</v>
      </c>
      <c r="G55" s="8">
        <f t="shared" si="5"/>
        <v>0</v>
      </c>
      <c r="H55" s="82"/>
      <c r="I55" s="82"/>
      <c r="J55" s="82"/>
      <c r="K55" s="82"/>
      <c r="L55" s="83"/>
    </row>
    <row r="56" spans="2:12" ht="18" customHeight="1" x14ac:dyDescent="0.4">
      <c r="B56" s="124" t="s">
        <v>195</v>
      </c>
      <c r="C56" s="13" t="s">
        <v>93</v>
      </c>
      <c r="D56" s="8">
        <f t="shared" si="3"/>
        <v>26</v>
      </c>
      <c r="E56" s="13">
        <v>40</v>
      </c>
      <c r="F56" s="8">
        <f t="shared" si="4"/>
        <v>0</v>
      </c>
      <c r="G56" s="8">
        <f t="shared" si="5"/>
        <v>0</v>
      </c>
      <c r="H56" s="62" t="s">
        <v>196</v>
      </c>
      <c r="I56" s="62"/>
      <c r="J56" s="62"/>
      <c r="K56" s="62"/>
      <c r="L56" s="63"/>
    </row>
    <row r="57" spans="2:12" ht="18" customHeight="1" x14ac:dyDescent="0.4">
      <c r="B57" s="137"/>
      <c r="C57" s="13" t="s">
        <v>64</v>
      </c>
      <c r="D57" s="20">
        <f t="shared" si="3"/>
        <v>1.9500000000000002</v>
      </c>
      <c r="E57" s="13">
        <v>3</v>
      </c>
      <c r="F57" s="8">
        <f t="shared" si="4"/>
        <v>0</v>
      </c>
      <c r="G57" s="8">
        <f t="shared" si="5"/>
        <v>0</v>
      </c>
      <c r="H57" s="62"/>
      <c r="I57" s="62"/>
      <c r="J57" s="62"/>
      <c r="K57" s="62"/>
      <c r="L57" s="63"/>
    </row>
    <row r="58" spans="2:12" ht="18" customHeight="1" x14ac:dyDescent="0.4">
      <c r="B58" s="137"/>
      <c r="C58" s="13" t="s">
        <v>79</v>
      </c>
      <c r="D58" s="20">
        <f t="shared" si="3"/>
        <v>1.9500000000000002</v>
      </c>
      <c r="E58" s="13">
        <v>3</v>
      </c>
      <c r="F58" s="8">
        <f t="shared" si="4"/>
        <v>0</v>
      </c>
      <c r="G58" s="8">
        <f t="shared" si="5"/>
        <v>0</v>
      </c>
      <c r="H58" s="62"/>
      <c r="I58" s="62"/>
      <c r="J58" s="62"/>
      <c r="K58" s="62"/>
      <c r="L58" s="63"/>
    </row>
    <row r="59" spans="2:12" ht="18" customHeight="1" x14ac:dyDescent="0.4">
      <c r="B59" s="137"/>
      <c r="C59" s="13" t="s">
        <v>197</v>
      </c>
      <c r="D59" s="8">
        <f t="shared" si="3"/>
        <v>1.3</v>
      </c>
      <c r="E59" s="13">
        <v>2</v>
      </c>
      <c r="F59" s="8">
        <f t="shared" si="4"/>
        <v>0</v>
      </c>
      <c r="G59" s="8">
        <f t="shared" si="5"/>
        <v>0</v>
      </c>
      <c r="H59" s="62"/>
      <c r="I59" s="62"/>
      <c r="J59" s="62"/>
      <c r="K59" s="62"/>
      <c r="L59" s="63"/>
    </row>
    <row r="60" spans="2:12" ht="18" customHeight="1" x14ac:dyDescent="0.4">
      <c r="B60" s="137"/>
      <c r="C60" s="13" t="s">
        <v>61</v>
      </c>
      <c r="D60" s="18">
        <f t="shared" si="3"/>
        <v>0.32500000000000001</v>
      </c>
      <c r="E60" s="13">
        <v>0.5</v>
      </c>
      <c r="F60" s="8">
        <f t="shared" si="4"/>
        <v>0</v>
      </c>
      <c r="G60" s="8">
        <f t="shared" si="5"/>
        <v>0</v>
      </c>
      <c r="H60" s="62"/>
      <c r="I60" s="62"/>
      <c r="J60" s="62"/>
      <c r="K60" s="62"/>
      <c r="L60" s="63"/>
    </row>
    <row r="61" spans="2:12" ht="18" customHeight="1" x14ac:dyDescent="0.4">
      <c r="B61" s="137"/>
      <c r="C61" s="13" t="s">
        <v>65</v>
      </c>
      <c r="D61" s="18">
        <f t="shared" si="3"/>
        <v>0.13</v>
      </c>
      <c r="E61" s="13">
        <v>0.2</v>
      </c>
      <c r="F61" s="8">
        <f t="shared" si="4"/>
        <v>0</v>
      </c>
      <c r="G61" s="8">
        <f t="shared" si="5"/>
        <v>0</v>
      </c>
      <c r="H61" s="62"/>
      <c r="I61" s="62"/>
      <c r="J61" s="62"/>
      <c r="K61" s="62"/>
      <c r="L61" s="63"/>
    </row>
    <row r="62" spans="2:12" ht="18" customHeight="1" x14ac:dyDescent="0.4">
      <c r="B62" s="125"/>
      <c r="C62" s="13" t="s">
        <v>76</v>
      </c>
      <c r="D62" s="18">
        <f t="shared" si="3"/>
        <v>0.65</v>
      </c>
      <c r="E62" s="13">
        <v>1</v>
      </c>
      <c r="F62" s="8">
        <f t="shared" si="4"/>
        <v>0</v>
      </c>
      <c r="G62" s="8">
        <f t="shared" si="5"/>
        <v>0</v>
      </c>
      <c r="H62" s="62"/>
      <c r="I62" s="62"/>
      <c r="J62" s="62"/>
      <c r="K62" s="62"/>
      <c r="L62" s="63"/>
    </row>
    <row r="63" spans="2:12" ht="18" customHeight="1" thickBot="1" x14ac:dyDescent="0.45">
      <c r="B63" s="133" t="s">
        <v>66</v>
      </c>
      <c r="C63" s="34" t="s">
        <v>67</v>
      </c>
      <c r="D63" s="37">
        <f t="shared" si="3"/>
        <v>13</v>
      </c>
      <c r="E63" s="21">
        <v>20</v>
      </c>
      <c r="F63" s="22">
        <f t="shared" si="4"/>
        <v>0</v>
      </c>
      <c r="G63" s="22">
        <f t="shared" si="5"/>
        <v>0</v>
      </c>
      <c r="H63" s="73" t="s">
        <v>54</v>
      </c>
      <c r="I63" s="74"/>
      <c r="J63" s="74"/>
      <c r="K63" s="74"/>
      <c r="L63" s="75"/>
    </row>
    <row r="64" spans="2:12" ht="80.099999999999994" customHeight="1" thickTop="1" x14ac:dyDescent="0.4">
      <c r="B64" s="97"/>
      <c r="C64" s="97"/>
      <c r="D64" s="97"/>
      <c r="E64" s="97"/>
      <c r="F64" s="97"/>
      <c r="G64" s="97"/>
      <c r="H64" s="97"/>
      <c r="I64" s="97"/>
      <c r="J64" s="97"/>
      <c r="K64" s="97"/>
      <c r="L64" s="97"/>
    </row>
    <row r="65" spans="2:12" ht="18" customHeight="1" thickBot="1" x14ac:dyDescent="0.45"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</row>
    <row r="66" spans="2:12" ht="21" customHeight="1" thickTop="1" x14ac:dyDescent="0.4">
      <c r="B66" s="145" t="s">
        <v>101</v>
      </c>
      <c r="C66" s="146"/>
      <c r="D66" s="146"/>
      <c r="E66" s="146"/>
      <c r="F66" s="146"/>
      <c r="G66" s="146"/>
      <c r="H66" s="146"/>
      <c r="I66" s="146"/>
      <c r="J66" s="146"/>
      <c r="K66" s="146"/>
      <c r="L66" s="147"/>
    </row>
    <row r="67" spans="2:12" ht="18" customHeight="1" x14ac:dyDescent="0.4">
      <c r="B67" s="96" t="s">
        <v>3</v>
      </c>
      <c r="C67" s="94" t="s">
        <v>4</v>
      </c>
      <c r="D67" s="94" t="s">
        <v>5</v>
      </c>
      <c r="E67" s="94"/>
      <c r="F67" s="94" t="s">
        <v>6</v>
      </c>
      <c r="G67" s="94"/>
      <c r="H67" s="94" t="s">
        <v>7</v>
      </c>
      <c r="I67" s="94"/>
      <c r="J67" s="94"/>
      <c r="K67" s="94"/>
      <c r="L67" s="95"/>
    </row>
    <row r="68" spans="2:12" ht="18" customHeight="1" x14ac:dyDescent="0.4">
      <c r="B68" s="96"/>
      <c r="C68" s="94"/>
      <c r="D68" s="5" t="s">
        <v>1</v>
      </c>
      <c r="E68" s="5" t="s">
        <v>2</v>
      </c>
      <c r="F68" s="6" t="s">
        <v>1</v>
      </c>
      <c r="G68" s="7" t="s">
        <v>2</v>
      </c>
      <c r="H68" s="94"/>
      <c r="I68" s="94"/>
      <c r="J68" s="94"/>
      <c r="K68" s="94"/>
      <c r="L68" s="95"/>
    </row>
    <row r="69" spans="2:12" ht="18" customHeight="1" x14ac:dyDescent="0.4">
      <c r="B69" s="140" t="s">
        <v>158</v>
      </c>
      <c r="C69" s="43" t="s">
        <v>30</v>
      </c>
      <c r="D69" s="17">
        <f t="shared" ref="D69:D76" si="6">E69*0.65</f>
        <v>32.5</v>
      </c>
      <c r="E69" s="12">
        <v>50</v>
      </c>
      <c r="F69" s="8">
        <f t="shared" ref="F69:F91" si="7">D69*D$2</f>
        <v>0</v>
      </c>
      <c r="G69" s="8">
        <f t="shared" ref="G69:G91" si="8">E69*D$3</f>
        <v>0</v>
      </c>
      <c r="H69" s="53" t="s">
        <v>159</v>
      </c>
      <c r="I69" s="54"/>
      <c r="J69" s="54"/>
      <c r="K69" s="54"/>
      <c r="L69" s="55"/>
    </row>
    <row r="70" spans="2:12" ht="18" customHeight="1" x14ac:dyDescent="0.4">
      <c r="B70" s="140"/>
      <c r="C70" s="43" t="s">
        <v>160</v>
      </c>
      <c r="D70" s="17">
        <f t="shared" si="6"/>
        <v>1.625</v>
      </c>
      <c r="E70" s="12">
        <v>2.5</v>
      </c>
      <c r="F70" s="8">
        <f t="shared" si="7"/>
        <v>0</v>
      </c>
      <c r="G70" s="8">
        <f t="shared" si="8"/>
        <v>0</v>
      </c>
      <c r="H70" s="59"/>
      <c r="I70" s="60"/>
      <c r="J70" s="60"/>
      <c r="K70" s="60"/>
      <c r="L70" s="61"/>
    </row>
    <row r="71" spans="2:12" ht="18" customHeight="1" x14ac:dyDescent="0.4">
      <c r="B71" s="148" t="s">
        <v>198</v>
      </c>
      <c r="C71" s="13" t="s">
        <v>32</v>
      </c>
      <c r="D71" s="16">
        <f t="shared" si="6"/>
        <v>13</v>
      </c>
      <c r="E71" s="13">
        <v>20</v>
      </c>
      <c r="F71" s="8">
        <f t="shared" si="7"/>
        <v>0</v>
      </c>
      <c r="G71" s="8">
        <f t="shared" si="8"/>
        <v>0</v>
      </c>
      <c r="H71" s="62" t="s">
        <v>199</v>
      </c>
      <c r="I71" s="62"/>
      <c r="J71" s="62"/>
      <c r="K71" s="62"/>
      <c r="L71" s="63"/>
    </row>
    <row r="72" spans="2:12" ht="18" customHeight="1" x14ac:dyDescent="0.4">
      <c r="B72" s="148"/>
      <c r="C72" s="13" t="s">
        <v>22</v>
      </c>
      <c r="D72" s="14">
        <f t="shared" si="6"/>
        <v>1.3</v>
      </c>
      <c r="E72" s="13">
        <v>2</v>
      </c>
      <c r="F72" s="8">
        <f t="shared" si="7"/>
        <v>0</v>
      </c>
      <c r="G72" s="8">
        <f t="shared" si="8"/>
        <v>0</v>
      </c>
      <c r="H72" s="62"/>
      <c r="I72" s="62"/>
      <c r="J72" s="62"/>
      <c r="K72" s="62"/>
      <c r="L72" s="63"/>
    </row>
    <row r="73" spans="2:12" ht="18" customHeight="1" x14ac:dyDescent="0.4">
      <c r="B73" s="148"/>
      <c r="C73" s="13" t="s">
        <v>21</v>
      </c>
      <c r="D73" s="14">
        <f t="shared" si="6"/>
        <v>1.3</v>
      </c>
      <c r="E73" s="13">
        <v>2</v>
      </c>
      <c r="F73" s="8">
        <f t="shared" si="7"/>
        <v>0</v>
      </c>
      <c r="G73" s="8">
        <f t="shared" si="8"/>
        <v>0</v>
      </c>
      <c r="H73" s="62"/>
      <c r="I73" s="62"/>
      <c r="J73" s="62"/>
      <c r="K73" s="62"/>
      <c r="L73" s="63"/>
    </row>
    <row r="74" spans="2:12" ht="18" customHeight="1" x14ac:dyDescent="0.4">
      <c r="B74" s="148"/>
      <c r="C74" s="13" t="s">
        <v>43</v>
      </c>
      <c r="D74" s="14">
        <f t="shared" si="6"/>
        <v>3.25</v>
      </c>
      <c r="E74" s="13">
        <v>5</v>
      </c>
      <c r="F74" s="8">
        <f t="shared" si="7"/>
        <v>0</v>
      </c>
      <c r="G74" s="8">
        <f t="shared" si="8"/>
        <v>0</v>
      </c>
      <c r="H74" s="62"/>
      <c r="I74" s="62"/>
      <c r="J74" s="62"/>
      <c r="K74" s="62"/>
      <c r="L74" s="63"/>
    </row>
    <row r="75" spans="2:12" ht="18" customHeight="1" x14ac:dyDescent="0.4">
      <c r="B75" s="148"/>
      <c r="C75" s="13" t="s">
        <v>61</v>
      </c>
      <c r="D75" s="14">
        <f t="shared" si="6"/>
        <v>0.32500000000000001</v>
      </c>
      <c r="E75" s="13">
        <v>0.5</v>
      </c>
      <c r="F75" s="8">
        <f t="shared" si="7"/>
        <v>0</v>
      </c>
      <c r="G75" s="8">
        <f t="shared" si="8"/>
        <v>0</v>
      </c>
      <c r="H75" s="62"/>
      <c r="I75" s="62"/>
      <c r="J75" s="62"/>
      <c r="K75" s="62"/>
      <c r="L75" s="63"/>
    </row>
    <row r="76" spans="2:12" ht="18" customHeight="1" x14ac:dyDescent="0.4">
      <c r="B76" s="148"/>
      <c r="C76" s="13" t="s">
        <v>19</v>
      </c>
      <c r="D76" s="14">
        <f t="shared" si="6"/>
        <v>1.3</v>
      </c>
      <c r="E76" s="13">
        <v>2</v>
      </c>
      <c r="F76" s="8">
        <f t="shared" si="7"/>
        <v>0</v>
      </c>
      <c r="G76" s="8">
        <f t="shared" si="8"/>
        <v>0</v>
      </c>
      <c r="H76" s="62"/>
      <c r="I76" s="62"/>
      <c r="J76" s="62"/>
      <c r="K76" s="62"/>
      <c r="L76" s="63"/>
    </row>
    <row r="77" spans="2:12" ht="18" customHeight="1" x14ac:dyDescent="0.4">
      <c r="B77" s="124" t="s">
        <v>200</v>
      </c>
      <c r="C77" s="13" t="s">
        <v>27</v>
      </c>
      <c r="D77" s="9">
        <v>26</v>
      </c>
      <c r="E77" s="12">
        <v>40</v>
      </c>
      <c r="F77" s="8">
        <f t="shared" si="7"/>
        <v>0</v>
      </c>
      <c r="G77" s="8">
        <f t="shared" si="8"/>
        <v>0</v>
      </c>
      <c r="H77" s="88" t="s">
        <v>201</v>
      </c>
      <c r="I77" s="89"/>
      <c r="J77" s="89"/>
      <c r="K77" s="89"/>
      <c r="L77" s="90"/>
    </row>
    <row r="78" spans="2:12" ht="18" customHeight="1" x14ac:dyDescent="0.4">
      <c r="B78" s="137"/>
      <c r="C78" s="13" t="s">
        <v>77</v>
      </c>
      <c r="D78" s="17">
        <v>9.75</v>
      </c>
      <c r="E78" s="12">
        <v>15</v>
      </c>
      <c r="F78" s="8">
        <f t="shared" si="7"/>
        <v>0</v>
      </c>
      <c r="G78" s="8">
        <f t="shared" si="8"/>
        <v>0</v>
      </c>
      <c r="H78" s="91"/>
      <c r="I78" s="92"/>
      <c r="J78" s="92"/>
      <c r="K78" s="92"/>
      <c r="L78" s="93"/>
    </row>
    <row r="79" spans="2:12" ht="18" customHeight="1" x14ac:dyDescent="0.4">
      <c r="B79" s="137"/>
      <c r="C79" s="13" t="s">
        <v>13</v>
      </c>
      <c r="D79" s="17">
        <v>2.6</v>
      </c>
      <c r="E79" s="12">
        <v>4</v>
      </c>
      <c r="F79" s="8">
        <f t="shared" si="7"/>
        <v>0</v>
      </c>
      <c r="G79" s="8">
        <f t="shared" si="8"/>
        <v>0</v>
      </c>
      <c r="H79" s="91"/>
      <c r="I79" s="92"/>
      <c r="J79" s="92"/>
      <c r="K79" s="92"/>
      <c r="L79" s="93"/>
    </row>
    <row r="80" spans="2:12" ht="18" customHeight="1" x14ac:dyDescent="0.4">
      <c r="B80" s="137"/>
      <c r="C80" s="13" t="s">
        <v>15</v>
      </c>
      <c r="D80" s="17">
        <v>1.3</v>
      </c>
      <c r="E80" s="12">
        <v>2</v>
      </c>
      <c r="F80" s="8">
        <f t="shared" si="7"/>
        <v>0</v>
      </c>
      <c r="G80" s="8">
        <f t="shared" si="8"/>
        <v>0</v>
      </c>
      <c r="H80" s="91"/>
      <c r="I80" s="92"/>
      <c r="J80" s="92"/>
      <c r="K80" s="92"/>
      <c r="L80" s="93"/>
    </row>
    <row r="81" spans="2:12" ht="18" customHeight="1" x14ac:dyDescent="0.4">
      <c r="B81" s="137"/>
      <c r="C81" s="13" t="s">
        <v>9</v>
      </c>
      <c r="D81" s="17">
        <v>0.65</v>
      </c>
      <c r="E81" s="12">
        <v>1</v>
      </c>
      <c r="F81" s="8">
        <f t="shared" si="7"/>
        <v>0</v>
      </c>
      <c r="G81" s="8">
        <f t="shared" si="8"/>
        <v>0</v>
      </c>
      <c r="H81" s="91"/>
      <c r="I81" s="92"/>
      <c r="J81" s="92"/>
      <c r="K81" s="92"/>
      <c r="L81" s="93"/>
    </row>
    <row r="82" spans="2:12" ht="18" customHeight="1" x14ac:dyDescent="0.4">
      <c r="B82" s="137"/>
      <c r="C82" s="13" t="s">
        <v>8</v>
      </c>
      <c r="D82" s="17">
        <v>0.13</v>
      </c>
      <c r="E82" s="12">
        <v>0.2</v>
      </c>
      <c r="F82" s="8">
        <f t="shared" si="7"/>
        <v>0</v>
      </c>
      <c r="G82" s="8">
        <f t="shared" si="8"/>
        <v>0</v>
      </c>
      <c r="H82" s="91"/>
      <c r="I82" s="92"/>
      <c r="J82" s="92"/>
      <c r="K82" s="92"/>
      <c r="L82" s="93"/>
    </row>
    <row r="83" spans="2:12" ht="18" customHeight="1" x14ac:dyDescent="0.4">
      <c r="B83" s="137"/>
      <c r="C83" s="13" t="s">
        <v>19</v>
      </c>
      <c r="D83" s="17">
        <v>0.65</v>
      </c>
      <c r="E83" s="12">
        <v>1</v>
      </c>
      <c r="F83" s="8">
        <f t="shared" si="7"/>
        <v>0</v>
      </c>
      <c r="G83" s="8">
        <f t="shared" si="8"/>
        <v>0</v>
      </c>
      <c r="H83" s="91"/>
      <c r="I83" s="92"/>
      <c r="J83" s="92"/>
      <c r="K83" s="92"/>
      <c r="L83" s="93"/>
    </row>
    <row r="84" spans="2:12" ht="18" customHeight="1" x14ac:dyDescent="0.4">
      <c r="B84" s="125"/>
      <c r="C84" s="13" t="s">
        <v>61</v>
      </c>
      <c r="D84" s="17">
        <v>0.32500000000000001</v>
      </c>
      <c r="E84" s="12">
        <v>0.5</v>
      </c>
      <c r="F84" s="8">
        <f t="shared" si="7"/>
        <v>0</v>
      </c>
      <c r="G84" s="8">
        <f t="shared" si="8"/>
        <v>0</v>
      </c>
      <c r="H84" s="91"/>
      <c r="I84" s="92"/>
      <c r="J84" s="92"/>
      <c r="K84" s="92"/>
      <c r="L84" s="93"/>
    </row>
    <row r="85" spans="2:12" ht="18" customHeight="1" x14ac:dyDescent="0.4">
      <c r="B85" s="149" t="s">
        <v>113</v>
      </c>
      <c r="C85" s="13" t="s">
        <v>37</v>
      </c>
      <c r="D85" s="17">
        <f t="shared" ref="D85:D91" si="9">E85*0.65</f>
        <v>19.5</v>
      </c>
      <c r="E85" s="13">
        <v>30</v>
      </c>
      <c r="F85" s="8">
        <f t="shared" si="7"/>
        <v>0</v>
      </c>
      <c r="G85" s="8">
        <f t="shared" si="8"/>
        <v>0</v>
      </c>
      <c r="H85" s="62" t="s">
        <v>202</v>
      </c>
      <c r="I85" s="62"/>
      <c r="J85" s="62"/>
      <c r="K85" s="62"/>
      <c r="L85" s="63"/>
    </row>
    <row r="86" spans="2:12" ht="18" customHeight="1" x14ac:dyDescent="0.4">
      <c r="B86" s="149"/>
      <c r="C86" s="13" t="s">
        <v>76</v>
      </c>
      <c r="D86" s="17">
        <f t="shared" si="9"/>
        <v>0.65</v>
      </c>
      <c r="E86" s="13">
        <v>1</v>
      </c>
      <c r="F86" s="8">
        <f t="shared" si="7"/>
        <v>0</v>
      </c>
      <c r="G86" s="8">
        <f t="shared" si="8"/>
        <v>0</v>
      </c>
      <c r="H86" s="62"/>
      <c r="I86" s="62"/>
      <c r="J86" s="62"/>
      <c r="K86" s="62"/>
      <c r="L86" s="63"/>
    </row>
    <row r="87" spans="2:12" ht="18" customHeight="1" x14ac:dyDescent="0.4">
      <c r="B87" s="149"/>
      <c r="C87" s="13" t="s">
        <v>10</v>
      </c>
      <c r="D87" s="17">
        <f t="shared" si="9"/>
        <v>0.65</v>
      </c>
      <c r="E87" s="13">
        <v>1</v>
      </c>
      <c r="F87" s="8">
        <f t="shared" si="7"/>
        <v>0</v>
      </c>
      <c r="G87" s="8">
        <f t="shared" si="8"/>
        <v>0</v>
      </c>
      <c r="H87" s="62"/>
      <c r="I87" s="62"/>
      <c r="J87" s="62"/>
      <c r="K87" s="62"/>
      <c r="L87" s="63"/>
    </row>
    <row r="88" spans="2:12" ht="18" customHeight="1" x14ac:dyDescent="0.4">
      <c r="B88" s="149"/>
      <c r="C88" s="13" t="s">
        <v>19</v>
      </c>
      <c r="D88" s="17">
        <f t="shared" si="9"/>
        <v>0.65</v>
      </c>
      <c r="E88" s="13">
        <v>1</v>
      </c>
      <c r="F88" s="8">
        <f t="shared" si="7"/>
        <v>0</v>
      </c>
      <c r="G88" s="8">
        <f t="shared" si="8"/>
        <v>0</v>
      </c>
      <c r="H88" s="62"/>
      <c r="I88" s="62"/>
      <c r="J88" s="62"/>
      <c r="K88" s="62"/>
      <c r="L88" s="63"/>
    </row>
    <row r="89" spans="2:12" ht="18" customHeight="1" x14ac:dyDescent="0.4">
      <c r="B89" s="149"/>
      <c r="C89" s="13" t="s">
        <v>61</v>
      </c>
      <c r="D89" s="17">
        <f t="shared" si="9"/>
        <v>0.32500000000000001</v>
      </c>
      <c r="E89" s="13">
        <v>0.5</v>
      </c>
      <c r="F89" s="8">
        <f t="shared" si="7"/>
        <v>0</v>
      </c>
      <c r="G89" s="8">
        <f t="shared" si="8"/>
        <v>0</v>
      </c>
      <c r="H89" s="62"/>
      <c r="I89" s="62"/>
      <c r="J89" s="62"/>
      <c r="K89" s="62"/>
      <c r="L89" s="63"/>
    </row>
    <row r="90" spans="2:12" ht="18" customHeight="1" x14ac:dyDescent="0.4">
      <c r="B90" s="149"/>
      <c r="C90" s="13" t="s">
        <v>8</v>
      </c>
      <c r="D90" s="17">
        <f t="shared" si="9"/>
        <v>0.13</v>
      </c>
      <c r="E90" s="13">
        <v>0.2</v>
      </c>
      <c r="F90" s="8">
        <f t="shared" si="7"/>
        <v>0</v>
      </c>
      <c r="G90" s="8">
        <f t="shared" si="8"/>
        <v>0</v>
      </c>
      <c r="H90" s="62"/>
      <c r="I90" s="62"/>
      <c r="J90" s="62"/>
      <c r="K90" s="62"/>
      <c r="L90" s="63"/>
    </row>
    <row r="91" spans="2:12" ht="18" customHeight="1" thickBot="1" x14ac:dyDescent="0.45">
      <c r="B91" s="133" t="s">
        <v>66</v>
      </c>
      <c r="C91" s="34" t="s">
        <v>67</v>
      </c>
      <c r="D91" s="37">
        <f t="shared" si="9"/>
        <v>13</v>
      </c>
      <c r="E91" s="21">
        <v>20</v>
      </c>
      <c r="F91" s="22">
        <f t="shared" si="7"/>
        <v>0</v>
      </c>
      <c r="G91" s="22">
        <f t="shared" si="8"/>
        <v>0</v>
      </c>
      <c r="H91" s="73" t="s">
        <v>54</v>
      </c>
      <c r="I91" s="74"/>
      <c r="J91" s="74"/>
      <c r="K91" s="74"/>
      <c r="L91" s="75"/>
    </row>
    <row r="92" spans="2:12" ht="80.099999999999994" customHeight="1" thickTop="1" x14ac:dyDescent="0.4">
      <c r="B92" s="150"/>
      <c r="C92" s="150"/>
      <c r="D92" s="150"/>
      <c r="E92" s="150"/>
      <c r="F92" s="150"/>
      <c r="G92" s="150"/>
      <c r="H92" s="150"/>
      <c r="I92" s="150"/>
      <c r="J92" s="150"/>
      <c r="K92" s="150"/>
      <c r="L92" s="150"/>
    </row>
    <row r="93" spans="2:12" ht="18" customHeight="1" thickBot="1" x14ac:dyDescent="0.45"/>
    <row r="94" spans="2:12" ht="21" customHeight="1" thickTop="1" x14ac:dyDescent="0.4">
      <c r="B94" s="145" t="s">
        <v>104</v>
      </c>
      <c r="C94" s="146"/>
      <c r="D94" s="146"/>
      <c r="E94" s="146"/>
      <c r="F94" s="146"/>
      <c r="G94" s="146"/>
      <c r="H94" s="146"/>
      <c r="I94" s="146"/>
      <c r="J94" s="146"/>
      <c r="K94" s="146"/>
      <c r="L94" s="147"/>
    </row>
    <row r="95" spans="2:12" ht="18" customHeight="1" x14ac:dyDescent="0.4">
      <c r="B95" s="96" t="s">
        <v>3</v>
      </c>
      <c r="C95" s="94" t="s">
        <v>4</v>
      </c>
      <c r="D95" s="94" t="s">
        <v>5</v>
      </c>
      <c r="E95" s="94"/>
      <c r="F95" s="94" t="s">
        <v>6</v>
      </c>
      <c r="G95" s="94"/>
      <c r="H95" s="94" t="s">
        <v>7</v>
      </c>
      <c r="I95" s="94"/>
      <c r="J95" s="94"/>
      <c r="K95" s="94"/>
      <c r="L95" s="95"/>
    </row>
    <row r="96" spans="2:12" ht="18" customHeight="1" x14ac:dyDescent="0.4">
      <c r="B96" s="96"/>
      <c r="C96" s="94"/>
      <c r="D96" s="5" t="s">
        <v>1</v>
      </c>
      <c r="E96" s="5" t="s">
        <v>2</v>
      </c>
      <c r="F96" s="6" t="s">
        <v>1</v>
      </c>
      <c r="G96" s="7" t="s">
        <v>2</v>
      </c>
      <c r="H96" s="94"/>
      <c r="I96" s="94"/>
      <c r="J96" s="94"/>
      <c r="K96" s="94"/>
      <c r="L96" s="95"/>
    </row>
    <row r="97" spans="2:12" ht="18" customHeight="1" x14ac:dyDescent="0.4">
      <c r="B97" s="143" t="s">
        <v>57</v>
      </c>
      <c r="C97" s="13" t="s">
        <v>30</v>
      </c>
      <c r="D97" s="14">
        <f t="shared" ref="D97:D120" si="10">E97*0.65</f>
        <v>35.75</v>
      </c>
      <c r="E97" s="13">
        <v>55</v>
      </c>
      <c r="F97" s="8">
        <f t="shared" ref="F97:F120" si="11">D97*D$2</f>
        <v>0</v>
      </c>
      <c r="G97" s="8">
        <f t="shared" ref="G97:G120" si="12">E97*D$3</f>
        <v>0</v>
      </c>
      <c r="H97" s="62" t="s">
        <v>52</v>
      </c>
      <c r="I97" s="62"/>
      <c r="J97" s="62"/>
      <c r="K97" s="62"/>
      <c r="L97" s="63"/>
    </row>
    <row r="98" spans="2:12" ht="18" customHeight="1" x14ac:dyDescent="0.4">
      <c r="B98" s="126" t="s">
        <v>203</v>
      </c>
      <c r="C98" s="15" t="s">
        <v>107</v>
      </c>
      <c r="D98" s="8">
        <f t="shared" si="10"/>
        <v>13</v>
      </c>
      <c r="E98" s="13">
        <v>20</v>
      </c>
      <c r="F98" s="26">
        <f t="shared" si="11"/>
        <v>0</v>
      </c>
      <c r="G98" s="26">
        <f t="shared" si="12"/>
        <v>0</v>
      </c>
      <c r="H98" s="88" t="s">
        <v>204</v>
      </c>
      <c r="I98" s="89"/>
      <c r="J98" s="89"/>
      <c r="K98" s="89"/>
      <c r="L98" s="90"/>
    </row>
    <row r="99" spans="2:12" ht="18" customHeight="1" x14ac:dyDescent="0.4">
      <c r="B99" s="127"/>
      <c r="C99" s="15" t="s">
        <v>82</v>
      </c>
      <c r="D99" s="8">
        <f t="shared" si="10"/>
        <v>1.3</v>
      </c>
      <c r="E99" s="13">
        <v>2</v>
      </c>
      <c r="F99" s="26">
        <f t="shared" si="11"/>
        <v>0</v>
      </c>
      <c r="G99" s="26">
        <f t="shared" si="12"/>
        <v>0</v>
      </c>
      <c r="H99" s="91"/>
      <c r="I99" s="92"/>
      <c r="J99" s="92"/>
      <c r="K99" s="92"/>
      <c r="L99" s="93"/>
    </row>
    <row r="100" spans="2:12" ht="18" customHeight="1" x14ac:dyDescent="0.4">
      <c r="B100" s="127"/>
      <c r="C100" s="15" t="s">
        <v>22</v>
      </c>
      <c r="D100" s="8">
        <f t="shared" si="10"/>
        <v>1.3</v>
      </c>
      <c r="E100" s="13">
        <v>2</v>
      </c>
      <c r="F100" s="26">
        <f t="shared" si="11"/>
        <v>0</v>
      </c>
      <c r="G100" s="26">
        <f t="shared" si="12"/>
        <v>0</v>
      </c>
      <c r="H100" s="91"/>
      <c r="I100" s="92"/>
      <c r="J100" s="92"/>
      <c r="K100" s="92"/>
      <c r="L100" s="93"/>
    </row>
    <row r="101" spans="2:12" ht="18" customHeight="1" x14ac:dyDescent="0.4">
      <c r="B101" s="127"/>
      <c r="C101" s="15" t="s">
        <v>41</v>
      </c>
      <c r="D101" s="8">
        <f t="shared" si="10"/>
        <v>1.3</v>
      </c>
      <c r="E101" s="13">
        <v>2</v>
      </c>
      <c r="F101" s="26">
        <f t="shared" si="11"/>
        <v>0</v>
      </c>
      <c r="G101" s="26">
        <f t="shared" si="12"/>
        <v>0</v>
      </c>
      <c r="H101" s="91"/>
      <c r="I101" s="92"/>
      <c r="J101" s="92"/>
      <c r="K101" s="92"/>
      <c r="L101" s="93"/>
    </row>
    <row r="102" spans="2:12" ht="18" customHeight="1" x14ac:dyDescent="0.4">
      <c r="B102" s="127"/>
      <c r="C102" s="15" t="s">
        <v>17</v>
      </c>
      <c r="D102" s="8">
        <f t="shared" si="10"/>
        <v>6.5</v>
      </c>
      <c r="E102" s="13">
        <v>10</v>
      </c>
      <c r="F102" s="26">
        <f t="shared" si="11"/>
        <v>0</v>
      </c>
      <c r="G102" s="26">
        <f t="shared" si="12"/>
        <v>0</v>
      </c>
      <c r="H102" s="91"/>
      <c r="I102" s="92"/>
      <c r="J102" s="92"/>
      <c r="K102" s="92"/>
      <c r="L102" s="93"/>
    </row>
    <row r="103" spans="2:12" ht="18" customHeight="1" x14ac:dyDescent="0.4">
      <c r="B103" s="127"/>
      <c r="C103" s="15" t="s">
        <v>19</v>
      </c>
      <c r="D103" s="18">
        <f t="shared" si="10"/>
        <v>3.25</v>
      </c>
      <c r="E103" s="13">
        <v>5</v>
      </c>
      <c r="F103" s="26">
        <f t="shared" si="11"/>
        <v>0</v>
      </c>
      <c r="G103" s="26">
        <f t="shared" si="12"/>
        <v>0</v>
      </c>
      <c r="H103" s="91"/>
      <c r="I103" s="92"/>
      <c r="J103" s="92"/>
      <c r="K103" s="92"/>
      <c r="L103" s="93"/>
    </row>
    <row r="104" spans="2:12" ht="18" customHeight="1" x14ac:dyDescent="0.4">
      <c r="B104" s="127"/>
      <c r="C104" s="15" t="s">
        <v>9</v>
      </c>
      <c r="D104" s="18">
        <f t="shared" si="10"/>
        <v>0.32500000000000001</v>
      </c>
      <c r="E104" s="13">
        <v>0.5</v>
      </c>
      <c r="F104" s="26">
        <f t="shared" si="11"/>
        <v>0</v>
      </c>
      <c r="G104" s="26">
        <f t="shared" si="12"/>
        <v>0</v>
      </c>
      <c r="H104" s="91"/>
      <c r="I104" s="92"/>
      <c r="J104" s="92"/>
      <c r="K104" s="92"/>
      <c r="L104" s="93"/>
    </row>
    <row r="105" spans="2:12" ht="18" customHeight="1" x14ac:dyDescent="0.4">
      <c r="B105" s="127"/>
      <c r="C105" s="15" t="s">
        <v>13</v>
      </c>
      <c r="D105" s="18">
        <f t="shared" si="10"/>
        <v>0.65</v>
      </c>
      <c r="E105" s="13">
        <v>1</v>
      </c>
      <c r="F105" s="26">
        <f t="shared" si="11"/>
        <v>0</v>
      </c>
      <c r="G105" s="26">
        <f t="shared" si="12"/>
        <v>0</v>
      </c>
      <c r="H105" s="91"/>
      <c r="I105" s="92"/>
      <c r="J105" s="92"/>
      <c r="K105" s="92"/>
      <c r="L105" s="93"/>
    </row>
    <row r="106" spans="2:12" ht="18" customHeight="1" x14ac:dyDescent="0.4">
      <c r="B106" s="128" t="s">
        <v>205</v>
      </c>
      <c r="C106" s="13" t="s">
        <v>42</v>
      </c>
      <c r="D106" s="9">
        <f t="shared" si="10"/>
        <v>26</v>
      </c>
      <c r="E106" s="12">
        <v>40</v>
      </c>
      <c r="F106" s="8">
        <f t="shared" si="11"/>
        <v>0</v>
      </c>
      <c r="G106" s="8">
        <f t="shared" si="12"/>
        <v>0</v>
      </c>
      <c r="H106" s="88" t="s">
        <v>206</v>
      </c>
      <c r="I106" s="89"/>
      <c r="J106" s="89"/>
      <c r="K106" s="89"/>
      <c r="L106" s="90"/>
    </row>
    <row r="107" spans="2:12" ht="18" customHeight="1" x14ac:dyDescent="0.4">
      <c r="B107" s="129"/>
      <c r="C107" s="13" t="s">
        <v>72</v>
      </c>
      <c r="D107" s="17">
        <f t="shared" si="10"/>
        <v>6.5</v>
      </c>
      <c r="E107" s="12">
        <v>10</v>
      </c>
      <c r="F107" s="8">
        <f t="shared" si="11"/>
        <v>0</v>
      </c>
      <c r="G107" s="8">
        <f t="shared" si="12"/>
        <v>0</v>
      </c>
      <c r="H107" s="91"/>
      <c r="I107" s="92"/>
      <c r="J107" s="92"/>
      <c r="K107" s="92"/>
      <c r="L107" s="93"/>
    </row>
    <row r="108" spans="2:12" ht="18" customHeight="1" x14ac:dyDescent="0.4">
      <c r="B108" s="129"/>
      <c r="C108" s="13" t="s">
        <v>13</v>
      </c>
      <c r="D108" s="17">
        <f t="shared" si="10"/>
        <v>3.25</v>
      </c>
      <c r="E108" s="12">
        <v>5</v>
      </c>
      <c r="F108" s="8">
        <f t="shared" si="11"/>
        <v>0</v>
      </c>
      <c r="G108" s="8">
        <f t="shared" si="12"/>
        <v>0</v>
      </c>
      <c r="H108" s="91"/>
      <c r="I108" s="92"/>
      <c r="J108" s="92"/>
      <c r="K108" s="92"/>
      <c r="L108" s="93"/>
    </row>
    <row r="109" spans="2:12" ht="18" customHeight="1" x14ac:dyDescent="0.4">
      <c r="B109" s="129"/>
      <c r="C109" s="13" t="s">
        <v>15</v>
      </c>
      <c r="D109" s="9">
        <f t="shared" si="10"/>
        <v>1.9500000000000002</v>
      </c>
      <c r="E109" s="12">
        <v>3</v>
      </c>
      <c r="F109" s="8">
        <f t="shared" si="11"/>
        <v>0</v>
      </c>
      <c r="G109" s="8">
        <f t="shared" si="12"/>
        <v>0</v>
      </c>
      <c r="H109" s="91"/>
      <c r="I109" s="92"/>
      <c r="J109" s="92"/>
      <c r="K109" s="92"/>
      <c r="L109" s="93"/>
    </row>
    <row r="110" spans="2:12" ht="18" customHeight="1" x14ac:dyDescent="0.4">
      <c r="B110" s="129"/>
      <c r="C110" s="13" t="s">
        <v>9</v>
      </c>
      <c r="D110" s="17">
        <f t="shared" si="10"/>
        <v>0.65</v>
      </c>
      <c r="E110" s="12">
        <v>1</v>
      </c>
      <c r="F110" s="8">
        <f t="shared" si="11"/>
        <v>0</v>
      </c>
      <c r="G110" s="8">
        <f t="shared" si="12"/>
        <v>0</v>
      </c>
      <c r="H110" s="91"/>
      <c r="I110" s="92"/>
      <c r="J110" s="92"/>
      <c r="K110" s="92"/>
      <c r="L110" s="93"/>
    </row>
    <row r="111" spans="2:12" ht="18" customHeight="1" x14ac:dyDescent="0.4">
      <c r="B111" s="129"/>
      <c r="C111" s="13" t="s">
        <v>61</v>
      </c>
      <c r="D111" s="17">
        <f t="shared" si="10"/>
        <v>0.32500000000000001</v>
      </c>
      <c r="E111" s="12">
        <v>0.5</v>
      </c>
      <c r="F111" s="8">
        <f t="shared" si="11"/>
        <v>0</v>
      </c>
      <c r="G111" s="8">
        <f t="shared" si="12"/>
        <v>0</v>
      </c>
      <c r="H111" s="91"/>
      <c r="I111" s="92"/>
      <c r="J111" s="92"/>
      <c r="K111" s="92"/>
      <c r="L111" s="93"/>
    </row>
    <row r="112" spans="2:12" ht="18" customHeight="1" x14ac:dyDescent="0.4">
      <c r="B112" s="129"/>
      <c r="C112" s="13" t="s">
        <v>19</v>
      </c>
      <c r="D112" s="17">
        <f t="shared" si="10"/>
        <v>1.3</v>
      </c>
      <c r="E112" s="12">
        <v>2</v>
      </c>
      <c r="F112" s="8">
        <f t="shared" si="11"/>
        <v>0</v>
      </c>
      <c r="G112" s="8">
        <f t="shared" si="12"/>
        <v>0</v>
      </c>
      <c r="H112" s="91"/>
      <c r="I112" s="92"/>
      <c r="J112" s="92"/>
      <c r="K112" s="92"/>
      <c r="L112" s="93"/>
    </row>
    <row r="113" spans="2:12" ht="18" customHeight="1" x14ac:dyDescent="0.4">
      <c r="B113" s="130" t="s">
        <v>207</v>
      </c>
      <c r="C113" s="13" t="s">
        <v>28</v>
      </c>
      <c r="D113" s="18">
        <f t="shared" si="10"/>
        <v>16.25</v>
      </c>
      <c r="E113" s="13">
        <v>25</v>
      </c>
      <c r="F113" s="8">
        <f t="shared" si="11"/>
        <v>0</v>
      </c>
      <c r="G113" s="8">
        <f t="shared" si="12"/>
        <v>0</v>
      </c>
      <c r="H113" s="82" t="s">
        <v>208</v>
      </c>
      <c r="I113" s="82"/>
      <c r="J113" s="82"/>
      <c r="K113" s="82"/>
      <c r="L113" s="83"/>
    </row>
    <row r="114" spans="2:12" ht="18" customHeight="1" x14ac:dyDescent="0.4">
      <c r="B114" s="131"/>
      <c r="C114" s="13" t="s">
        <v>16</v>
      </c>
      <c r="D114" s="18">
        <f t="shared" si="10"/>
        <v>6.5</v>
      </c>
      <c r="E114" s="13">
        <v>10</v>
      </c>
      <c r="F114" s="8">
        <f t="shared" si="11"/>
        <v>0</v>
      </c>
      <c r="G114" s="8">
        <f t="shared" si="12"/>
        <v>0</v>
      </c>
      <c r="H114" s="82"/>
      <c r="I114" s="82"/>
      <c r="J114" s="82"/>
      <c r="K114" s="82"/>
      <c r="L114" s="83"/>
    </row>
    <row r="115" spans="2:12" ht="18" customHeight="1" x14ac:dyDescent="0.4">
      <c r="B115" s="131"/>
      <c r="C115" s="13" t="s">
        <v>17</v>
      </c>
      <c r="D115" s="18">
        <f t="shared" si="10"/>
        <v>3.25</v>
      </c>
      <c r="E115" s="13">
        <v>5</v>
      </c>
      <c r="F115" s="8">
        <f t="shared" si="11"/>
        <v>0</v>
      </c>
      <c r="G115" s="8">
        <f t="shared" si="12"/>
        <v>0</v>
      </c>
      <c r="H115" s="82"/>
      <c r="I115" s="82"/>
      <c r="J115" s="82"/>
      <c r="K115" s="82"/>
      <c r="L115" s="83"/>
    </row>
    <row r="116" spans="2:12" ht="18" customHeight="1" x14ac:dyDescent="0.4">
      <c r="B116" s="131"/>
      <c r="C116" s="13" t="s">
        <v>40</v>
      </c>
      <c r="D116" s="18">
        <f t="shared" si="10"/>
        <v>0.32500000000000001</v>
      </c>
      <c r="E116" s="13">
        <v>0.5</v>
      </c>
      <c r="F116" s="8">
        <f t="shared" si="11"/>
        <v>0</v>
      </c>
      <c r="G116" s="8">
        <f t="shared" si="12"/>
        <v>0</v>
      </c>
      <c r="H116" s="82"/>
      <c r="I116" s="82"/>
      <c r="J116" s="82"/>
      <c r="K116" s="82"/>
      <c r="L116" s="83"/>
    </row>
    <row r="117" spans="2:12" ht="18" customHeight="1" x14ac:dyDescent="0.4">
      <c r="B117" s="131"/>
      <c r="C117" s="13" t="s">
        <v>10</v>
      </c>
      <c r="D117" s="18">
        <f t="shared" si="10"/>
        <v>0.32500000000000001</v>
      </c>
      <c r="E117" s="13">
        <v>0.5</v>
      </c>
      <c r="F117" s="8">
        <f t="shared" si="11"/>
        <v>0</v>
      </c>
      <c r="G117" s="8">
        <f t="shared" si="12"/>
        <v>0</v>
      </c>
      <c r="H117" s="82"/>
      <c r="I117" s="82"/>
      <c r="J117" s="82"/>
      <c r="K117" s="82"/>
      <c r="L117" s="83"/>
    </row>
    <row r="118" spans="2:12" ht="18" customHeight="1" x14ac:dyDescent="0.4">
      <c r="B118" s="131"/>
      <c r="C118" s="13" t="s">
        <v>8</v>
      </c>
      <c r="D118" s="18">
        <f t="shared" si="10"/>
        <v>0.32500000000000001</v>
      </c>
      <c r="E118" s="13">
        <v>0.5</v>
      </c>
      <c r="F118" s="8">
        <f t="shared" si="11"/>
        <v>0</v>
      </c>
      <c r="G118" s="8">
        <f t="shared" si="12"/>
        <v>0</v>
      </c>
      <c r="H118" s="82"/>
      <c r="I118" s="82"/>
      <c r="J118" s="82"/>
      <c r="K118" s="82"/>
      <c r="L118" s="83"/>
    </row>
    <row r="119" spans="2:12" ht="18" customHeight="1" x14ac:dyDescent="0.4">
      <c r="B119" s="132"/>
      <c r="C119" s="13" t="s">
        <v>14</v>
      </c>
      <c r="D119" s="18">
        <f t="shared" si="10"/>
        <v>0.65</v>
      </c>
      <c r="E119" s="13">
        <v>1</v>
      </c>
      <c r="F119" s="8">
        <f t="shared" si="11"/>
        <v>0</v>
      </c>
      <c r="G119" s="8">
        <f t="shared" si="12"/>
        <v>0</v>
      </c>
      <c r="H119" s="82"/>
      <c r="I119" s="82"/>
      <c r="J119" s="82"/>
      <c r="K119" s="82"/>
      <c r="L119" s="83"/>
    </row>
    <row r="120" spans="2:12" ht="18" customHeight="1" thickBot="1" x14ac:dyDescent="0.45">
      <c r="B120" s="133" t="s">
        <v>66</v>
      </c>
      <c r="C120" s="34" t="s">
        <v>67</v>
      </c>
      <c r="D120" s="37">
        <f t="shared" si="10"/>
        <v>13</v>
      </c>
      <c r="E120" s="21">
        <v>20</v>
      </c>
      <c r="F120" s="22">
        <f t="shared" si="11"/>
        <v>0</v>
      </c>
      <c r="G120" s="22">
        <f t="shared" si="12"/>
        <v>0</v>
      </c>
      <c r="H120" s="73" t="s">
        <v>54</v>
      </c>
      <c r="I120" s="74"/>
      <c r="J120" s="74"/>
      <c r="K120" s="74"/>
      <c r="L120" s="75"/>
    </row>
    <row r="121" spans="2:12" ht="80.099999999999994" customHeight="1" thickTop="1" x14ac:dyDescent="0.4"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</row>
    <row r="122" spans="2:12" ht="18" customHeight="1" thickBot="1" x14ac:dyDescent="0.45"/>
    <row r="123" spans="2:12" ht="21" customHeight="1" thickTop="1" x14ac:dyDescent="0.4">
      <c r="B123" s="145" t="s">
        <v>108</v>
      </c>
      <c r="C123" s="146"/>
      <c r="D123" s="146"/>
      <c r="E123" s="146"/>
      <c r="F123" s="146"/>
      <c r="G123" s="146"/>
      <c r="H123" s="146"/>
      <c r="I123" s="146"/>
      <c r="J123" s="146"/>
      <c r="K123" s="146"/>
      <c r="L123" s="147"/>
    </row>
    <row r="124" spans="2:12" ht="18" customHeight="1" x14ac:dyDescent="0.4">
      <c r="B124" s="96" t="s">
        <v>3</v>
      </c>
      <c r="C124" s="94" t="s">
        <v>4</v>
      </c>
      <c r="D124" s="94" t="s">
        <v>5</v>
      </c>
      <c r="E124" s="94"/>
      <c r="F124" s="94" t="s">
        <v>6</v>
      </c>
      <c r="G124" s="94"/>
      <c r="H124" s="94" t="s">
        <v>7</v>
      </c>
      <c r="I124" s="94"/>
      <c r="J124" s="94"/>
      <c r="K124" s="94"/>
      <c r="L124" s="95"/>
    </row>
    <row r="125" spans="2:12" ht="18" customHeight="1" x14ac:dyDescent="0.4">
      <c r="B125" s="96"/>
      <c r="C125" s="94"/>
      <c r="D125" s="5" t="s">
        <v>1</v>
      </c>
      <c r="E125" s="5" t="s">
        <v>2</v>
      </c>
      <c r="F125" s="6" t="s">
        <v>1</v>
      </c>
      <c r="G125" s="7" t="s">
        <v>2</v>
      </c>
      <c r="H125" s="94"/>
      <c r="I125" s="94"/>
      <c r="J125" s="94"/>
      <c r="K125" s="94"/>
      <c r="L125" s="95"/>
    </row>
    <row r="126" spans="2:12" ht="18" customHeight="1" x14ac:dyDescent="0.4">
      <c r="B126" s="140" t="s">
        <v>98</v>
      </c>
      <c r="C126" s="13" t="s">
        <v>30</v>
      </c>
      <c r="D126" s="14">
        <f t="shared" ref="D126:D148" si="13">E126*0.65</f>
        <v>32.5</v>
      </c>
      <c r="E126" s="13">
        <v>50</v>
      </c>
      <c r="F126" s="8">
        <f t="shared" ref="F126:F148" si="14">D126*D$2</f>
        <v>0</v>
      </c>
      <c r="G126" s="8">
        <f t="shared" ref="G126:G148" si="15">E126*D$3</f>
        <v>0</v>
      </c>
      <c r="H126" s="62" t="s">
        <v>99</v>
      </c>
      <c r="I126" s="62"/>
      <c r="J126" s="62"/>
      <c r="K126" s="62"/>
      <c r="L126" s="63"/>
    </row>
    <row r="127" spans="2:12" ht="18" customHeight="1" x14ac:dyDescent="0.4">
      <c r="B127" s="140"/>
      <c r="C127" s="13" t="s">
        <v>100</v>
      </c>
      <c r="D127" s="14">
        <f t="shared" si="13"/>
        <v>1.625</v>
      </c>
      <c r="E127" s="13">
        <v>2.5</v>
      </c>
      <c r="F127" s="8">
        <f t="shared" si="14"/>
        <v>0</v>
      </c>
      <c r="G127" s="8">
        <f t="shared" si="15"/>
        <v>0</v>
      </c>
      <c r="H127" s="62"/>
      <c r="I127" s="62"/>
      <c r="J127" s="62"/>
      <c r="K127" s="62"/>
      <c r="L127" s="63"/>
    </row>
    <row r="128" spans="2:12" ht="18" customHeight="1" x14ac:dyDescent="0.4">
      <c r="B128" s="126" t="s">
        <v>131</v>
      </c>
      <c r="C128" s="15" t="s">
        <v>132</v>
      </c>
      <c r="D128" s="17">
        <f t="shared" si="13"/>
        <v>19.5</v>
      </c>
      <c r="E128" s="13">
        <v>30</v>
      </c>
      <c r="F128" s="8">
        <f t="shared" si="14"/>
        <v>0</v>
      </c>
      <c r="G128" s="8">
        <f t="shared" si="15"/>
        <v>0</v>
      </c>
      <c r="H128" s="105" t="s">
        <v>209</v>
      </c>
      <c r="I128" s="106"/>
      <c r="J128" s="106"/>
      <c r="K128" s="106"/>
      <c r="L128" s="107"/>
    </row>
    <row r="129" spans="2:12" ht="18" customHeight="1" x14ac:dyDescent="0.4">
      <c r="B129" s="127"/>
      <c r="C129" s="15" t="s">
        <v>210</v>
      </c>
      <c r="D129" s="17">
        <f t="shared" si="13"/>
        <v>6.5</v>
      </c>
      <c r="E129" s="13">
        <v>10</v>
      </c>
      <c r="F129" s="8">
        <f t="shared" si="14"/>
        <v>0</v>
      </c>
      <c r="G129" s="8">
        <f t="shared" si="15"/>
        <v>0</v>
      </c>
      <c r="H129" s="108"/>
      <c r="I129" s="109"/>
      <c r="J129" s="109"/>
      <c r="K129" s="109"/>
      <c r="L129" s="110"/>
    </row>
    <row r="130" spans="2:12" ht="18" customHeight="1" x14ac:dyDescent="0.4">
      <c r="B130" s="127"/>
      <c r="C130" s="15" t="s">
        <v>39</v>
      </c>
      <c r="D130" s="17">
        <f t="shared" si="13"/>
        <v>6.5</v>
      </c>
      <c r="E130" s="13">
        <v>10</v>
      </c>
      <c r="F130" s="8">
        <f t="shared" si="14"/>
        <v>0</v>
      </c>
      <c r="G130" s="8">
        <f t="shared" si="15"/>
        <v>0</v>
      </c>
      <c r="H130" s="108"/>
      <c r="I130" s="109"/>
      <c r="J130" s="109"/>
      <c r="K130" s="109"/>
      <c r="L130" s="110"/>
    </row>
    <row r="131" spans="2:12" ht="18" customHeight="1" x14ac:dyDescent="0.4">
      <c r="B131" s="127"/>
      <c r="C131" s="15" t="s">
        <v>77</v>
      </c>
      <c r="D131" s="17">
        <f t="shared" si="13"/>
        <v>3.25</v>
      </c>
      <c r="E131" s="13">
        <v>5</v>
      </c>
      <c r="F131" s="8">
        <f t="shared" si="14"/>
        <v>0</v>
      </c>
      <c r="G131" s="8">
        <f t="shared" si="15"/>
        <v>0</v>
      </c>
      <c r="H131" s="108"/>
      <c r="I131" s="109"/>
      <c r="J131" s="109"/>
      <c r="K131" s="109"/>
      <c r="L131" s="110"/>
    </row>
    <row r="132" spans="2:12" ht="18" customHeight="1" x14ac:dyDescent="0.4">
      <c r="B132" s="127"/>
      <c r="C132" s="15" t="s">
        <v>19</v>
      </c>
      <c r="D132" s="9">
        <f t="shared" si="13"/>
        <v>1.9500000000000002</v>
      </c>
      <c r="E132" s="13">
        <v>3</v>
      </c>
      <c r="F132" s="8">
        <f t="shared" si="14"/>
        <v>0</v>
      </c>
      <c r="G132" s="8">
        <f t="shared" si="15"/>
        <v>0</v>
      </c>
      <c r="H132" s="108"/>
      <c r="I132" s="109"/>
      <c r="J132" s="109"/>
      <c r="K132" s="109"/>
      <c r="L132" s="110"/>
    </row>
    <row r="133" spans="2:12" ht="18" customHeight="1" x14ac:dyDescent="0.4">
      <c r="B133" s="127"/>
      <c r="C133" s="15" t="s">
        <v>11</v>
      </c>
      <c r="D133" s="17">
        <f t="shared" si="13"/>
        <v>1.3</v>
      </c>
      <c r="E133" s="13">
        <v>2</v>
      </c>
      <c r="F133" s="8">
        <f t="shared" si="14"/>
        <v>0</v>
      </c>
      <c r="G133" s="8">
        <f t="shared" si="15"/>
        <v>0</v>
      </c>
      <c r="H133" s="108"/>
      <c r="I133" s="109"/>
      <c r="J133" s="109"/>
      <c r="K133" s="109"/>
      <c r="L133" s="110"/>
    </row>
    <row r="134" spans="2:12" ht="18" customHeight="1" x14ac:dyDescent="0.4">
      <c r="B134" s="127"/>
      <c r="C134" s="15" t="s">
        <v>9</v>
      </c>
      <c r="D134" s="17">
        <f t="shared" si="13"/>
        <v>0.13</v>
      </c>
      <c r="E134" s="13">
        <v>0.2</v>
      </c>
      <c r="F134" s="8">
        <f t="shared" si="14"/>
        <v>0</v>
      </c>
      <c r="G134" s="8">
        <f t="shared" si="15"/>
        <v>0</v>
      </c>
      <c r="H134" s="108"/>
      <c r="I134" s="109"/>
      <c r="J134" s="109"/>
      <c r="K134" s="109"/>
      <c r="L134" s="110"/>
    </row>
    <row r="135" spans="2:12" ht="18" customHeight="1" x14ac:dyDescent="0.4">
      <c r="B135" s="151"/>
      <c r="C135" s="15" t="s">
        <v>13</v>
      </c>
      <c r="D135" s="17">
        <f t="shared" si="13"/>
        <v>1.3</v>
      </c>
      <c r="E135" s="13">
        <v>2</v>
      </c>
      <c r="F135" s="8">
        <f t="shared" si="14"/>
        <v>0</v>
      </c>
      <c r="G135" s="8">
        <f t="shared" si="15"/>
        <v>0</v>
      </c>
      <c r="H135" s="111"/>
      <c r="I135" s="112"/>
      <c r="J135" s="112"/>
      <c r="K135" s="112"/>
      <c r="L135" s="113"/>
    </row>
    <row r="136" spans="2:12" ht="18" customHeight="1" x14ac:dyDescent="0.4">
      <c r="B136" s="152" t="s">
        <v>133</v>
      </c>
      <c r="C136" s="13" t="s">
        <v>138</v>
      </c>
      <c r="D136" s="9">
        <f t="shared" si="13"/>
        <v>26</v>
      </c>
      <c r="E136" s="13">
        <v>40</v>
      </c>
      <c r="F136" s="8">
        <f t="shared" si="14"/>
        <v>0</v>
      </c>
      <c r="G136" s="8">
        <f t="shared" si="15"/>
        <v>0</v>
      </c>
      <c r="H136" s="62" t="s">
        <v>134</v>
      </c>
      <c r="I136" s="62"/>
      <c r="J136" s="62"/>
      <c r="K136" s="62"/>
      <c r="L136" s="63"/>
    </row>
    <row r="137" spans="2:12" ht="18" customHeight="1" x14ac:dyDescent="0.4">
      <c r="B137" s="153"/>
      <c r="C137" s="13" t="s">
        <v>10</v>
      </c>
      <c r="D137" s="17">
        <f t="shared" si="13"/>
        <v>0.65</v>
      </c>
      <c r="E137" s="13">
        <v>1</v>
      </c>
      <c r="F137" s="8">
        <f t="shared" si="14"/>
        <v>0</v>
      </c>
      <c r="G137" s="8">
        <f t="shared" si="15"/>
        <v>0</v>
      </c>
      <c r="H137" s="62"/>
      <c r="I137" s="62"/>
      <c r="J137" s="62"/>
      <c r="K137" s="62"/>
      <c r="L137" s="63"/>
    </row>
    <row r="138" spans="2:12" ht="18" customHeight="1" x14ac:dyDescent="0.4">
      <c r="B138" s="153"/>
      <c r="C138" s="13" t="s">
        <v>14</v>
      </c>
      <c r="D138" s="9">
        <f t="shared" si="13"/>
        <v>1.9500000000000002</v>
      </c>
      <c r="E138" s="13">
        <v>3</v>
      </c>
      <c r="F138" s="8">
        <f t="shared" si="14"/>
        <v>0</v>
      </c>
      <c r="G138" s="8">
        <f t="shared" si="15"/>
        <v>0</v>
      </c>
      <c r="H138" s="62"/>
      <c r="I138" s="62"/>
      <c r="J138" s="62"/>
      <c r="K138" s="62"/>
      <c r="L138" s="63"/>
    </row>
    <row r="139" spans="2:12" ht="18" customHeight="1" x14ac:dyDescent="0.4">
      <c r="B139" s="153"/>
      <c r="C139" s="13" t="s">
        <v>13</v>
      </c>
      <c r="D139" s="9">
        <f t="shared" si="13"/>
        <v>1.9500000000000002</v>
      </c>
      <c r="E139" s="13">
        <v>3</v>
      </c>
      <c r="F139" s="8">
        <f t="shared" si="14"/>
        <v>0</v>
      </c>
      <c r="G139" s="8">
        <f t="shared" si="15"/>
        <v>0</v>
      </c>
      <c r="H139" s="62"/>
      <c r="I139" s="62"/>
      <c r="J139" s="62"/>
      <c r="K139" s="62"/>
      <c r="L139" s="63"/>
    </row>
    <row r="140" spans="2:12" ht="18" customHeight="1" x14ac:dyDescent="0.4">
      <c r="B140" s="153"/>
      <c r="C140" s="13" t="s">
        <v>9</v>
      </c>
      <c r="D140" s="17">
        <f t="shared" si="13"/>
        <v>0.65</v>
      </c>
      <c r="E140" s="13">
        <v>1</v>
      </c>
      <c r="F140" s="8">
        <f t="shared" si="14"/>
        <v>0</v>
      </c>
      <c r="G140" s="8">
        <f t="shared" si="15"/>
        <v>0</v>
      </c>
      <c r="H140" s="62"/>
      <c r="I140" s="62"/>
      <c r="J140" s="62"/>
      <c r="K140" s="62"/>
      <c r="L140" s="63"/>
    </row>
    <row r="141" spans="2:12" ht="18" customHeight="1" x14ac:dyDescent="0.4">
      <c r="B141" s="154"/>
      <c r="C141" s="13" t="s">
        <v>8</v>
      </c>
      <c r="D141" s="17">
        <f t="shared" si="13"/>
        <v>0.13</v>
      </c>
      <c r="E141" s="13">
        <v>0.2</v>
      </c>
      <c r="F141" s="8">
        <f t="shared" si="14"/>
        <v>0</v>
      </c>
      <c r="G141" s="8">
        <f t="shared" si="15"/>
        <v>0</v>
      </c>
      <c r="H141" s="62"/>
      <c r="I141" s="62"/>
      <c r="J141" s="62"/>
      <c r="K141" s="62"/>
      <c r="L141" s="63"/>
    </row>
    <row r="142" spans="2:12" ht="18" customHeight="1" x14ac:dyDescent="0.4">
      <c r="B142" s="130" t="s">
        <v>63</v>
      </c>
      <c r="C142" s="13" t="s">
        <v>44</v>
      </c>
      <c r="D142" s="14">
        <f t="shared" si="13"/>
        <v>19.5</v>
      </c>
      <c r="E142" s="13">
        <v>30</v>
      </c>
      <c r="F142" s="8">
        <f t="shared" si="14"/>
        <v>0</v>
      </c>
      <c r="G142" s="8">
        <f t="shared" si="15"/>
        <v>0</v>
      </c>
      <c r="H142" s="82" t="s">
        <v>211</v>
      </c>
      <c r="I142" s="82"/>
      <c r="J142" s="82"/>
      <c r="K142" s="82"/>
      <c r="L142" s="83"/>
    </row>
    <row r="143" spans="2:12" ht="18" customHeight="1" x14ac:dyDescent="0.4">
      <c r="B143" s="131"/>
      <c r="C143" s="13" t="s">
        <v>61</v>
      </c>
      <c r="D143" s="14">
        <f t="shared" si="13"/>
        <v>0.32500000000000001</v>
      </c>
      <c r="E143" s="13">
        <v>0.5</v>
      </c>
      <c r="F143" s="8">
        <f t="shared" si="14"/>
        <v>0</v>
      </c>
      <c r="G143" s="8">
        <f t="shared" si="15"/>
        <v>0</v>
      </c>
      <c r="H143" s="82"/>
      <c r="I143" s="82"/>
      <c r="J143" s="82"/>
      <c r="K143" s="82"/>
      <c r="L143" s="83"/>
    </row>
    <row r="144" spans="2:12" ht="18" customHeight="1" x14ac:dyDescent="0.4">
      <c r="B144" s="131"/>
      <c r="C144" s="13" t="s">
        <v>10</v>
      </c>
      <c r="D144" s="14">
        <f t="shared" si="13"/>
        <v>0.65</v>
      </c>
      <c r="E144" s="13">
        <v>1</v>
      </c>
      <c r="F144" s="8">
        <f t="shared" si="14"/>
        <v>0</v>
      </c>
      <c r="G144" s="8">
        <f t="shared" si="15"/>
        <v>0</v>
      </c>
      <c r="H144" s="82"/>
      <c r="I144" s="82"/>
      <c r="J144" s="82"/>
      <c r="K144" s="82"/>
      <c r="L144" s="83"/>
    </row>
    <row r="145" spans="2:12" ht="18" customHeight="1" x14ac:dyDescent="0.4">
      <c r="B145" s="131"/>
      <c r="C145" s="13" t="s">
        <v>64</v>
      </c>
      <c r="D145" s="14">
        <f t="shared" si="13"/>
        <v>0.65</v>
      </c>
      <c r="E145" s="13">
        <v>1</v>
      </c>
      <c r="F145" s="8">
        <f t="shared" si="14"/>
        <v>0</v>
      </c>
      <c r="G145" s="8">
        <f t="shared" si="15"/>
        <v>0</v>
      </c>
      <c r="H145" s="82"/>
      <c r="I145" s="82"/>
      <c r="J145" s="82"/>
      <c r="K145" s="82"/>
      <c r="L145" s="83"/>
    </row>
    <row r="146" spans="2:12" ht="18" customHeight="1" x14ac:dyDescent="0.4">
      <c r="B146" s="131"/>
      <c r="C146" s="13" t="s">
        <v>65</v>
      </c>
      <c r="D146" s="14">
        <f t="shared" si="13"/>
        <v>0.13</v>
      </c>
      <c r="E146" s="13">
        <v>0.2</v>
      </c>
      <c r="F146" s="8">
        <f t="shared" si="14"/>
        <v>0</v>
      </c>
      <c r="G146" s="8">
        <f t="shared" si="15"/>
        <v>0</v>
      </c>
      <c r="H146" s="82"/>
      <c r="I146" s="82"/>
      <c r="J146" s="82"/>
      <c r="K146" s="82"/>
      <c r="L146" s="83"/>
    </row>
    <row r="147" spans="2:12" ht="18" customHeight="1" x14ac:dyDescent="0.4">
      <c r="B147" s="132"/>
      <c r="C147" s="13" t="s">
        <v>9</v>
      </c>
      <c r="D147" s="14">
        <f t="shared" si="13"/>
        <v>0.32500000000000001</v>
      </c>
      <c r="E147" s="13">
        <v>0.5</v>
      </c>
      <c r="F147" s="8">
        <f t="shared" si="14"/>
        <v>0</v>
      </c>
      <c r="G147" s="8">
        <f t="shared" si="15"/>
        <v>0</v>
      </c>
      <c r="H147" s="82"/>
      <c r="I147" s="82"/>
      <c r="J147" s="82"/>
      <c r="K147" s="82"/>
      <c r="L147" s="83"/>
    </row>
    <row r="148" spans="2:12" ht="18" customHeight="1" thickBot="1" x14ac:dyDescent="0.45">
      <c r="B148" s="133" t="s">
        <v>66</v>
      </c>
      <c r="C148" s="34" t="s">
        <v>67</v>
      </c>
      <c r="D148" s="37">
        <f t="shared" si="13"/>
        <v>13</v>
      </c>
      <c r="E148" s="21">
        <v>20</v>
      </c>
      <c r="F148" s="22">
        <f t="shared" si="14"/>
        <v>0</v>
      </c>
      <c r="G148" s="22">
        <f t="shared" si="15"/>
        <v>0</v>
      </c>
      <c r="H148" s="73" t="s">
        <v>54</v>
      </c>
      <c r="I148" s="74"/>
      <c r="J148" s="74"/>
      <c r="K148" s="74"/>
      <c r="L148" s="75"/>
    </row>
    <row r="149" spans="2:12" ht="80.099999999999994" customHeight="1" thickTop="1" x14ac:dyDescent="0.4"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</row>
    <row r="150" spans="2:12" ht="18" customHeight="1" x14ac:dyDescent="0.4"/>
  </sheetData>
  <mergeCells count="82">
    <mergeCell ref="H106:L112"/>
    <mergeCell ref="B113:B119"/>
    <mergeCell ref="H113:L119"/>
    <mergeCell ref="H120:L120"/>
    <mergeCell ref="B121:L121"/>
    <mergeCell ref="B123:L123"/>
    <mergeCell ref="B124:B125"/>
    <mergeCell ref="C124:C125"/>
    <mergeCell ref="D124:E124"/>
    <mergeCell ref="F124:G124"/>
    <mergeCell ref="H124:L125"/>
    <mergeCell ref="D67:E67"/>
    <mergeCell ref="F67:G67"/>
    <mergeCell ref="H67:L68"/>
    <mergeCell ref="B69:B70"/>
    <mergeCell ref="H69:L70"/>
    <mergeCell ref="B71:B76"/>
    <mergeCell ref="H71:L76"/>
    <mergeCell ref="B77:B84"/>
    <mergeCell ref="H77:L84"/>
    <mergeCell ref="B2:B3"/>
    <mergeCell ref="E2:L3"/>
    <mergeCell ref="B4:L6"/>
    <mergeCell ref="B7:L7"/>
    <mergeCell ref="D8:E8"/>
    <mergeCell ref="F8:G8"/>
    <mergeCell ref="H8:L9"/>
    <mergeCell ref="B10:B11"/>
    <mergeCell ref="H10:L11"/>
    <mergeCell ref="B12:B18"/>
    <mergeCell ref="H12:L18"/>
    <mergeCell ref="B19:B25"/>
    <mergeCell ref="H19:L25"/>
    <mergeCell ref="B26:B31"/>
    <mergeCell ref="H26:L31"/>
    <mergeCell ref="H32:L32"/>
    <mergeCell ref="B33:L33"/>
    <mergeCell ref="B35:L35"/>
    <mergeCell ref="B36:B37"/>
    <mergeCell ref="C36:C37"/>
    <mergeCell ref="D36:E36"/>
    <mergeCell ref="F36:G36"/>
    <mergeCell ref="B136:B141"/>
    <mergeCell ref="H136:L141"/>
    <mergeCell ref="B142:B147"/>
    <mergeCell ref="H142:L147"/>
    <mergeCell ref="H148:L148"/>
    <mergeCell ref="B149:L149"/>
    <mergeCell ref="B126:B127"/>
    <mergeCell ref="H126:L127"/>
    <mergeCell ref="B128:B135"/>
    <mergeCell ref="H128:L135"/>
    <mergeCell ref="B85:B90"/>
    <mergeCell ref="H85:L90"/>
    <mergeCell ref="H91:L91"/>
    <mergeCell ref="B92:L92"/>
    <mergeCell ref="B94:L94"/>
    <mergeCell ref="B95:B96"/>
    <mergeCell ref="C95:C96"/>
    <mergeCell ref="D95:E95"/>
    <mergeCell ref="F95:G95"/>
    <mergeCell ref="H95:L96"/>
    <mergeCell ref="H97:L97"/>
    <mergeCell ref="B98:B105"/>
    <mergeCell ref="H98:L105"/>
    <mergeCell ref="B106:B112"/>
    <mergeCell ref="B40:B46"/>
    <mergeCell ref="H40:L46"/>
    <mergeCell ref="B47:B55"/>
    <mergeCell ref="H47:L55"/>
    <mergeCell ref="B56:B62"/>
    <mergeCell ref="H56:L62"/>
    <mergeCell ref="H63:L63"/>
    <mergeCell ref="B64:L64"/>
    <mergeCell ref="B66:L66"/>
    <mergeCell ref="B67:B68"/>
    <mergeCell ref="C67:C68"/>
    <mergeCell ref="H36:L37"/>
    <mergeCell ref="B38:B39"/>
    <mergeCell ref="H38:L39"/>
    <mergeCell ref="B8:B9"/>
    <mergeCell ref="C8:C9"/>
  </mergeCells>
  <phoneticPr fontId="2" type="noConversion"/>
  <pageMargins left="0.25" right="0.25" top="0.75" bottom="0.75" header="0.3" footer="0.3"/>
  <rowBreaks count="5" manualBreakCount="5">
    <brk id="41" min="1" max="12" man="1"/>
    <brk id="83" min="1" max="12" man="1"/>
    <brk id="116" min="1" max="12" man="1"/>
    <brk id="152" min="1" max="12" man="1"/>
    <brk id="186" min="1" max="12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7FD85-4498-4A9E-9308-5473BA39C43E}">
  <sheetPr>
    <pageSetUpPr fitToPage="1"/>
  </sheetPr>
  <dimension ref="B1:L195"/>
  <sheetViews>
    <sheetView zoomScaleNormal="100" zoomScaleSheetLayoutView="70" workbookViewId="0">
      <selection activeCell="D10" sqref="D10"/>
    </sheetView>
  </sheetViews>
  <sheetFormatPr defaultColWidth="9" defaultRowHeight="14.4" x14ac:dyDescent="0.4"/>
  <cols>
    <col min="1" max="1" width="4.8984375" style="1" customWidth="1"/>
    <col min="2" max="2" width="18.59765625" style="1" customWidth="1"/>
    <col min="3" max="3" width="11.59765625" style="1" customWidth="1"/>
    <col min="4" max="12" width="9" style="1"/>
    <col min="13" max="13" width="4.8984375" style="1" customWidth="1"/>
    <col min="14" max="16384" width="9" style="1"/>
  </cols>
  <sheetData>
    <row r="1" spans="2:12" ht="15" thickBot="1" x14ac:dyDescent="0.45"/>
    <row r="2" spans="2:12" ht="18" customHeight="1" thickTop="1" thickBot="1" x14ac:dyDescent="0.45">
      <c r="B2" s="101" t="s">
        <v>0</v>
      </c>
      <c r="C2" s="3" t="s">
        <v>1</v>
      </c>
      <c r="D2" s="4"/>
      <c r="E2" s="103" t="s">
        <v>147</v>
      </c>
      <c r="F2" s="104"/>
      <c r="G2" s="104"/>
      <c r="H2" s="104"/>
      <c r="I2" s="104"/>
      <c r="J2" s="104"/>
      <c r="K2" s="104"/>
      <c r="L2" s="104"/>
    </row>
    <row r="3" spans="2:12" ht="18" customHeight="1" thickTop="1" thickBot="1" x14ac:dyDescent="0.45">
      <c r="B3" s="102"/>
      <c r="C3" s="3" t="s">
        <v>2</v>
      </c>
      <c r="D3" s="2"/>
      <c r="E3" s="103"/>
      <c r="F3" s="104"/>
      <c r="G3" s="104"/>
      <c r="H3" s="104"/>
      <c r="I3" s="104"/>
      <c r="J3" s="104"/>
      <c r="K3" s="104"/>
      <c r="L3" s="104"/>
    </row>
    <row r="4" spans="2:12" ht="34.5" customHeight="1" thickTop="1" x14ac:dyDescent="0.4">
      <c r="B4" s="119" t="s">
        <v>148</v>
      </c>
      <c r="C4" s="119"/>
      <c r="D4" s="119"/>
      <c r="E4" s="119"/>
      <c r="F4" s="119"/>
      <c r="G4" s="119"/>
      <c r="H4" s="119"/>
      <c r="I4" s="119"/>
      <c r="J4" s="119"/>
      <c r="K4" s="119"/>
      <c r="L4" s="119"/>
    </row>
    <row r="5" spans="2:12" ht="16.5" customHeight="1" x14ac:dyDescent="0.4"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19"/>
    </row>
    <row r="6" spans="2:12" ht="16.5" customHeight="1" thickBot="1" x14ac:dyDescent="0.45">
      <c r="B6" s="119"/>
      <c r="C6" s="119"/>
      <c r="D6" s="119"/>
      <c r="E6" s="119"/>
      <c r="F6" s="119"/>
      <c r="G6" s="119"/>
      <c r="H6" s="119"/>
      <c r="I6" s="119"/>
      <c r="J6" s="119"/>
      <c r="K6" s="119"/>
      <c r="L6" s="119"/>
    </row>
    <row r="7" spans="2:12" ht="21" customHeight="1" thickTop="1" x14ac:dyDescent="0.4">
      <c r="B7" s="120" t="s">
        <v>111</v>
      </c>
      <c r="C7" s="121"/>
      <c r="D7" s="121"/>
      <c r="E7" s="121"/>
      <c r="F7" s="121"/>
      <c r="G7" s="121"/>
      <c r="H7" s="121"/>
      <c r="I7" s="121"/>
      <c r="J7" s="121"/>
      <c r="K7" s="121"/>
      <c r="L7" s="122"/>
    </row>
    <row r="8" spans="2:12" ht="18" customHeight="1" x14ac:dyDescent="0.4">
      <c r="B8" s="76" t="s">
        <v>3</v>
      </c>
      <c r="C8" s="78" t="s">
        <v>4</v>
      </c>
      <c r="D8" s="80" t="s">
        <v>5</v>
      </c>
      <c r="E8" s="81"/>
      <c r="F8" s="80" t="s">
        <v>6</v>
      </c>
      <c r="G8" s="81"/>
      <c r="H8" s="47" t="s">
        <v>7</v>
      </c>
      <c r="I8" s="48"/>
      <c r="J8" s="48"/>
      <c r="K8" s="48"/>
      <c r="L8" s="49"/>
    </row>
    <row r="9" spans="2:12" ht="18" customHeight="1" x14ac:dyDescent="0.4">
      <c r="B9" s="77"/>
      <c r="C9" s="79"/>
      <c r="D9" s="5" t="s">
        <v>1</v>
      </c>
      <c r="E9" s="29" t="s">
        <v>2</v>
      </c>
      <c r="F9" s="32" t="s">
        <v>1</v>
      </c>
      <c r="G9" s="33" t="s">
        <v>2</v>
      </c>
      <c r="H9" s="50"/>
      <c r="I9" s="51"/>
      <c r="J9" s="51"/>
      <c r="K9" s="51"/>
      <c r="L9" s="52"/>
    </row>
    <row r="10" spans="2:12" ht="18" customHeight="1" x14ac:dyDescent="0.4">
      <c r="B10" s="143" t="s">
        <v>57</v>
      </c>
      <c r="C10" s="43" t="s">
        <v>30</v>
      </c>
      <c r="D10" s="17">
        <f t="shared" ref="D10:D35" si="0">E10*0.65</f>
        <v>32.5</v>
      </c>
      <c r="E10" s="12">
        <v>50</v>
      </c>
      <c r="F10" s="8">
        <f t="shared" ref="F10:F35" si="1">D10*D$2</f>
        <v>0</v>
      </c>
      <c r="G10" s="8">
        <f t="shared" ref="G10:G35" si="2">E10*D$3</f>
        <v>0</v>
      </c>
      <c r="H10" s="53" t="s">
        <v>59</v>
      </c>
      <c r="I10" s="54"/>
      <c r="J10" s="54"/>
      <c r="K10" s="54"/>
      <c r="L10" s="55"/>
    </row>
    <row r="11" spans="2:12" ht="18" customHeight="1" x14ac:dyDescent="0.4">
      <c r="B11" s="130" t="s">
        <v>212</v>
      </c>
      <c r="C11" s="13" t="s">
        <v>37</v>
      </c>
      <c r="D11" s="17">
        <f t="shared" si="0"/>
        <v>19.5</v>
      </c>
      <c r="E11" s="12">
        <v>30</v>
      </c>
      <c r="F11" s="8">
        <f t="shared" si="1"/>
        <v>0</v>
      </c>
      <c r="G11" s="8">
        <f t="shared" si="2"/>
        <v>0</v>
      </c>
      <c r="H11" s="53" t="s">
        <v>213</v>
      </c>
      <c r="I11" s="54"/>
      <c r="J11" s="54"/>
      <c r="K11" s="54"/>
      <c r="L11" s="55"/>
    </row>
    <row r="12" spans="2:12" ht="18" customHeight="1" x14ac:dyDescent="0.4">
      <c r="B12" s="131"/>
      <c r="C12" s="13" t="s">
        <v>17</v>
      </c>
      <c r="D12" s="17">
        <f t="shared" si="0"/>
        <v>6.5</v>
      </c>
      <c r="E12" s="12">
        <v>10</v>
      </c>
      <c r="F12" s="8">
        <f t="shared" si="1"/>
        <v>0</v>
      </c>
      <c r="G12" s="8">
        <f t="shared" si="2"/>
        <v>0</v>
      </c>
      <c r="H12" s="56"/>
      <c r="I12" s="57"/>
      <c r="J12" s="57"/>
      <c r="K12" s="57"/>
      <c r="L12" s="58"/>
    </row>
    <row r="13" spans="2:12" ht="18" customHeight="1" x14ac:dyDescent="0.4">
      <c r="B13" s="131"/>
      <c r="C13" s="13" t="s">
        <v>43</v>
      </c>
      <c r="D13" s="17">
        <f t="shared" si="0"/>
        <v>3.25</v>
      </c>
      <c r="E13" s="12">
        <v>5</v>
      </c>
      <c r="F13" s="8">
        <f t="shared" si="1"/>
        <v>0</v>
      </c>
      <c r="G13" s="8">
        <f t="shared" si="2"/>
        <v>0</v>
      </c>
      <c r="H13" s="56"/>
      <c r="I13" s="57"/>
      <c r="J13" s="57"/>
      <c r="K13" s="57"/>
      <c r="L13" s="58"/>
    </row>
    <row r="14" spans="2:12" ht="18" customHeight="1" x14ac:dyDescent="0.4">
      <c r="B14" s="131"/>
      <c r="C14" s="13" t="s">
        <v>19</v>
      </c>
      <c r="D14" s="17">
        <f t="shared" si="0"/>
        <v>1.3</v>
      </c>
      <c r="E14" s="12">
        <v>2</v>
      </c>
      <c r="F14" s="8">
        <f t="shared" si="1"/>
        <v>0</v>
      </c>
      <c r="G14" s="8">
        <f t="shared" si="2"/>
        <v>0</v>
      </c>
      <c r="H14" s="56"/>
      <c r="I14" s="57"/>
      <c r="J14" s="57"/>
      <c r="K14" s="57"/>
      <c r="L14" s="58"/>
    </row>
    <row r="15" spans="2:12" ht="18" customHeight="1" x14ac:dyDescent="0.4">
      <c r="B15" s="131"/>
      <c r="C15" s="13" t="s">
        <v>40</v>
      </c>
      <c r="D15" s="17">
        <f t="shared" si="0"/>
        <v>0.32500000000000001</v>
      </c>
      <c r="E15" s="12">
        <v>0.5</v>
      </c>
      <c r="F15" s="8">
        <f t="shared" si="1"/>
        <v>0</v>
      </c>
      <c r="G15" s="8">
        <f t="shared" si="2"/>
        <v>0</v>
      </c>
      <c r="H15" s="56"/>
      <c r="I15" s="57"/>
      <c r="J15" s="57"/>
      <c r="K15" s="57"/>
      <c r="L15" s="58"/>
    </row>
    <row r="16" spans="2:12" ht="18" customHeight="1" x14ac:dyDescent="0.4">
      <c r="B16" s="131"/>
      <c r="C16" s="13" t="s">
        <v>21</v>
      </c>
      <c r="D16" s="17">
        <f t="shared" si="0"/>
        <v>1.3</v>
      </c>
      <c r="E16" s="12">
        <v>2</v>
      </c>
      <c r="F16" s="8">
        <f t="shared" si="1"/>
        <v>0</v>
      </c>
      <c r="G16" s="8">
        <f t="shared" si="2"/>
        <v>0</v>
      </c>
      <c r="H16" s="56"/>
      <c r="I16" s="57"/>
      <c r="J16" s="57"/>
      <c r="K16" s="57"/>
      <c r="L16" s="58"/>
    </row>
    <row r="17" spans="2:12" ht="18" customHeight="1" x14ac:dyDescent="0.4">
      <c r="B17" s="132"/>
      <c r="C17" s="13" t="s">
        <v>22</v>
      </c>
      <c r="D17" s="17">
        <f t="shared" si="0"/>
        <v>1.3</v>
      </c>
      <c r="E17" s="12">
        <v>2</v>
      </c>
      <c r="F17" s="8">
        <f t="shared" si="1"/>
        <v>0</v>
      </c>
      <c r="G17" s="8">
        <f t="shared" si="2"/>
        <v>0</v>
      </c>
      <c r="H17" s="59"/>
      <c r="I17" s="60"/>
      <c r="J17" s="60"/>
      <c r="K17" s="60"/>
      <c r="L17" s="61"/>
    </row>
    <row r="18" spans="2:12" ht="18" customHeight="1" x14ac:dyDescent="0.4">
      <c r="B18" s="128" t="s">
        <v>214</v>
      </c>
      <c r="C18" s="13" t="s">
        <v>48</v>
      </c>
      <c r="D18" s="9">
        <f t="shared" si="0"/>
        <v>26</v>
      </c>
      <c r="E18" s="13">
        <v>40</v>
      </c>
      <c r="F18" s="8">
        <f t="shared" si="1"/>
        <v>0</v>
      </c>
      <c r="G18" s="8">
        <f t="shared" si="2"/>
        <v>0</v>
      </c>
      <c r="H18" s="88" t="s">
        <v>172</v>
      </c>
      <c r="I18" s="89"/>
      <c r="J18" s="89"/>
      <c r="K18" s="89"/>
      <c r="L18" s="90"/>
    </row>
    <row r="19" spans="2:12" ht="18" customHeight="1" x14ac:dyDescent="0.4">
      <c r="B19" s="129"/>
      <c r="C19" s="15" t="s">
        <v>17</v>
      </c>
      <c r="D19" s="17">
        <f t="shared" si="0"/>
        <v>6.5</v>
      </c>
      <c r="E19" s="13">
        <v>10</v>
      </c>
      <c r="F19" s="8">
        <f t="shared" si="1"/>
        <v>0</v>
      </c>
      <c r="G19" s="8">
        <f t="shared" si="2"/>
        <v>0</v>
      </c>
      <c r="H19" s="91"/>
      <c r="I19" s="92"/>
      <c r="J19" s="92"/>
      <c r="K19" s="92"/>
      <c r="L19" s="93"/>
    </row>
    <row r="20" spans="2:12" ht="18" customHeight="1" x14ac:dyDescent="0.4">
      <c r="B20" s="129"/>
      <c r="C20" s="15" t="s">
        <v>18</v>
      </c>
      <c r="D20" s="17">
        <f t="shared" si="0"/>
        <v>6.5</v>
      </c>
      <c r="E20" s="13">
        <v>10</v>
      </c>
      <c r="F20" s="8">
        <f t="shared" si="1"/>
        <v>0</v>
      </c>
      <c r="G20" s="8">
        <f t="shared" si="2"/>
        <v>0</v>
      </c>
      <c r="H20" s="91"/>
      <c r="I20" s="92"/>
      <c r="J20" s="92"/>
      <c r="K20" s="92"/>
      <c r="L20" s="93"/>
    </row>
    <row r="21" spans="2:12" ht="18" customHeight="1" x14ac:dyDescent="0.4">
      <c r="B21" s="129"/>
      <c r="C21" s="15" t="s">
        <v>19</v>
      </c>
      <c r="D21" s="17">
        <f t="shared" si="0"/>
        <v>1.3</v>
      </c>
      <c r="E21" s="13">
        <v>2</v>
      </c>
      <c r="F21" s="8">
        <f t="shared" si="1"/>
        <v>0</v>
      </c>
      <c r="G21" s="8">
        <f t="shared" si="2"/>
        <v>0</v>
      </c>
      <c r="H21" s="91"/>
      <c r="I21" s="92"/>
      <c r="J21" s="92"/>
      <c r="K21" s="92"/>
      <c r="L21" s="93"/>
    </row>
    <row r="22" spans="2:12" ht="18" customHeight="1" x14ac:dyDescent="0.4">
      <c r="B22" s="129"/>
      <c r="C22" s="15" t="s">
        <v>13</v>
      </c>
      <c r="D22" s="17">
        <f t="shared" si="0"/>
        <v>3.25</v>
      </c>
      <c r="E22" s="13">
        <v>5</v>
      </c>
      <c r="F22" s="8">
        <f t="shared" si="1"/>
        <v>0</v>
      </c>
      <c r="G22" s="8">
        <f t="shared" si="2"/>
        <v>0</v>
      </c>
      <c r="H22" s="91"/>
      <c r="I22" s="92"/>
      <c r="J22" s="92"/>
      <c r="K22" s="92"/>
      <c r="L22" s="93"/>
    </row>
    <row r="23" spans="2:12" ht="18" customHeight="1" x14ac:dyDescent="0.4">
      <c r="B23" s="129"/>
      <c r="C23" s="15" t="s">
        <v>12</v>
      </c>
      <c r="D23" s="9">
        <f t="shared" si="0"/>
        <v>1.9500000000000002</v>
      </c>
      <c r="E23" s="13">
        <v>3</v>
      </c>
      <c r="F23" s="8">
        <f t="shared" si="1"/>
        <v>0</v>
      </c>
      <c r="G23" s="8">
        <f t="shared" si="2"/>
        <v>0</v>
      </c>
      <c r="H23" s="91"/>
      <c r="I23" s="92"/>
      <c r="J23" s="92"/>
      <c r="K23" s="92"/>
      <c r="L23" s="93"/>
    </row>
    <row r="24" spans="2:12" ht="18" customHeight="1" x14ac:dyDescent="0.4">
      <c r="B24" s="129"/>
      <c r="C24" s="15" t="s">
        <v>61</v>
      </c>
      <c r="D24" s="17">
        <f t="shared" si="0"/>
        <v>0.65</v>
      </c>
      <c r="E24" s="13">
        <v>1</v>
      </c>
      <c r="F24" s="8">
        <f t="shared" si="1"/>
        <v>0</v>
      </c>
      <c r="G24" s="8">
        <f t="shared" si="2"/>
        <v>0</v>
      </c>
      <c r="H24" s="91"/>
      <c r="I24" s="92"/>
      <c r="J24" s="92"/>
      <c r="K24" s="92"/>
      <c r="L24" s="93"/>
    </row>
    <row r="25" spans="2:12" ht="18" customHeight="1" x14ac:dyDescent="0.4">
      <c r="B25" s="129"/>
      <c r="C25" s="15" t="s">
        <v>9</v>
      </c>
      <c r="D25" s="17">
        <f t="shared" si="0"/>
        <v>0.32500000000000001</v>
      </c>
      <c r="E25" s="13">
        <v>0.5</v>
      </c>
      <c r="F25" s="8">
        <f t="shared" si="1"/>
        <v>0</v>
      </c>
      <c r="G25" s="8">
        <f t="shared" si="2"/>
        <v>0</v>
      </c>
      <c r="H25" s="91"/>
      <c r="I25" s="92"/>
      <c r="J25" s="92"/>
      <c r="K25" s="92"/>
      <c r="L25" s="93"/>
    </row>
    <row r="26" spans="2:12" ht="18" customHeight="1" x14ac:dyDescent="0.4">
      <c r="B26" s="129"/>
      <c r="C26" s="15" t="s">
        <v>10</v>
      </c>
      <c r="D26" s="17">
        <f t="shared" si="0"/>
        <v>0.32500000000000001</v>
      </c>
      <c r="E26" s="13">
        <v>0.5</v>
      </c>
      <c r="F26" s="8">
        <f t="shared" si="1"/>
        <v>0</v>
      </c>
      <c r="G26" s="8">
        <f t="shared" si="2"/>
        <v>0</v>
      </c>
      <c r="H26" s="91"/>
      <c r="I26" s="92"/>
      <c r="J26" s="92"/>
      <c r="K26" s="92"/>
      <c r="L26" s="93"/>
    </row>
    <row r="27" spans="2:12" ht="18" customHeight="1" x14ac:dyDescent="0.4">
      <c r="B27" s="129"/>
      <c r="C27" s="15" t="s">
        <v>26</v>
      </c>
      <c r="D27" s="17">
        <f t="shared" si="0"/>
        <v>0.13</v>
      </c>
      <c r="E27" s="13">
        <v>0.2</v>
      </c>
      <c r="F27" s="8">
        <f t="shared" si="1"/>
        <v>0</v>
      </c>
      <c r="G27" s="8">
        <f t="shared" si="2"/>
        <v>0</v>
      </c>
      <c r="H27" s="91"/>
      <c r="I27" s="92"/>
      <c r="J27" s="92"/>
      <c r="K27" s="92"/>
      <c r="L27" s="93"/>
    </row>
    <row r="28" spans="2:12" ht="18" customHeight="1" x14ac:dyDescent="0.4">
      <c r="B28" s="138"/>
      <c r="C28" s="15" t="s">
        <v>14</v>
      </c>
      <c r="D28" s="17">
        <f t="shared" si="0"/>
        <v>1.3</v>
      </c>
      <c r="E28" s="13">
        <v>2</v>
      </c>
      <c r="F28" s="8">
        <f t="shared" si="1"/>
        <v>0</v>
      </c>
      <c r="G28" s="8">
        <f t="shared" si="2"/>
        <v>0</v>
      </c>
      <c r="H28" s="91"/>
      <c r="I28" s="92"/>
      <c r="J28" s="92"/>
      <c r="K28" s="92"/>
      <c r="L28" s="93"/>
    </row>
    <row r="29" spans="2:12" ht="18" customHeight="1" x14ac:dyDescent="0.4">
      <c r="B29" s="130" t="s">
        <v>215</v>
      </c>
      <c r="C29" s="13" t="s">
        <v>216</v>
      </c>
      <c r="D29" s="9">
        <f t="shared" si="0"/>
        <v>13</v>
      </c>
      <c r="E29" s="13">
        <v>20</v>
      </c>
      <c r="F29" s="8">
        <f t="shared" si="1"/>
        <v>0</v>
      </c>
      <c r="G29" s="8">
        <f t="shared" si="2"/>
        <v>0</v>
      </c>
      <c r="H29" s="88" t="s">
        <v>217</v>
      </c>
      <c r="I29" s="89"/>
      <c r="J29" s="89"/>
      <c r="K29" s="89"/>
      <c r="L29" s="90"/>
    </row>
    <row r="30" spans="2:12" ht="18" customHeight="1" x14ac:dyDescent="0.4">
      <c r="B30" s="131"/>
      <c r="C30" s="13" t="s">
        <v>40</v>
      </c>
      <c r="D30" s="17">
        <f t="shared" si="0"/>
        <v>0.65</v>
      </c>
      <c r="E30" s="13">
        <v>1</v>
      </c>
      <c r="F30" s="8">
        <f t="shared" si="1"/>
        <v>0</v>
      </c>
      <c r="G30" s="8">
        <f t="shared" si="2"/>
        <v>0</v>
      </c>
      <c r="H30" s="91"/>
      <c r="I30" s="92"/>
      <c r="J30" s="92"/>
      <c r="K30" s="92"/>
      <c r="L30" s="93"/>
    </row>
    <row r="31" spans="2:12" ht="18" customHeight="1" x14ac:dyDescent="0.4">
      <c r="B31" s="131"/>
      <c r="C31" s="13" t="s">
        <v>78</v>
      </c>
      <c r="D31" s="17">
        <f t="shared" si="0"/>
        <v>0.19500000000000001</v>
      </c>
      <c r="E31" s="13">
        <v>0.3</v>
      </c>
      <c r="F31" s="8">
        <f t="shared" si="1"/>
        <v>0</v>
      </c>
      <c r="G31" s="8">
        <f t="shared" si="2"/>
        <v>0</v>
      </c>
      <c r="H31" s="91"/>
      <c r="I31" s="92"/>
      <c r="J31" s="92"/>
      <c r="K31" s="92"/>
      <c r="L31" s="93"/>
    </row>
    <row r="32" spans="2:12" ht="18" customHeight="1" x14ac:dyDescent="0.4">
      <c r="B32" s="131"/>
      <c r="C32" s="13" t="s">
        <v>65</v>
      </c>
      <c r="D32" s="17">
        <f t="shared" si="0"/>
        <v>0.19500000000000001</v>
      </c>
      <c r="E32" s="13">
        <v>0.3</v>
      </c>
      <c r="F32" s="8">
        <f t="shared" si="1"/>
        <v>0</v>
      </c>
      <c r="G32" s="8">
        <f t="shared" si="2"/>
        <v>0</v>
      </c>
      <c r="H32" s="91"/>
      <c r="I32" s="92"/>
      <c r="J32" s="92"/>
      <c r="K32" s="92"/>
      <c r="L32" s="93"/>
    </row>
    <row r="33" spans="2:12" ht="18" customHeight="1" x14ac:dyDescent="0.4">
      <c r="B33" s="131"/>
      <c r="C33" s="13" t="s">
        <v>74</v>
      </c>
      <c r="D33" s="17">
        <f t="shared" si="0"/>
        <v>0.13</v>
      </c>
      <c r="E33" s="13">
        <v>0.2</v>
      </c>
      <c r="F33" s="8">
        <f t="shared" si="1"/>
        <v>0</v>
      </c>
      <c r="G33" s="8">
        <f t="shared" si="2"/>
        <v>0</v>
      </c>
      <c r="H33" s="91"/>
      <c r="I33" s="92"/>
      <c r="J33" s="92"/>
      <c r="K33" s="92"/>
      <c r="L33" s="93"/>
    </row>
    <row r="34" spans="2:12" ht="18" customHeight="1" x14ac:dyDescent="0.4">
      <c r="B34" s="131"/>
      <c r="C34" s="13" t="s">
        <v>83</v>
      </c>
      <c r="D34" s="17">
        <f t="shared" si="0"/>
        <v>0.13</v>
      </c>
      <c r="E34" s="13">
        <v>0.2</v>
      </c>
      <c r="F34" s="8">
        <f t="shared" si="1"/>
        <v>0</v>
      </c>
      <c r="G34" s="8">
        <f t="shared" si="2"/>
        <v>0</v>
      </c>
      <c r="H34" s="91"/>
      <c r="I34" s="92"/>
      <c r="J34" s="92"/>
      <c r="K34" s="92"/>
      <c r="L34" s="93"/>
    </row>
    <row r="35" spans="2:12" ht="18" customHeight="1" thickBot="1" x14ac:dyDescent="0.45">
      <c r="B35" s="133" t="s">
        <v>66</v>
      </c>
      <c r="C35" s="34" t="s">
        <v>67</v>
      </c>
      <c r="D35" s="46">
        <f t="shared" si="0"/>
        <v>13</v>
      </c>
      <c r="E35" s="21">
        <v>20</v>
      </c>
      <c r="F35" s="22">
        <f t="shared" si="1"/>
        <v>0</v>
      </c>
      <c r="G35" s="22">
        <f t="shared" si="2"/>
        <v>0</v>
      </c>
      <c r="H35" s="73" t="s">
        <v>54</v>
      </c>
      <c r="I35" s="74"/>
      <c r="J35" s="74"/>
      <c r="K35" s="74"/>
      <c r="L35" s="75"/>
    </row>
    <row r="36" spans="2:12" ht="80.099999999999994" customHeight="1" thickTop="1" x14ac:dyDescent="0.4"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</row>
    <row r="37" spans="2:12" ht="18" customHeight="1" thickBot="1" x14ac:dyDescent="0.45"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</row>
    <row r="38" spans="2:12" ht="21" customHeight="1" thickTop="1" x14ac:dyDescent="0.4">
      <c r="B38" s="120" t="s">
        <v>115</v>
      </c>
      <c r="C38" s="121"/>
      <c r="D38" s="121"/>
      <c r="E38" s="121"/>
      <c r="F38" s="121"/>
      <c r="G38" s="121"/>
      <c r="H38" s="121"/>
      <c r="I38" s="121"/>
      <c r="J38" s="121"/>
      <c r="K38" s="121"/>
      <c r="L38" s="122"/>
    </row>
    <row r="39" spans="2:12" ht="18" customHeight="1" x14ac:dyDescent="0.4">
      <c r="B39" s="76" t="s">
        <v>3</v>
      </c>
      <c r="C39" s="78" t="s">
        <v>4</v>
      </c>
      <c r="D39" s="80" t="s">
        <v>5</v>
      </c>
      <c r="E39" s="81"/>
      <c r="F39" s="80" t="s">
        <v>6</v>
      </c>
      <c r="G39" s="81"/>
      <c r="H39" s="47" t="s">
        <v>7</v>
      </c>
      <c r="I39" s="48"/>
      <c r="J39" s="48"/>
      <c r="K39" s="48"/>
      <c r="L39" s="49"/>
    </row>
    <row r="40" spans="2:12" ht="18" customHeight="1" x14ac:dyDescent="0.4">
      <c r="B40" s="77"/>
      <c r="C40" s="79"/>
      <c r="D40" s="5" t="s">
        <v>1</v>
      </c>
      <c r="E40" s="29" t="s">
        <v>2</v>
      </c>
      <c r="F40" s="32" t="s">
        <v>1</v>
      </c>
      <c r="G40" s="33" t="s">
        <v>2</v>
      </c>
      <c r="H40" s="50"/>
      <c r="I40" s="51"/>
      <c r="J40" s="51"/>
      <c r="K40" s="51"/>
      <c r="L40" s="52"/>
    </row>
    <row r="41" spans="2:12" ht="18" customHeight="1" x14ac:dyDescent="0.4">
      <c r="B41" s="126" t="s">
        <v>218</v>
      </c>
      <c r="C41" s="13" t="s">
        <v>30</v>
      </c>
      <c r="D41" s="17">
        <f t="shared" ref="D41:D62" si="3">E41*0.65</f>
        <v>32.5</v>
      </c>
      <c r="E41" s="13">
        <v>50</v>
      </c>
      <c r="F41" s="8">
        <f t="shared" ref="F41:F62" si="4">D41*D$2</f>
        <v>0</v>
      </c>
      <c r="G41" s="8">
        <f t="shared" ref="G41:G62" si="5">E41*D$3</f>
        <v>0</v>
      </c>
      <c r="H41" s="62" t="s">
        <v>219</v>
      </c>
      <c r="I41" s="62"/>
      <c r="J41" s="62"/>
      <c r="K41" s="62"/>
      <c r="L41" s="63"/>
    </row>
    <row r="42" spans="2:12" ht="18" customHeight="1" x14ac:dyDescent="0.4">
      <c r="B42" s="137"/>
      <c r="C42" s="13" t="s">
        <v>29</v>
      </c>
      <c r="D42" s="17">
        <f t="shared" si="3"/>
        <v>19.5</v>
      </c>
      <c r="E42" s="13">
        <v>30</v>
      </c>
      <c r="F42" s="8">
        <f t="shared" si="4"/>
        <v>0</v>
      </c>
      <c r="G42" s="8">
        <f t="shared" si="5"/>
        <v>0</v>
      </c>
      <c r="H42" s="62"/>
      <c r="I42" s="62"/>
      <c r="J42" s="62"/>
      <c r="K42" s="62"/>
      <c r="L42" s="63"/>
    </row>
    <row r="43" spans="2:12" ht="18" customHeight="1" x14ac:dyDescent="0.4">
      <c r="B43" s="137"/>
      <c r="C43" s="13" t="s">
        <v>17</v>
      </c>
      <c r="D43" s="17">
        <f t="shared" si="3"/>
        <v>4.55</v>
      </c>
      <c r="E43" s="13">
        <v>7</v>
      </c>
      <c r="F43" s="8">
        <f t="shared" si="4"/>
        <v>0</v>
      </c>
      <c r="G43" s="8">
        <f t="shared" si="5"/>
        <v>0</v>
      </c>
      <c r="H43" s="62"/>
      <c r="I43" s="62"/>
      <c r="J43" s="62"/>
      <c r="K43" s="62"/>
      <c r="L43" s="63"/>
    </row>
    <row r="44" spans="2:12" ht="18" customHeight="1" x14ac:dyDescent="0.4">
      <c r="B44" s="137"/>
      <c r="C44" s="13" t="s">
        <v>16</v>
      </c>
      <c r="D44" s="17">
        <f t="shared" si="3"/>
        <v>4.55</v>
      </c>
      <c r="E44" s="13">
        <v>7</v>
      </c>
      <c r="F44" s="8">
        <f t="shared" si="4"/>
        <v>0</v>
      </c>
      <c r="G44" s="8">
        <f t="shared" si="5"/>
        <v>0</v>
      </c>
      <c r="H44" s="62"/>
      <c r="I44" s="62"/>
      <c r="J44" s="62"/>
      <c r="K44" s="62"/>
      <c r="L44" s="63"/>
    </row>
    <row r="45" spans="2:12" ht="18" customHeight="1" x14ac:dyDescent="0.4">
      <c r="B45" s="137"/>
      <c r="C45" s="13" t="s">
        <v>40</v>
      </c>
      <c r="D45" s="17">
        <f t="shared" si="3"/>
        <v>0.65</v>
      </c>
      <c r="E45" s="13">
        <v>1</v>
      </c>
      <c r="F45" s="8">
        <f t="shared" si="4"/>
        <v>0</v>
      </c>
      <c r="G45" s="8">
        <f t="shared" si="5"/>
        <v>0</v>
      </c>
      <c r="H45" s="62"/>
      <c r="I45" s="62"/>
      <c r="J45" s="62"/>
      <c r="K45" s="62"/>
      <c r="L45" s="63"/>
    </row>
    <row r="46" spans="2:12" ht="18" customHeight="1" x14ac:dyDescent="0.4">
      <c r="B46" s="137"/>
      <c r="C46" s="13" t="s">
        <v>13</v>
      </c>
      <c r="D46" s="9">
        <f t="shared" si="3"/>
        <v>1.9500000000000002</v>
      </c>
      <c r="E46" s="13">
        <v>3</v>
      </c>
      <c r="F46" s="8">
        <f t="shared" si="4"/>
        <v>0</v>
      </c>
      <c r="G46" s="8">
        <f t="shared" si="5"/>
        <v>0</v>
      </c>
      <c r="H46" s="62"/>
      <c r="I46" s="62"/>
      <c r="J46" s="62"/>
      <c r="K46" s="62"/>
      <c r="L46" s="63"/>
    </row>
    <row r="47" spans="2:12" ht="18" customHeight="1" x14ac:dyDescent="0.4">
      <c r="B47" s="137"/>
      <c r="C47" s="13" t="s">
        <v>26</v>
      </c>
      <c r="D47" s="17">
        <f t="shared" si="3"/>
        <v>6.5000000000000002E-2</v>
      </c>
      <c r="E47" s="13">
        <v>0.1</v>
      </c>
      <c r="F47" s="8">
        <f t="shared" si="4"/>
        <v>0</v>
      </c>
      <c r="G47" s="8">
        <f t="shared" si="5"/>
        <v>0</v>
      </c>
      <c r="H47" s="62"/>
      <c r="I47" s="62"/>
      <c r="J47" s="62"/>
      <c r="K47" s="62"/>
      <c r="L47" s="63"/>
    </row>
    <row r="48" spans="2:12" ht="18" customHeight="1" x14ac:dyDescent="0.4">
      <c r="B48" s="137"/>
      <c r="C48" s="13" t="s">
        <v>9</v>
      </c>
      <c r="D48" s="17">
        <f t="shared" si="3"/>
        <v>0.13</v>
      </c>
      <c r="E48" s="13">
        <v>0.2</v>
      </c>
      <c r="F48" s="8">
        <f t="shared" si="4"/>
        <v>0</v>
      </c>
      <c r="G48" s="8">
        <f t="shared" si="5"/>
        <v>0</v>
      </c>
      <c r="H48" s="62"/>
      <c r="I48" s="62"/>
      <c r="J48" s="62"/>
      <c r="K48" s="62"/>
      <c r="L48" s="63"/>
    </row>
    <row r="49" spans="2:12" ht="18" customHeight="1" x14ac:dyDescent="0.4">
      <c r="B49" s="125"/>
      <c r="C49" s="8" t="s">
        <v>14</v>
      </c>
      <c r="D49" s="17">
        <f t="shared" si="3"/>
        <v>1.3</v>
      </c>
      <c r="E49" s="8">
        <v>2</v>
      </c>
      <c r="F49" s="8">
        <f t="shared" si="4"/>
        <v>0</v>
      </c>
      <c r="G49" s="8">
        <f t="shared" si="5"/>
        <v>0</v>
      </c>
      <c r="H49" s="62"/>
      <c r="I49" s="62"/>
      <c r="J49" s="62"/>
      <c r="K49" s="62"/>
      <c r="L49" s="63"/>
    </row>
    <row r="50" spans="2:12" ht="18" customHeight="1" x14ac:dyDescent="0.4">
      <c r="B50" s="126" t="s">
        <v>220</v>
      </c>
      <c r="C50" s="15" t="s">
        <v>21</v>
      </c>
      <c r="D50" s="17">
        <f t="shared" si="3"/>
        <v>1.3</v>
      </c>
      <c r="E50" s="13">
        <v>2</v>
      </c>
      <c r="F50" s="8">
        <f t="shared" si="4"/>
        <v>0</v>
      </c>
      <c r="G50" s="8">
        <f t="shared" si="5"/>
        <v>0</v>
      </c>
      <c r="H50" s="88" t="s">
        <v>221</v>
      </c>
      <c r="I50" s="89"/>
      <c r="J50" s="89"/>
      <c r="K50" s="89"/>
      <c r="L50" s="90"/>
    </row>
    <row r="51" spans="2:12" ht="18" customHeight="1" x14ac:dyDescent="0.4">
      <c r="B51" s="127"/>
      <c r="C51" s="15" t="s">
        <v>22</v>
      </c>
      <c r="D51" s="17">
        <f t="shared" si="3"/>
        <v>1.3</v>
      </c>
      <c r="E51" s="13">
        <v>2</v>
      </c>
      <c r="F51" s="8">
        <f t="shared" si="4"/>
        <v>0</v>
      </c>
      <c r="G51" s="8">
        <f t="shared" si="5"/>
        <v>0</v>
      </c>
      <c r="H51" s="91"/>
      <c r="I51" s="92"/>
      <c r="J51" s="92"/>
      <c r="K51" s="92"/>
      <c r="L51" s="93"/>
    </row>
    <row r="52" spans="2:12" ht="18" customHeight="1" x14ac:dyDescent="0.4">
      <c r="B52" s="127"/>
      <c r="C52" s="15" t="s">
        <v>222</v>
      </c>
      <c r="D52" s="17">
        <f t="shared" si="3"/>
        <v>1.3</v>
      </c>
      <c r="E52" s="13">
        <v>2</v>
      </c>
      <c r="F52" s="8">
        <f t="shared" si="4"/>
        <v>0</v>
      </c>
      <c r="G52" s="8">
        <f t="shared" si="5"/>
        <v>0</v>
      </c>
      <c r="H52" s="91"/>
      <c r="I52" s="92"/>
      <c r="J52" s="92"/>
      <c r="K52" s="92"/>
      <c r="L52" s="93"/>
    </row>
    <row r="53" spans="2:12" ht="18" customHeight="1" x14ac:dyDescent="0.4">
      <c r="B53" s="127"/>
      <c r="C53" s="15" t="s">
        <v>135</v>
      </c>
      <c r="D53" s="17">
        <f t="shared" si="3"/>
        <v>3.25</v>
      </c>
      <c r="E53" s="13">
        <v>5</v>
      </c>
      <c r="F53" s="8">
        <f t="shared" si="4"/>
        <v>0</v>
      </c>
      <c r="G53" s="8">
        <f t="shared" si="5"/>
        <v>0</v>
      </c>
      <c r="H53" s="91"/>
      <c r="I53" s="92"/>
      <c r="J53" s="92"/>
      <c r="K53" s="92"/>
      <c r="L53" s="93"/>
    </row>
    <row r="54" spans="2:12" ht="18" customHeight="1" x14ac:dyDescent="0.4">
      <c r="B54" s="127"/>
      <c r="C54" s="15" t="s">
        <v>64</v>
      </c>
      <c r="D54" s="9">
        <f t="shared" si="3"/>
        <v>1.9500000000000002</v>
      </c>
      <c r="E54" s="13">
        <v>3</v>
      </c>
      <c r="F54" s="8">
        <f t="shared" si="4"/>
        <v>0</v>
      </c>
      <c r="G54" s="8">
        <f t="shared" si="5"/>
        <v>0</v>
      </c>
      <c r="H54" s="91"/>
      <c r="I54" s="92"/>
      <c r="J54" s="92"/>
      <c r="K54" s="92"/>
      <c r="L54" s="93"/>
    </row>
    <row r="55" spans="2:12" ht="18" customHeight="1" x14ac:dyDescent="0.4">
      <c r="B55" s="127"/>
      <c r="C55" s="19" t="s">
        <v>61</v>
      </c>
      <c r="D55" s="39">
        <f t="shared" si="3"/>
        <v>0.65</v>
      </c>
      <c r="E55" s="40">
        <v>1</v>
      </c>
      <c r="F55" s="8">
        <f t="shared" si="4"/>
        <v>0</v>
      </c>
      <c r="G55" s="8">
        <f t="shared" si="5"/>
        <v>0</v>
      </c>
      <c r="H55" s="91"/>
      <c r="I55" s="92"/>
      <c r="J55" s="92"/>
      <c r="K55" s="92"/>
      <c r="L55" s="93"/>
    </row>
    <row r="56" spans="2:12" ht="18" customHeight="1" x14ac:dyDescent="0.4">
      <c r="B56" s="151"/>
      <c r="C56" s="15" t="s">
        <v>19</v>
      </c>
      <c r="D56" s="17">
        <f t="shared" si="3"/>
        <v>1.3</v>
      </c>
      <c r="E56" s="13">
        <v>2</v>
      </c>
      <c r="F56" s="8">
        <f t="shared" si="4"/>
        <v>0</v>
      </c>
      <c r="G56" s="8">
        <f t="shared" si="5"/>
        <v>0</v>
      </c>
      <c r="H56" s="98"/>
      <c r="I56" s="99"/>
      <c r="J56" s="99"/>
      <c r="K56" s="99"/>
      <c r="L56" s="100"/>
    </row>
    <row r="57" spans="2:12" ht="18" customHeight="1" x14ac:dyDescent="0.4">
      <c r="B57" s="130" t="s">
        <v>223</v>
      </c>
      <c r="C57" s="13" t="s">
        <v>116</v>
      </c>
      <c r="D57" s="8">
        <f t="shared" si="3"/>
        <v>26</v>
      </c>
      <c r="E57" s="13">
        <v>40</v>
      </c>
      <c r="F57" s="8">
        <f t="shared" si="4"/>
        <v>0</v>
      </c>
      <c r="G57" s="8">
        <f t="shared" si="5"/>
        <v>0</v>
      </c>
      <c r="H57" s="62" t="s">
        <v>224</v>
      </c>
      <c r="I57" s="62"/>
      <c r="J57" s="62"/>
      <c r="K57" s="62"/>
      <c r="L57" s="63"/>
    </row>
    <row r="58" spans="2:12" ht="18" customHeight="1" x14ac:dyDescent="0.4">
      <c r="B58" s="131"/>
      <c r="C58" s="13" t="s">
        <v>83</v>
      </c>
      <c r="D58" s="18">
        <f t="shared" si="3"/>
        <v>0.65</v>
      </c>
      <c r="E58" s="13">
        <v>1</v>
      </c>
      <c r="F58" s="8">
        <f t="shared" si="4"/>
        <v>0</v>
      </c>
      <c r="G58" s="8">
        <f t="shared" si="5"/>
        <v>0</v>
      </c>
      <c r="H58" s="62"/>
      <c r="I58" s="62"/>
      <c r="J58" s="62"/>
      <c r="K58" s="62"/>
      <c r="L58" s="63"/>
    </row>
    <row r="59" spans="2:12" ht="18" customHeight="1" x14ac:dyDescent="0.4">
      <c r="B59" s="131"/>
      <c r="C59" s="13" t="s">
        <v>65</v>
      </c>
      <c r="D59" s="18">
        <f t="shared" si="3"/>
        <v>0.13</v>
      </c>
      <c r="E59" s="13">
        <v>0.2</v>
      </c>
      <c r="F59" s="8">
        <f t="shared" si="4"/>
        <v>0</v>
      </c>
      <c r="G59" s="8">
        <f t="shared" si="5"/>
        <v>0</v>
      </c>
      <c r="H59" s="62"/>
      <c r="I59" s="62"/>
      <c r="J59" s="62"/>
      <c r="K59" s="62"/>
      <c r="L59" s="63"/>
    </row>
    <row r="60" spans="2:12" ht="18" customHeight="1" x14ac:dyDescent="0.4">
      <c r="B60" s="131"/>
      <c r="C60" s="13" t="s">
        <v>64</v>
      </c>
      <c r="D60" s="8">
        <f t="shared" si="3"/>
        <v>5.2</v>
      </c>
      <c r="E60" s="13">
        <v>8</v>
      </c>
      <c r="F60" s="8">
        <f t="shared" si="4"/>
        <v>0</v>
      </c>
      <c r="G60" s="8">
        <f t="shared" si="5"/>
        <v>0</v>
      </c>
      <c r="H60" s="62"/>
      <c r="I60" s="62"/>
      <c r="J60" s="62"/>
      <c r="K60" s="62"/>
      <c r="L60" s="63"/>
    </row>
    <row r="61" spans="2:12" ht="18" customHeight="1" x14ac:dyDescent="0.4">
      <c r="B61" s="132"/>
      <c r="C61" s="13" t="s">
        <v>79</v>
      </c>
      <c r="D61" s="20">
        <f t="shared" si="3"/>
        <v>1.9500000000000002</v>
      </c>
      <c r="E61" s="13">
        <v>3</v>
      </c>
      <c r="F61" s="8">
        <f t="shared" si="4"/>
        <v>0</v>
      </c>
      <c r="G61" s="8">
        <f t="shared" si="5"/>
        <v>0</v>
      </c>
      <c r="H61" s="62"/>
      <c r="I61" s="62"/>
      <c r="J61" s="62"/>
      <c r="K61" s="62"/>
      <c r="L61" s="63"/>
    </row>
    <row r="62" spans="2:12" ht="18" customHeight="1" thickBot="1" x14ac:dyDescent="0.45">
      <c r="B62" s="155" t="s">
        <v>118</v>
      </c>
      <c r="C62" s="36" t="s">
        <v>119</v>
      </c>
      <c r="D62" s="22">
        <f t="shared" si="3"/>
        <v>13</v>
      </c>
      <c r="E62" s="21">
        <v>20</v>
      </c>
      <c r="F62" s="22">
        <f t="shared" si="4"/>
        <v>0</v>
      </c>
      <c r="G62" s="22">
        <f t="shared" si="5"/>
        <v>0</v>
      </c>
      <c r="H62" s="114" t="s">
        <v>53</v>
      </c>
      <c r="I62" s="114"/>
      <c r="J62" s="114"/>
      <c r="K62" s="114"/>
      <c r="L62" s="115"/>
    </row>
    <row r="63" spans="2:12" ht="80.099999999999994" customHeight="1" thickTop="1" x14ac:dyDescent="0.4">
      <c r="B63" s="84"/>
      <c r="C63" s="84"/>
      <c r="D63" s="84"/>
      <c r="E63" s="84"/>
      <c r="F63" s="84"/>
      <c r="G63" s="84"/>
      <c r="H63" s="84"/>
      <c r="I63" s="84"/>
      <c r="J63" s="84"/>
      <c r="K63" s="84"/>
      <c r="L63" s="84"/>
    </row>
    <row r="64" spans="2:12" ht="18" customHeight="1" thickBot="1" x14ac:dyDescent="0.45"/>
    <row r="65" spans="2:12" ht="21" customHeight="1" thickTop="1" x14ac:dyDescent="0.4">
      <c r="B65" s="145" t="s">
        <v>120</v>
      </c>
      <c r="C65" s="146"/>
      <c r="D65" s="146"/>
      <c r="E65" s="146"/>
      <c r="F65" s="146"/>
      <c r="G65" s="146"/>
      <c r="H65" s="146"/>
      <c r="I65" s="146"/>
      <c r="J65" s="146"/>
      <c r="K65" s="146"/>
      <c r="L65" s="147"/>
    </row>
    <row r="66" spans="2:12" ht="18" customHeight="1" x14ac:dyDescent="0.4">
      <c r="B66" s="96" t="s">
        <v>3</v>
      </c>
      <c r="C66" s="94" t="s">
        <v>4</v>
      </c>
      <c r="D66" s="94" t="s">
        <v>5</v>
      </c>
      <c r="E66" s="94"/>
      <c r="F66" s="94" t="s">
        <v>6</v>
      </c>
      <c r="G66" s="94"/>
      <c r="H66" s="94" t="s">
        <v>7</v>
      </c>
      <c r="I66" s="94"/>
      <c r="J66" s="94"/>
      <c r="K66" s="94"/>
      <c r="L66" s="95"/>
    </row>
    <row r="67" spans="2:12" ht="18" customHeight="1" x14ac:dyDescent="0.4">
      <c r="B67" s="96"/>
      <c r="C67" s="94"/>
      <c r="D67" s="5" t="s">
        <v>1</v>
      </c>
      <c r="E67" s="5" t="s">
        <v>2</v>
      </c>
      <c r="F67" s="6" t="s">
        <v>1</v>
      </c>
      <c r="G67" s="7" t="s">
        <v>2</v>
      </c>
      <c r="H67" s="94"/>
      <c r="I67" s="94"/>
      <c r="J67" s="94"/>
      <c r="K67" s="94"/>
      <c r="L67" s="95"/>
    </row>
    <row r="68" spans="2:12" ht="18" customHeight="1" x14ac:dyDescent="0.4">
      <c r="B68" s="140" t="s">
        <v>68</v>
      </c>
      <c r="C68" s="13" t="s">
        <v>58</v>
      </c>
      <c r="D68" s="17">
        <f t="shared" ref="D68:D92" si="6">E68*0.65</f>
        <v>32.5</v>
      </c>
      <c r="E68" s="12">
        <v>50</v>
      </c>
      <c r="F68" s="8">
        <f t="shared" ref="F68:F92" si="7">D68*D$2</f>
        <v>0</v>
      </c>
      <c r="G68" s="8">
        <f t="shared" ref="G68:G92" si="8">E68*D$3</f>
        <v>0</v>
      </c>
      <c r="H68" s="53" t="s">
        <v>51</v>
      </c>
      <c r="I68" s="54"/>
      <c r="J68" s="54"/>
      <c r="K68" s="54"/>
      <c r="L68" s="55"/>
    </row>
    <row r="69" spans="2:12" ht="18" customHeight="1" x14ac:dyDescent="0.4">
      <c r="B69" s="140"/>
      <c r="C69" s="13" t="s">
        <v>69</v>
      </c>
      <c r="D69" s="17">
        <f t="shared" si="6"/>
        <v>1.625</v>
      </c>
      <c r="E69" s="12">
        <v>2.5</v>
      </c>
      <c r="F69" s="8">
        <f t="shared" si="7"/>
        <v>0</v>
      </c>
      <c r="G69" s="8">
        <f t="shared" si="8"/>
        <v>0</v>
      </c>
      <c r="H69" s="59"/>
      <c r="I69" s="60"/>
      <c r="J69" s="60"/>
      <c r="K69" s="60"/>
      <c r="L69" s="61"/>
    </row>
    <row r="70" spans="2:12" ht="18" customHeight="1" x14ac:dyDescent="0.4">
      <c r="B70" s="124" t="s">
        <v>112</v>
      </c>
      <c r="C70" s="13" t="s">
        <v>38</v>
      </c>
      <c r="D70" s="8">
        <f t="shared" si="6"/>
        <v>1.3</v>
      </c>
      <c r="E70" s="12">
        <v>2</v>
      </c>
      <c r="F70" s="8">
        <f t="shared" si="7"/>
        <v>0</v>
      </c>
      <c r="G70" s="8">
        <f t="shared" si="8"/>
        <v>0</v>
      </c>
      <c r="H70" s="53" t="s">
        <v>225</v>
      </c>
      <c r="I70" s="54"/>
      <c r="J70" s="54"/>
      <c r="K70" s="54"/>
      <c r="L70" s="55"/>
    </row>
    <row r="71" spans="2:12" ht="18" customHeight="1" x14ac:dyDescent="0.4">
      <c r="B71" s="137"/>
      <c r="C71" s="13" t="s">
        <v>61</v>
      </c>
      <c r="D71" s="18">
        <f t="shared" si="6"/>
        <v>0.32500000000000001</v>
      </c>
      <c r="E71" s="12">
        <v>0.5</v>
      </c>
      <c r="F71" s="8">
        <f t="shared" si="7"/>
        <v>0</v>
      </c>
      <c r="G71" s="8">
        <f t="shared" si="8"/>
        <v>0</v>
      </c>
      <c r="H71" s="56"/>
      <c r="I71" s="57"/>
      <c r="J71" s="57"/>
      <c r="K71" s="57"/>
      <c r="L71" s="58"/>
    </row>
    <row r="72" spans="2:12" ht="18" customHeight="1" x14ac:dyDescent="0.4">
      <c r="B72" s="137"/>
      <c r="C72" s="13" t="s">
        <v>13</v>
      </c>
      <c r="D72" s="18">
        <f t="shared" si="6"/>
        <v>0.65</v>
      </c>
      <c r="E72" s="12">
        <v>1</v>
      </c>
      <c r="F72" s="8">
        <f t="shared" si="7"/>
        <v>0</v>
      </c>
      <c r="G72" s="8">
        <f t="shared" si="8"/>
        <v>0</v>
      </c>
      <c r="H72" s="56"/>
      <c r="I72" s="57"/>
      <c r="J72" s="57"/>
      <c r="K72" s="57"/>
      <c r="L72" s="58"/>
    </row>
    <row r="73" spans="2:12" ht="18" customHeight="1" x14ac:dyDescent="0.4">
      <c r="B73" s="137"/>
      <c r="C73" s="13" t="s">
        <v>10</v>
      </c>
      <c r="D73" s="18">
        <f t="shared" si="6"/>
        <v>0.32500000000000001</v>
      </c>
      <c r="E73" s="12">
        <v>0.5</v>
      </c>
      <c r="F73" s="8">
        <f t="shared" si="7"/>
        <v>0</v>
      </c>
      <c r="G73" s="8">
        <f t="shared" si="8"/>
        <v>0</v>
      </c>
      <c r="H73" s="56"/>
      <c r="I73" s="57"/>
      <c r="J73" s="57"/>
      <c r="K73" s="57"/>
      <c r="L73" s="58"/>
    </row>
    <row r="74" spans="2:12" ht="18" customHeight="1" x14ac:dyDescent="0.4">
      <c r="B74" s="125"/>
      <c r="C74" s="13" t="s">
        <v>9</v>
      </c>
      <c r="D74" s="18">
        <f t="shared" si="6"/>
        <v>0.65</v>
      </c>
      <c r="E74" s="12">
        <v>1</v>
      </c>
      <c r="F74" s="8">
        <f t="shared" si="7"/>
        <v>0</v>
      </c>
      <c r="G74" s="8">
        <f t="shared" si="8"/>
        <v>0</v>
      </c>
      <c r="H74" s="59"/>
      <c r="I74" s="60"/>
      <c r="J74" s="60"/>
      <c r="K74" s="60"/>
      <c r="L74" s="61"/>
    </row>
    <row r="75" spans="2:12" ht="18" customHeight="1" x14ac:dyDescent="0.4">
      <c r="B75" s="148" t="s">
        <v>226</v>
      </c>
      <c r="C75" s="13" t="s">
        <v>62</v>
      </c>
      <c r="D75" s="17">
        <f t="shared" si="6"/>
        <v>29.25</v>
      </c>
      <c r="E75" s="13">
        <v>45</v>
      </c>
      <c r="F75" s="8">
        <f t="shared" si="7"/>
        <v>0</v>
      </c>
      <c r="G75" s="8">
        <f t="shared" si="8"/>
        <v>0</v>
      </c>
      <c r="H75" s="88" t="s">
        <v>227</v>
      </c>
      <c r="I75" s="89"/>
      <c r="J75" s="89"/>
      <c r="K75" s="89"/>
      <c r="L75" s="90"/>
    </row>
    <row r="76" spans="2:12" ht="18" customHeight="1" x14ac:dyDescent="0.4">
      <c r="B76" s="148"/>
      <c r="C76" s="13" t="s">
        <v>110</v>
      </c>
      <c r="D76" s="17">
        <f t="shared" si="6"/>
        <v>9.75</v>
      </c>
      <c r="E76" s="13">
        <v>15</v>
      </c>
      <c r="F76" s="8">
        <f t="shared" si="7"/>
        <v>0</v>
      </c>
      <c r="G76" s="8">
        <f t="shared" si="8"/>
        <v>0</v>
      </c>
      <c r="H76" s="91"/>
      <c r="I76" s="92"/>
      <c r="J76" s="92"/>
      <c r="K76" s="92"/>
      <c r="L76" s="93"/>
    </row>
    <row r="77" spans="2:12" ht="18" customHeight="1" x14ac:dyDescent="0.4">
      <c r="B77" s="148"/>
      <c r="C77" s="13" t="s">
        <v>72</v>
      </c>
      <c r="D77" s="17">
        <f t="shared" si="6"/>
        <v>19.5</v>
      </c>
      <c r="E77" s="13">
        <v>30</v>
      </c>
      <c r="F77" s="8">
        <f t="shared" si="7"/>
        <v>0</v>
      </c>
      <c r="G77" s="8">
        <f t="shared" si="8"/>
        <v>0</v>
      </c>
      <c r="H77" s="91"/>
      <c r="I77" s="92"/>
      <c r="J77" s="92"/>
      <c r="K77" s="92"/>
      <c r="L77" s="93"/>
    </row>
    <row r="78" spans="2:12" ht="18" customHeight="1" x14ac:dyDescent="0.4">
      <c r="B78" s="148"/>
      <c r="C78" s="13" t="s">
        <v>61</v>
      </c>
      <c r="D78" s="17">
        <f t="shared" si="6"/>
        <v>0.65</v>
      </c>
      <c r="E78" s="13">
        <v>1</v>
      </c>
      <c r="F78" s="8">
        <f t="shared" si="7"/>
        <v>0</v>
      </c>
      <c r="G78" s="8">
        <f t="shared" si="8"/>
        <v>0</v>
      </c>
      <c r="H78" s="91"/>
      <c r="I78" s="92"/>
      <c r="J78" s="92"/>
      <c r="K78" s="92"/>
      <c r="L78" s="93"/>
    </row>
    <row r="79" spans="2:12" ht="18" customHeight="1" x14ac:dyDescent="0.4">
      <c r="B79" s="148"/>
      <c r="C79" s="13" t="s">
        <v>64</v>
      </c>
      <c r="D79" s="17">
        <f t="shared" si="6"/>
        <v>1.3</v>
      </c>
      <c r="E79" s="13">
        <v>2</v>
      </c>
      <c r="F79" s="8">
        <f t="shared" si="7"/>
        <v>0</v>
      </c>
      <c r="G79" s="8">
        <f t="shared" si="8"/>
        <v>0</v>
      </c>
      <c r="H79" s="91"/>
      <c r="I79" s="92"/>
      <c r="J79" s="92"/>
      <c r="K79" s="92"/>
      <c r="L79" s="93"/>
    </row>
    <row r="80" spans="2:12" ht="18" customHeight="1" x14ac:dyDescent="0.4">
      <c r="B80" s="148"/>
      <c r="C80" s="13" t="s">
        <v>79</v>
      </c>
      <c r="D80" s="9">
        <f t="shared" si="6"/>
        <v>1.9500000000000002</v>
      </c>
      <c r="E80" s="13">
        <v>3</v>
      </c>
      <c r="F80" s="8">
        <f t="shared" si="7"/>
        <v>0</v>
      </c>
      <c r="G80" s="8">
        <f t="shared" si="8"/>
        <v>0</v>
      </c>
      <c r="H80" s="91"/>
      <c r="I80" s="92"/>
      <c r="J80" s="92"/>
      <c r="K80" s="92"/>
      <c r="L80" s="93"/>
    </row>
    <row r="81" spans="2:12" ht="18" customHeight="1" x14ac:dyDescent="0.4">
      <c r="B81" s="148"/>
      <c r="C81" s="13" t="s">
        <v>74</v>
      </c>
      <c r="D81" s="17">
        <f t="shared" si="6"/>
        <v>0.65</v>
      </c>
      <c r="E81" s="13">
        <v>1</v>
      </c>
      <c r="F81" s="8">
        <f t="shared" si="7"/>
        <v>0</v>
      </c>
      <c r="G81" s="8">
        <f t="shared" si="8"/>
        <v>0</v>
      </c>
      <c r="H81" s="91"/>
      <c r="I81" s="92"/>
      <c r="J81" s="92"/>
      <c r="K81" s="92"/>
      <c r="L81" s="93"/>
    </row>
    <row r="82" spans="2:12" ht="18" customHeight="1" x14ac:dyDescent="0.4">
      <c r="B82" s="148"/>
      <c r="C82" s="13" t="s">
        <v>75</v>
      </c>
      <c r="D82" s="17">
        <f t="shared" si="6"/>
        <v>6.5000000000000002E-2</v>
      </c>
      <c r="E82" s="13">
        <v>0.1</v>
      </c>
      <c r="F82" s="8">
        <f t="shared" si="7"/>
        <v>0</v>
      </c>
      <c r="G82" s="8">
        <f t="shared" si="8"/>
        <v>0</v>
      </c>
      <c r="H82" s="91"/>
      <c r="I82" s="92"/>
      <c r="J82" s="92"/>
      <c r="K82" s="92"/>
      <c r="L82" s="93"/>
    </row>
    <row r="83" spans="2:12" ht="18" customHeight="1" x14ac:dyDescent="0.4">
      <c r="B83" s="148"/>
      <c r="C83" s="13" t="s">
        <v>83</v>
      </c>
      <c r="D83" s="17">
        <f t="shared" si="6"/>
        <v>0.65</v>
      </c>
      <c r="E83" s="13">
        <v>1</v>
      </c>
      <c r="F83" s="8">
        <f t="shared" si="7"/>
        <v>0</v>
      </c>
      <c r="G83" s="8">
        <f t="shared" si="8"/>
        <v>0</v>
      </c>
      <c r="H83" s="91"/>
      <c r="I83" s="92"/>
      <c r="J83" s="92"/>
      <c r="K83" s="92"/>
      <c r="L83" s="93"/>
    </row>
    <row r="84" spans="2:12" ht="18" customHeight="1" x14ac:dyDescent="0.4">
      <c r="B84" s="148"/>
      <c r="C84" s="13" t="s">
        <v>65</v>
      </c>
      <c r="D84" s="17">
        <f t="shared" si="6"/>
        <v>0.65</v>
      </c>
      <c r="E84" s="13">
        <v>1</v>
      </c>
      <c r="F84" s="8">
        <f t="shared" si="7"/>
        <v>0</v>
      </c>
      <c r="G84" s="8">
        <f t="shared" si="8"/>
        <v>0</v>
      </c>
      <c r="H84" s="91"/>
      <c r="I84" s="92"/>
      <c r="J84" s="92"/>
      <c r="K84" s="92"/>
      <c r="L84" s="93"/>
    </row>
    <row r="85" spans="2:12" ht="18" customHeight="1" x14ac:dyDescent="0.4">
      <c r="B85" s="148"/>
      <c r="C85" s="13" t="s">
        <v>14</v>
      </c>
      <c r="D85" s="17">
        <f t="shared" si="6"/>
        <v>0.65</v>
      </c>
      <c r="E85" s="13">
        <v>1</v>
      </c>
      <c r="F85" s="8">
        <f t="shared" si="7"/>
        <v>0</v>
      </c>
      <c r="G85" s="8">
        <f t="shared" si="8"/>
        <v>0</v>
      </c>
      <c r="H85" s="91"/>
      <c r="I85" s="92"/>
      <c r="J85" s="92"/>
      <c r="K85" s="92"/>
      <c r="L85" s="93"/>
    </row>
    <row r="86" spans="2:12" ht="18" customHeight="1" x14ac:dyDescent="0.4">
      <c r="B86" s="144" t="s">
        <v>117</v>
      </c>
      <c r="C86" s="13" t="s">
        <v>34</v>
      </c>
      <c r="D86" s="8">
        <f t="shared" si="6"/>
        <v>19.5</v>
      </c>
      <c r="E86" s="13">
        <v>30</v>
      </c>
      <c r="F86" s="8">
        <f t="shared" si="7"/>
        <v>0</v>
      </c>
      <c r="G86" s="8">
        <f t="shared" si="8"/>
        <v>0</v>
      </c>
      <c r="H86" s="88" t="s">
        <v>228</v>
      </c>
      <c r="I86" s="89"/>
      <c r="J86" s="89"/>
      <c r="K86" s="89"/>
      <c r="L86" s="90"/>
    </row>
    <row r="87" spans="2:12" ht="18" customHeight="1" x14ac:dyDescent="0.4">
      <c r="B87" s="144"/>
      <c r="C87" s="13" t="s">
        <v>40</v>
      </c>
      <c r="D87" s="18">
        <f t="shared" si="6"/>
        <v>0.19500000000000001</v>
      </c>
      <c r="E87" s="13">
        <v>0.3</v>
      </c>
      <c r="F87" s="8">
        <f t="shared" si="7"/>
        <v>0</v>
      </c>
      <c r="G87" s="8">
        <f t="shared" si="8"/>
        <v>0</v>
      </c>
      <c r="H87" s="91"/>
      <c r="I87" s="92"/>
      <c r="J87" s="92"/>
      <c r="K87" s="92"/>
      <c r="L87" s="93"/>
    </row>
    <row r="88" spans="2:12" ht="18" customHeight="1" x14ac:dyDescent="0.4">
      <c r="B88" s="144"/>
      <c r="C88" s="13" t="s">
        <v>19</v>
      </c>
      <c r="D88" s="18">
        <f t="shared" si="6"/>
        <v>0.13</v>
      </c>
      <c r="E88" s="13">
        <v>0.2</v>
      </c>
      <c r="F88" s="8">
        <f t="shared" si="7"/>
        <v>0</v>
      </c>
      <c r="G88" s="8">
        <f t="shared" si="8"/>
        <v>0</v>
      </c>
      <c r="H88" s="91"/>
      <c r="I88" s="92"/>
      <c r="J88" s="92"/>
      <c r="K88" s="92"/>
      <c r="L88" s="93"/>
    </row>
    <row r="89" spans="2:12" ht="18" customHeight="1" x14ac:dyDescent="0.4">
      <c r="B89" s="144"/>
      <c r="C89" s="13" t="s">
        <v>10</v>
      </c>
      <c r="D89" s="18">
        <f t="shared" si="6"/>
        <v>6.5000000000000002E-2</v>
      </c>
      <c r="E89" s="13">
        <v>0.1</v>
      </c>
      <c r="F89" s="8">
        <f t="shared" si="7"/>
        <v>0</v>
      </c>
      <c r="G89" s="8">
        <f t="shared" si="8"/>
        <v>0</v>
      </c>
      <c r="H89" s="91"/>
      <c r="I89" s="92"/>
      <c r="J89" s="92"/>
      <c r="K89" s="92"/>
      <c r="L89" s="93"/>
    </row>
    <row r="90" spans="2:12" ht="18" customHeight="1" x14ac:dyDescent="0.4">
      <c r="B90" s="144"/>
      <c r="C90" s="13" t="s">
        <v>9</v>
      </c>
      <c r="D90" s="18">
        <f t="shared" si="6"/>
        <v>0.13</v>
      </c>
      <c r="E90" s="13">
        <v>0.2</v>
      </c>
      <c r="F90" s="8">
        <f t="shared" si="7"/>
        <v>0</v>
      </c>
      <c r="G90" s="8">
        <f t="shared" si="8"/>
        <v>0</v>
      </c>
      <c r="H90" s="91"/>
      <c r="I90" s="92"/>
      <c r="J90" s="92"/>
      <c r="K90" s="92"/>
      <c r="L90" s="93"/>
    </row>
    <row r="91" spans="2:12" ht="18" customHeight="1" x14ac:dyDescent="0.4">
      <c r="B91" s="144"/>
      <c r="C91" s="13" t="s">
        <v>8</v>
      </c>
      <c r="D91" s="18">
        <f t="shared" si="6"/>
        <v>0.13</v>
      </c>
      <c r="E91" s="13">
        <v>0.2</v>
      </c>
      <c r="F91" s="8">
        <f t="shared" si="7"/>
        <v>0</v>
      </c>
      <c r="G91" s="8">
        <f t="shared" si="8"/>
        <v>0</v>
      </c>
      <c r="H91" s="98"/>
      <c r="I91" s="99"/>
      <c r="J91" s="99"/>
      <c r="K91" s="99"/>
      <c r="L91" s="100"/>
    </row>
    <row r="92" spans="2:12" ht="18" customHeight="1" thickBot="1" x14ac:dyDescent="0.45">
      <c r="B92" s="133" t="s">
        <v>66</v>
      </c>
      <c r="C92" s="34" t="s">
        <v>67</v>
      </c>
      <c r="D92" s="37">
        <f t="shared" si="6"/>
        <v>13</v>
      </c>
      <c r="E92" s="21">
        <v>20</v>
      </c>
      <c r="F92" s="22">
        <f t="shared" si="7"/>
        <v>0</v>
      </c>
      <c r="G92" s="22">
        <f t="shared" si="8"/>
        <v>0</v>
      </c>
      <c r="H92" s="73" t="s">
        <v>54</v>
      </c>
      <c r="I92" s="74"/>
      <c r="J92" s="74"/>
      <c r="K92" s="74"/>
      <c r="L92" s="75"/>
    </row>
    <row r="93" spans="2:12" ht="80.099999999999994" customHeight="1" thickTop="1" x14ac:dyDescent="0.4">
      <c r="B93" s="84"/>
      <c r="C93" s="84"/>
      <c r="D93" s="84"/>
      <c r="E93" s="84"/>
      <c r="F93" s="84"/>
      <c r="G93" s="84"/>
      <c r="H93" s="84"/>
      <c r="I93" s="84"/>
      <c r="J93" s="84"/>
      <c r="K93" s="84"/>
      <c r="L93" s="84"/>
    </row>
    <row r="94" spans="2:12" ht="18" customHeight="1" thickBot="1" x14ac:dyDescent="0.45"/>
    <row r="95" spans="2:12" ht="21" customHeight="1" thickTop="1" x14ac:dyDescent="0.4">
      <c r="B95" s="145" t="s">
        <v>123</v>
      </c>
      <c r="C95" s="146"/>
      <c r="D95" s="146"/>
      <c r="E95" s="146"/>
      <c r="F95" s="146"/>
      <c r="G95" s="146"/>
      <c r="H95" s="146"/>
      <c r="I95" s="146"/>
      <c r="J95" s="146"/>
      <c r="K95" s="146"/>
      <c r="L95" s="147"/>
    </row>
    <row r="96" spans="2:12" ht="18" customHeight="1" x14ac:dyDescent="0.4">
      <c r="B96" s="96" t="s">
        <v>3</v>
      </c>
      <c r="C96" s="94" t="s">
        <v>4</v>
      </c>
      <c r="D96" s="94" t="s">
        <v>5</v>
      </c>
      <c r="E96" s="94"/>
      <c r="F96" s="94" t="s">
        <v>6</v>
      </c>
      <c r="G96" s="94"/>
      <c r="H96" s="94" t="s">
        <v>7</v>
      </c>
      <c r="I96" s="94"/>
      <c r="J96" s="94"/>
      <c r="K96" s="94"/>
      <c r="L96" s="95"/>
    </row>
    <row r="97" spans="2:12" ht="18" customHeight="1" x14ac:dyDescent="0.4">
      <c r="B97" s="96"/>
      <c r="C97" s="94"/>
      <c r="D97" s="5" t="s">
        <v>1</v>
      </c>
      <c r="E97" s="5" t="s">
        <v>2</v>
      </c>
      <c r="F97" s="6" t="s">
        <v>1</v>
      </c>
      <c r="G97" s="7" t="s">
        <v>2</v>
      </c>
      <c r="H97" s="94"/>
      <c r="I97" s="94"/>
      <c r="J97" s="94"/>
      <c r="K97" s="94"/>
      <c r="L97" s="95"/>
    </row>
    <row r="98" spans="2:12" ht="18" customHeight="1" x14ac:dyDescent="0.4">
      <c r="B98" s="124" t="s">
        <v>87</v>
      </c>
      <c r="C98" s="13" t="s">
        <v>58</v>
      </c>
      <c r="D98" s="14">
        <f t="shared" ref="D98:D115" si="9">E98*0.65</f>
        <v>32.5</v>
      </c>
      <c r="E98" s="12">
        <v>50</v>
      </c>
      <c r="F98" s="8">
        <f t="shared" ref="F98:F115" si="10">D98*D$2</f>
        <v>0</v>
      </c>
      <c r="G98" s="8">
        <f t="shared" ref="G98:G115" si="11">E98*D$3</f>
        <v>0</v>
      </c>
      <c r="H98" s="53" t="s">
        <v>149</v>
      </c>
      <c r="I98" s="54"/>
      <c r="J98" s="54"/>
      <c r="K98" s="54"/>
      <c r="L98" s="55"/>
    </row>
    <row r="99" spans="2:12" ht="18" customHeight="1" x14ac:dyDescent="0.4">
      <c r="B99" s="125"/>
      <c r="C99" s="13" t="s">
        <v>150</v>
      </c>
      <c r="D99" s="14">
        <f t="shared" si="9"/>
        <v>1.625</v>
      </c>
      <c r="E99" s="12">
        <v>2.5</v>
      </c>
      <c r="F99" s="8">
        <f t="shared" si="10"/>
        <v>0</v>
      </c>
      <c r="G99" s="8">
        <f t="shared" si="11"/>
        <v>0</v>
      </c>
      <c r="H99" s="59"/>
      <c r="I99" s="60"/>
      <c r="J99" s="60"/>
      <c r="K99" s="60"/>
      <c r="L99" s="61"/>
    </row>
    <row r="100" spans="2:12" ht="18" customHeight="1" x14ac:dyDescent="0.4">
      <c r="B100" s="130" t="s">
        <v>146</v>
      </c>
      <c r="C100" s="13" t="s">
        <v>47</v>
      </c>
      <c r="D100" s="8">
        <f t="shared" si="9"/>
        <v>13</v>
      </c>
      <c r="E100" s="13">
        <v>20</v>
      </c>
      <c r="F100" s="8">
        <f t="shared" si="10"/>
        <v>0</v>
      </c>
      <c r="G100" s="8">
        <f t="shared" si="11"/>
        <v>0</v>
      </c>
      <c r="H100" s="53" t="s">
        <v>175</v>
      </c>
      <c r="I100" s="54"/>
      <c r="J100" s="54"/>
      <c r="K100" s="54"/>
      <c r="L100" s="55"/>
    </row>
    <row r="101" spans="2:12" ht="18" customHeight="1" x14ac:dyDescent="0.4">
      <c r="B101" s="131"/>
      <c r="C101" s="13" t="s">
        <v>19</v>
      </c>
      <c r="D101" s="18">
        <f t="shared" si="9"/>
        <v>3.25</v>
      </c>
      <c r="E101" s="13">
        <v>5</v>
      </c>
      <c r="F101" s="8">
        <f t="shared" si="10"/>
        <v>0</v>
      </c>
      <c r="G101" s="8">
        <f t="shared" si="11"/>
        <v>0</v>
      </c>
      <c r="H101" s="56"/>
      <c r="I101" s="57"/>
      <c r="J101" s="57"/>
      <c r="K101" s="57"/>
      <c r="L101" s="58"/>
    </row>
    <row r="102" spans="2:12" ht="18" customHeight="1" x14ac:dyDescent="0.4">
      <c r="B102" s="131"/>
      <c r="C102" s="13" t="s">
        <v>22</v>
      </c>
      <c r="D102" s="8">
        <f t="shared" si="9"/>
        <v>1.3</v>
      </c>
      <c r="E102" s="13">
        <v>2</v>
      </c>
      <c r="F102" s="8">
        <f t="shared" si="10"/>
        <v>0</v>
      </c>
      <c r="G102" s="8">
        <f t="shared" si="11"/>
        <v>0</v>
      </c>
      <c r="H102" s="56"/>
      <c r="I102" s="57"/>
      <c r="J102" s="57"/>
      <c r="K102" s="57"/>
      <c r="L102" s="58"/>
    </row>
    <row r="103" spans="2:12" ht="18" customHeight="1" x14ac:dyDescent="0.4">
      <c r="B103" s="131"/>
      <c r="C103" s="13" t="s">
        <v>21</v>
      </c>
      <c r="D103" s="8">
        <f t="shared" si="9"/>
        <v>1.3</v>
      </c>
      <c r="E103" s="13">
        <v>2</v>
      </c>
      <c r="F103" s="8">
        <f t="shared" si="10"/>
        <v>0</v>
      </c>
      <c r="G103" s="8">
        <f t="shared" si="11"/>
        <v>0</v>
      </c>
      <c r="H103" s="56"/>
      <c r="I103" s="57"/>
      <c r="J103" s="57"/>
      <c r="K103" s="57"/>
      <c r="L103" s="58"/>
    </row>
    <row r="104" spans="2:12" ht="18" customHeight="1" x14ac:dyDescent="0.4">
      <c r="B104" s="131"/>
      <c r="C104" s="13" t="s">
        <v>61</v>
      </c>
      <c r="D104" s="18">
        <f t="shared" si="9"/>
        <v>0.32500000000000001</v>
      </c>
      <c r="E104" s="13">
        <v>0.5</v>
      </c>
      <c r="F104" s="8">
        <f t="shared" si="10"/>
        <v>0</v>
      </c>
      <c r="G104" s="8">
        <f t="shared" si="11"/>
        <v>0</v>
      </c>
      <c r="H104" s="56"/>
      <c r="I104" s="57"/>
      <c r="J104" s="57"/>
      <c r="K104" s="57"/>
      <c r="L104" s="58"/>
    </row>
    <row r="105" spans="2:12" ht="18" customHeight="1" x14ac:dyDescent="0.4">
      <c r="B105" s="132"/>
      <c r="C105" s="13" t="s">
        <v>10</v>
      </c>
      <c r="D105" s="18">
        <f t="shared" si="9"/>
        <v>0.32500000000000001</v>
      </c>
      <c r="E105" s="13">
        <v>0.5</v>
      </c>
      <c r="F105" s="8">
        <f t="shared" si="10"/>
        <v>0</v>
      </c>
      <c r="G105" s="8">
        <f t="shared" si="11"/>
        <v>0</v>
      </c>
      <c r="H105" s="59"/>
      <c r="I105" s="60"/>
      <c r="J105" s="60"/>
      <c r="K105" s="60"/>
      <c r="L105" s="61"/>
    </row>
    <row r="106" spans="2:12" ht="18" customHeight="1" x14ac:dyDescent="0.4">
      <c r="B106" s="156" t="s">
        <v>229</v>
      </c>
      <c r="C106" s="13" t="s">
        <v>230</v>
      </c>
      <c r="D106" s="20">
        <f t="shared" si="9"/>
        <v>26</v>
      </c>
      <c r="E106" s="12">
        <v>40</v>
      </c>
      <c r="F106" s="8">
        <f t="shared" si="10"/>
        <v>0</v>
      </c>
      <c r="G106" s="8">
        <f t="shared" si="11"/>
        <v>0</v>
      </c>
      <c r="H106" s="88" t="s">
        <v>231</v>
      </c>
      <c r="I106" s="89"/>
      <c r="J106" s="89"/>
      <c r="K106" s="89"/>
      <c r="L106" s="90"/>
    </row>
    <row r="107" spans="2:12" ht="18" customHeight="1" x14ac:dyDescent="0.4">
      <c r="B107" s="156"/>
      <c r="C107" s="13" t="s">
        <v>13</v>
      </c>
      <c r="D107" s="18">
        <f t="shared" si="9"/>
        <v>3.25</v>
      </c>
      <c r="E107" s="12">
        <v>5</v>
      </c>
      <c r="F107" s="8">
        <f t="shared" si="10"/>
        <v>0</v>
      </c>
      <c r="G107" s="8">
        <f t="shared" si="11"/>
        <v>0</v>
      </c>
      <c r="H107" s="91"/>
      <c r="I107" s="92"/>
      <c r="J107" s="92"/>
      <c r="K107" s="92"/>
      <c r="L107" s="93"/>
    </row>
    <row r="108" spans="2:12" ht="18" customHeight="1" x14ac:dyDescent="0.4">
      <c r="B108" s="156"/>
      <c r="C108" s="13" t="s">
        <v>12</v>
      </c>
      <c r="D108" s="18">
        <f t="shared" si="9"/>
        <v>1.3</v>
      </c>
      <c r="E108" s="12">
        <v>2</v>
      </c>
      <c r="F108" s="8">
        <f t="shared" si="10"/>
        <v>0</v>
      </c>
      <c r="G108" s="8">
        <f t="shared" si="11"/>
        <v>0</v>
      </c>
      <c r="H108" s="98"/>
      <c r="I108" s="99"/>
      <c r="J108" s="99"/>
      <c r="K108" s="99"/>
      <c r="L108" s="100"/>
    </row>
    <row r="109" spans="2:12" ht="18" customHeight="1" x14ac:dyDescent="0.4">
      <c r="B109" s="128" t="s">
        <v>232</v>
      </c>
      <c r="C109" s="13" t="s">
        <v>25</v>
      </c>
      <c r="D109" s="9">
        <f t="shared" si="9"/>
        <v>26</v>
      </c>
      <c r="E109" s="13">
        <v>40</v>
      </c>
      <c r="F109" s="8">
        <f t="shared" si="10"/>
        <v>0</v>
      </c>
      <c r="G109" s="8">
        <f t="shared" si="11"/>
        <v>0</v>
      </c>
      <c r="H109" s="53" t="s">
        <v>233</v>
      </c>
      <c r="I109" s="54"/>
      <c r="J109" s="54"/>
      <c r="K109" s="54"/>
      <c r="L109" s="55"/>
    </row>
    <row r="110" spans="2:12" ht="18" customHeight="1" x14ac:dyDescent="0.4">
      <c r="B110" s="129"/>
      <c r="C110" s="13" t="s">
        <v>64</v>
      </c>
      <c r="D110" s="17">
        <f t="shared" si="9"/>
        <v>0.65</v>
      </c>
      <c r="E110" s="13">
        <v>1</v>
      </c>
      <c r="F110" s="8">
        <f t="shared" si="10"/>
        <v>0</v>
      </c>
      <c r="G110" s="8">
        <f t="shared" si="11"/>
        <v>0</v>
      </c>
      <c r="H110" s="56"/>
      <c r="I110" s="57"/>
      <c r="J110" s="57"/>
      <c r="K110" s="57"/>
      <c r="L110" s="58"/>
    </row>
    <row r="111" spans="2:12" ht="18" customHeight="1" x14ac:dyDescent="0.4">
      <c r="B111" s="129"/>
      <c r="C111" s="13" t="s">
        <v>61</v>
      </c>
      <c r="D111" s="17">
        <f t="shared" si="9"/>
        <v>0.32500000000000001</v>
      </c>
      <c r="E111" s="13">
        <v>0.5</v>
      </c>
      <c r="F111" s="8">
        <f t="shared" si="10"/>
        <v>0</v>
      </c>
      <c r="G111" s="8">
        <f t="shared" si="11"/>
        <v>0</v>
      </c>
      <c r="H111" s="56"/>
      <c r="I111" s="57"/>
      <c r="J111" s="57"/>
      <c r="K111" s="57"/>
      <c r="L111" s="58"/>
    </row>
    <row r="112" spans="2:12" ht="18" customHeight="1" x14ac:dyDescent="0.4">
      <c r="B112" s="129"/>
      <c r="C112" s="13" t="s">
        <v>9</v>
      </c>
      <c r="D112" s="17">
        <f t="shared" si="9"/>
        <v>0.32500000000000001</v>
      </c>
      <c r="E112" s="13">
        <v>0.5</v>
      </c>
      <c r="F112" s="8">
        <f t="shared" si="10"/>
        <v>0</v>
      </c>
      <c r="G112" s="8">
        <f t="shared" si="11"/>
        <v>0</v>
      </c>
      <c r="H112" s="56"/>
      <c r="I112" s="57"/>
      <c r="J112" s="57"/>
      <c r="K112" s="57"/>
      <c r="L112" s="58"/>
    </row>
    <row r="113" spans="2:12" ht="18" customHeight="1" x14ac:dyDescent="0.4">
      <c r="B113" s="129"/>
      <c r="C113" s="13" t="s">
        <v>10</v>
      </c>
      <c r="D113" s="17">
        <f t="shared" si="9"/>
        <v>0.13</v>
      </c>
      <c r="E113" s="13">
        <v>0.2</v>
      </c>
      <c r="F113" s="8">
        <f t="shared" si="10"/>
        <v>0</v>
      </c>
      <c r="G113" s="8">
        <f t="shared" si="11"/>
        <v>0</v>
      </c>
      <c r="H113" s="56"/>
      <c r="I113" s="57"/>
      <c r="J113" s="57"/>
      <c r="K113" s="57"/>
      <c r="L113" s="58"/>
    </row>
    <row r="114" spans="2:12" ht="18" customHeight="1" x14ac:dyDescent="0.4">
      <c r="B114" s="138"/>
      <c r="C114" s="13" t="s">
        <v>8</v>
      </c>
      <c r="D114" s="17">
        <f t="shared" si="9"/>
        <v>0.13</v>
      </c>
      <c r="E114" s="13">
        <v>0.2</v>
      </c>
      <c r="F114" s="8">
        <f t="shared" si="10"/>
        <v>0</v>
      </c>
      <c r="G114" s="8">
        <f t="shared" si="11"/>
        <v>0</v>
      </c>
      <c r="H114" s="59"/>
      <c r="I114" s="60"/>
      <c r="J114" s="60"/>
      <c r="K114" s="60"/>
      <c r="L114" s="61"/>
    </row>
    <row r="115" spans="2:12" ht="18" customHeight="1" thickBot="1" x14ac:dyDescent="0.45">
      <c r="B115" s="133" t="s">
        <v>66</v>
      </c>
      <c r="C115" s="34" t="s">
        <v>67</v>
      </c>
      <c r="D115" s="37">
        <f t="shared" si="9"/>
        <v>13</v>
      </c>
      <c r="E115" s="21">
        <v>20</v>
      </c>
      <c r="F115" s="22">
        <f t="shared" si="10"/>
        <v>0</v>
      </c>
      <c r="G115" s="22">
        <f t="shared" si="11"/>
        <v>0</v>
      </c>
      <c r="H115" s="73" t="s">
        <v>54</v>
      </c>
      <c r="I115" s="74"/>
      <c r="J115" s="74"/>
      <c r="K115" s="74"/>
      <c r="L115" s="75"/>
    </row>
    <row r="116" spans="2:12" ht="80.099999999999994" customHeight="1" thickTop="1" x14ac:dyDescent="0.4"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</row>
    <row r="117" spans="2:12" ht="18" customHeight="1" thickBot="1" x14ac:dyDescent="0.45"/>
    <row r="118" spans="2:12" ht="21" customHeight="1" thickTop="1" x14ac:dyDescent="0.4">
      <c r="B118" s="145" t="s">
        <v>126</v>
      </c>
      <c r="C118" s="146"/>
      <c r="D118" s="146"/>
      <c r="E118" s="146"/>
      <c r="F118" s="146"/>
      <c r="G118" s="146"/>
      <c r="H118" s="146"/>
      <c r="I118" s="146"/>
      <c r="J118" s="146"/>
      <c r="K118" s="146"/>
      <c r="L118" s="147"/>
    </row>
    <row r="119" spans="2:12" ht="18" customHeight="1" x14ac:dyDescent="0.4">
      <c r="B119" s="96" t="s">
        <v>3</v>
      </c>
      <c r="C119" s="94" t="s">
        <v>4</v>
      </c>
      <c r="D119" s="94" t="s">
        <v>5</v>
      </c>
      <c r="E119" s="94"/>
      <c r="F119" s="94" t="s">
        <v>6</v>
      </c>
      <c r="G119" s="94"/>
      <c r="H119" s="94" t="s">
        <v>7</v>
      </c>
      <c r="I119" s="94"/>
      <c r="J119" s="94"/>
      <c r="K119" s="94"/>
      <c r="L119" s="95"/>
    </row>
    <row r="120" spans="2:12" ht="18" customHeight="1" x14ac:dyDescent="0.4">
      <c r="B120" s="96"/>
      <c r="C120" s="94"/>
      <c r="D120" s="5" t="s">
        <v>1</v>
      </c>
      <c r="E120" s="5" t="s">
        <v>2</v>
      </c>
      <c r="F120" s="6" t="s">
        <v>1</v>
      </c>
      <c r="G120" s="7" t="s">
        <v>2</v>
      </c>
      <c r="H120" s="94"/>
      <c r="I120" s="94"/>
      <c r="J120" s="94"/>
      <c r="K120" s="94"/>
      <c r="L120" s="95"/>
    </row>
    <row r="121" spans="2:12" ht="18" customHeight="1" x14ac:dyDescent="0.4">
      <c r="B121" s="140" t="s">
        <v>158</v>
      </c>
      <c r="C121" s="43" t="s">
        <v>30</v>
      </c>
      <c r="D121" s="17">
        <f t="shared" ref="D121:D141" si="12">E121*0.65</f>
        <v>32.5</v>
      </c>
      <c r="E121" s="12">
        <v>50</v>
      </c>
      <c r="F121" s="8">
        <f t="shared" ref="F121:F141" si="13">D121*D$2</f>
        <v>0</v>
      </c>
      <c r="G121" s="8">
        <f t="shared" ref="G121:G141" si="14">E121*D$3</f>
        <v>0</v>
      </c>
      <c r="H121" s="53" t="s">
        <v>159</v>
      </c>
      <c r="I121" s="54"/>
      <c r="J121" s="54"/>
      <c r="K121" s="54"/>
      <c r="L121" s="55"/>
    </row>
    <row r="122" spans="2:12" ht="18" customHeight="1" x14ac:dyDescent="0.4">
      <c r="B122" s="140"/>
      <c r="C122" s="43" t="s">
        <v>160</v>
      </c>
      <c r="D122" s="17">
        <f t="shared" si="12"/>
        <v>1.625</v>
      </c>
      <c r="E122" s="12">
        <v>2.5</v>
      </c>
      <c r="F122" s="8">
        <f t="shared" si="13"/>
        <v>0</v>
      </c>
      <c r="G122" s="8">
        <f t="shared" si="14"/>
        <v>0</v>
      </c>
      <c r="H122" s="59"/>
      <c r="I122" s="60"/>
      <c r="J122" s="60"/>
      <c r="K122" s="60"/>
      <c r="L122" s="61"/>
    </row>
    <row r="123" spans="2:12" ht="18" customHeight="1" x14ac:dyDescent="0.4">
      <c r="B123" s="130" t="s">
        <v>234</v>
      </c>
      <c r="C123" s="13" t="s">
        <v>46</v>
      </c>
      <c r="D123" s="9">
        <f t="shared" si="12"/>
        <v>13</v>
      </c>
      <c r="E123" s="12">
        <v>20</v>
      </c>
      <c r="F123" s="8">
        <f t="shared" si="13"/>
        <v>0</v>
      </c>
      <c r="G123" s="8">
        <f t="shared" si="14"/>
        <v>0</v>
      </c>
      <c r="H123" s="88" t="s">
        <v>235</v>
      </c>
      <c r="I123" s="89"/>
      <c r="J123" s="89"/>
      <c r="K123" s="89"/>
      <c r="L123" s="90"/>
    </row>
    <row r="124" spans="2:12" ht="18" customHeight="1" x14ac:dyDescent="0.4">
      <c r="B124" s="131"/>
      <c r="C124" s="13" t="s">
        <v>21</v>
      </c>
      <c r="D124" s="17">
        <f t="shared" si="12"/>
        <v>0.65</v>
      </c>
      <c r="E124" s="12">
        <v>1</v>
      </c>
      <c r="F124" s="8">
        <f t="shared" si="13"/>
        <v>0</v>
      </c>
      <c r="G124" s="8">
        <f t="shared" si="14"/>
        <v>0</v>
      </c>
      <c r="H124" s="91"/>
      <c r="I124" s="92"/>
      <c r="J124" s="92"/>
      <c r="K124" s="92"/>
      <c r="L124" s="93"/>
    </row>
    <row r="125" spans="2:12" ht="18" customHeight="1" x14ac:dyDescent="0.4">
      <c r="B125" s="131"/>
      <c r="C125" s="13" t="s">
        <v>22</v>
      </c>
      <c r="D125" s="17">
        <f t="shared" si="12"/>
        <v>0.65</v>
      </c>
      <c r="E125" s="12">
        <v>1</v>
      </c>
      <c r="F125" s="8">
        <f t="shared" si="13"/>
        <v>0</v>
      </c>
      <c r="G125" s="8">
        <f t="shared" si="14"/>
        <v>0</v>
      </c>
      <c r="H125" s="91"/>
      <c r="I125" s="92"/>
      <c r="J125" s="92"/>
      <c r="K125" s="92"/>
      <c r="L125" s="93"/>
    </row>
    <row r="126" spans="2:12" ht="18" customHeight="1" x14ac:dyDescent="0.4">
      <c r="B126" s="131"/>
      <c r="C126" s="13" t="s">
        <v>61</v>
      </c>
      <c r="D126" s="17">
        <f t="shared" si="12"/>
        <v>0.19500000000000001</v>
      </c>
      <c r="E126" s="12">
        <v>0.3</v>
      </c>
      <c r="F126" s="8">
        <f t="shared" si="13"/>
        <v>0</v>
      </c>
      <c r="G126" s="8">
        <f t="shared" si="14"/>
        <v>0</v>
      </c>
      <c r="H126" s="91"/>
      <c r="I126" s="92"/>
      <c r="J126" s="92"/>
      <c r="K126" s="92"/>
      <c r="L126" s="93"/>
    </row>
    <row r="127" spans="2:12" ht="18" customHeight="1" x14ac:dyDescent="0.4">
      <c r="B127" s="131"/>
      <c r="C127" s="13" t="s">
        <v>19</v>
      </c>
      <c r="D127" s="17">
        <f t="shared" si="12"/>
        <v>0.32500000000000001</v>
      </c>
      <c r="E127" s="12">
        <v>0.5</v>
      </c>
      <c r="F127" s="8">
        <f t="shared" si="13"/>
        <v>0</v>
      </c>
      <c r="G127" s="8">
        <f t="shared" si="14"/>
        <v>0</v>
      </c>
      <c r="H127" s="91"/>
      <c r="I127" s="92"/>
      <c r="J127" s="92"/>
      <c r="K127" s="92"/>
      <c r="L127" s="93"/>
    </row>
    <row r="128" spans="2:12" ht="18" customHeight="1" x14ac:dyDescent="0.4">
      <c r="B128" s="132"/>
      <c r="C128" s="13" t="s">
        <v>74</v>
      </c>
      <c r="D128" s="17">
        <f t="shared" si="12"/>
        <v>0.65</v>
      </c>
      <c r="E128" s="12">
        <v>1</v>
      </c>
      <c r="F128" s="8">
        <f t="shared" si="13"/>
        <v>0</v>
      </c>
      <c r="G128" s="8">
        <f t="shared" si="14"/>
        <v>0</v>
      </c>
      <c r="H128" s="98"/>
      <c r="I128" s="99"/>
      <c r="J128" s="99"/>
      <c r="K128" s="99"/>
      <c r="L128" s="100"/>
    </row>
    <row r="129" spans="2:12" ht="18" customHeight="1" x14ac:dyDescent="0.4">
      <c r="B129" s="140" t="s">
        <v>236</v>
      </c>
      <c r="C129" s="13" t="s">
        <v>92</v>
      </c>
      <c r="D129" s="16">
        <f t="shared" si="12"/>
        <v>26</v>
      </c>
      <c r="E129" s="13">
        <v>40</v>
      </c>
      <c r="F129" s="8">
        <f t="shared" si="13"/>
        <v>0</v>
      </c>
      <c r="G129" s="8">
        <f t="shared" si="14"/>
        <v>0</v>
      </c>
      <c r="H129" s="82" t="s">
        <v>237</v>
      </c>
      <c r="I129" s="82"/>
      <c r="J129" s="82"/>
      <c r="K129" s="82"/>
      <c r="L129" s="83"/>
    </row>
    <row r="130" spans="2:12" ht="18" customHeight="1" x14ac:dyDescent="0.4">
      <c r="B130" s="140"/>
      <c r="C130" s="13" t="s">
        <v>72</v>
      </c>
      <c r="D130" s="17">
        <f t="shared" si="12"/>
        <v>6.5</v>
      </c>
      <c r="E130" s="13">
        <v>10</v>
      </c>
      <c r="F130" s="8">
        <f t="shared" si="13"/>
        <v>0</v>
      </c>
      <c r="G130" s="8">
        <f t="shared" si="14"/>
        <v>0</v>
      </c>
      <c r="H130" s="82"/>
      <c r="I130" s="82"/>
      <c r="J130" s="82"/>
      <c r="K130" s="82"/>
      <c r="L130" s="83"/>
    </row>
    <row r="131" spans="2:12" ht="18" customHeight="1" x14ac:dyDescent="0.4">
      <c r="B131" s="140"/>
      <c r="C131" s="13" t="s">
        <v>76</v>
      </c>
      <c r="D131" s="17">
        <f t="shared" si="12"/>
        <v>1.3</v>
      </c>
      <c r="E131" s="13">
        <v>2</v>
      </c>
      <c r="F131" s="8">
        <f t="shared" si="13"/>
        <v>0</v>
      </c>
      <c r="G131" s="8">
        <f t="shared" si="14"/>
        <v>0</v>
      </c>
      <c r="H131" s="82"/>
      <c r="I131" s="82"/>
      <c r="J131" s="82"/>
      <c r="K131" s="82"/>
      <c r="L131" s="83"/>
    </row>
    <row r="132" spans="2:12" ht="18" customHeight="1" x14ac:dyDescent="0.4">
      <c r="B132" s="140"/>
      <c r="C132" s="13" t="s">
        <v>74</v>
      </c>
      <c r="D132" s="17">
        <f t="shared" si="12"/>
        <v>0.65</v>
      </c>
      <c r="E132" s="13">
        <v>1</v>
      </c>
      <c r="F132" s="8">
        <f t="shared" si="13"/>
        <v>0</v>
      </c>
      <c r="G132" s="8">
        <f t="shared" si="14"/>
        <v>0</v>
      </c>
      <c r="H132" s="82"/>
      <c r="I132" s="82"/>
      <c r="J132" s="82"/>
      <c r="K132" s="82"/>
      <c r="L132" s="83"/>
    </row>
    <row r="133" spans="2:12" ht="18" customHeight="1" x14ac:dyDescent="0.4">
      <c r="B133" s="140"/>
      <c r="C133" s="13" t="s">
        <v>178</v>
      </c>
      <c r="D133" s="17">
        <f t="shared" si="12"/>
        <v>0.65</v>
      </c>
      <c r="E133" s="13">
        <v>1</v>
      </c>
      <c r="F133" s="8">
        <f t="shared" si="13"/>
        <v>0</v>
      </c>
      <c r="G133" s="8">
        <f t="shared" si="14"/>
        <v>0</v>
      </c>
      <c r="H133" s="82"/>
      <c r="I133" s="82"/>
      <c r="J133" s="82"/>
      <c r="K133" s="82"/>
      <c r="L133" s="83"/>
    </row>
    <row r="134" spans="2:12" ht="18" customHeight="1" x14ac:dyDescent="0.4">
      <c r="B134" s="140"/>
      <c r="C134" s="13" t="s">
        <v>75</v>
      </c>
      <c r="D134" s="17">
        <f t="shared" si="12"/>
        <v>0.13</v>
      </c>
      <c r="E134" s="13">
        <v>0.2</v>
      </c>
      <c r="F134" s="8">
        <f t="shared" si="13"/>
        <v>0</v>
      </c>
      <c r="G134" s="8">
        <f t="shared" si="14"/>
        <v>0</v>
      </c>
      <c r="H134" s="82"/>
      <c r="I134" s="82"/>
      <c r="J134" s="82"/>
      <c r="K134" s="82"/>
      <c r="L134" s="83"/>
    </row>
    <row r="135" spans="2:12" ht="18" customHeight="1" x14ac:dyDescent="0.4">
      <c r="B135" s="140" t="s">
        <v>238</v>
      </c>
      <c r="C135" s="13" t="s">
        <v>31</v>
      </c>
      <c r="D135" s="9">
        <f t="shared" si="12"/>
        <v>26</v>
      </c>
      <c r="E135" s="13">
        <v>40</v>
      </c>
      <c r="F135" s="8">
        <f t="shared" si="13"/>
        <v>0</v>
      </c>
      <c r="G135" s="8">
        <f t="shared" si="14"/>
        <v>0</v>
      </c>
      <c r="H135" s="88" t="s">
        <v>239</v>
      </c>
      <c r="I135" s="89"/>
      <c r="J135" s="89"/>
      <c r="K135" s="89"/>
      <c r="L135" s="90"/>
    </row>
    <row r="136" spans="2:12" ht="18" customHeight="1" x14ac:dyDescent="0.4">
      <c r="B136" s="140"/>
      <c r="C136" s="13" t="s">
        <v>10</v>
      </c>
      <c r="D136" s="17">
        <f t="shared" si="12"/>
        <v>0.65</v>
      </c>
      <c r="E136" s="13">
        <v>1</v>
      </c>
      <c r="F136" s="8">
        <f t="shared" si="13"/>
        <v>0</v>
      </c>
      <c r="G136" s="8">
        <f t="shared" si="14"/>
        <v>0</v>
      </c>
      <c r="H136" s="91"/>
      <c r="I136" s="92"/>
      <c r="J136" s="92"/>
      <c r="K136" s="92"/>
      <c r="L136" s="93"/>
    </row>
    <row r="137" spans="2:12" ht="18" customHeight="1" x14ac:dyDescent="0.4">
      <c r="B137" s="140"/>
      <c r="C137" s="13" t="s">
        <v>9</v>
      </c>
      <c r="D137" s="17">
        <f t="shared" si="12"/>
        <v>0.65</v>
      </c>
      <c r="E137" s="13">
        <v>1</v>
      </c>
      <c r="F137" s="8">
        <f t="shared" si="13"/>
        <v>0</v>
      </c>
      <c r="G137" s="8">
        <f t="shared" si="14"/>
        <v>0</v>
      </c>
      <c r="H137" s="91"/>
      <c r="I137" s="92"/>
      <c r="J137" s="92"/>
      <c r="K137" s="92"/>
      <c r="L137" s="93"/>
    </row>
    <row r="138" spans="2:12" ht="18" customHeight="1" x14ac:dyDescent="0.4">
      <c r="B138" s="140"/>
      <c r="C138" s="13" t="s">
        <v>19</v>
      </c>
      <c r="D138" s="17">
        <f t="shared" si="12"/>
        <v>0.32500000000000001</v>
      </c>
      <c r="E138" s="13">
        <v>0.5</v>
      </c>
      <c r="F138" s="8">
        <f t="shared" si="13"/>
        <v>0</v>
      </c>
      <c r="G138" s="8">
        <f t="shared" si="14"/>
        <v>0</v>
      </c>
      <c r="H138" s="91"/>
      <c r="I138" s="92"/>
      <c r="J138" s="92"/>
      <c r="K138" s="92"/>
      <c r="L138" s="93"/>
    </row>
    <row r="139" spans="2:12" ht="18" customHeight="1" x14ac:dyDescent="0.4">
      <c r="B139" s="140"/>
      <c r="C139" s="13" t="s">
        <v>61</v>
      </c>
      <c r="D139" s="17">
        <f t="shared" si="12"/>
        <v>0.32500000000000001</v>
      </c>
      <c r="E139" s="13">
        <v>0.5</v>
      </c>
      <c r="F139" s="8">
        <f t="shared" si="13"/>
        <v>0</v>
      </c>
      <c r="G139" s="8">
        <f t="shared" si="14"/>
        <v>0</v>
      </c>
      <c r="H139" s="91"/>
      <c r="I139" s="92"/>
      <c r="J139" s="92"/>
      <c r="K139" s="92"/>
      <c r="L139" s="93"/>
    </row>
    <row r="140" spans="2:12" ht="18" customHeight="1" x14ac:dyDescent="0.4">
      <c r="B140" s="140"/>
      <c r="C140" s="13" t="s">
        <v>8</v>
      </c>
      <c r="D140" s="17">
        <f t="shared" si="12"/>
        <v>0.13</v>
      </c>
      <c r="E140" s="13">
        <v>0.2</v>
      </c>
      <c r="F140" s="8">
        <f t="shared" si="13"/>
        <v>0</v>
      </c>
      <c r="G140" s="8">
        <f t="shared" si="14"/>
        <v>0</v>
      </c>
      <c r="H140" s="98"/>
      <c r="I140" s="99"/>
      <c r="J140" s="99"/>
      <c r="K140" s="99"/>
      <c r="L140" s="100"/>
    </row>
    <row r="141" spans="2:12" ht="18" customHeight="1" thickBot="1" x14ac:dyDescent="0.45">
      <c r="B141" s="155" t="s">
        <v>118</v>
      </c>
      <c r="C141" s="36" t="s">
        <v>119</v>
      </c>
      <c r="D141" s="22">
        <f t="shared" si="12"/>
        <v>13</v>
      </c>
      <c r="E141" s="21">
        <v>20</v>
      </c>
      <c r="F141" s="22">
        <f t="shared" si="13"/>
        <v>0</v>
      </c>
      <c r="G141" s="22">
        <f t="shared" si="14"/>
        <v>0</v>
      </c>
      <c r="H141" s="114" t="s">
        <v>53</v>
      </c>
      <c r="I141" s="114"/>
      <c r="J141" s="114"/>
      <c r="K141" s="114"/>
      <c r="L141" s="115"/>
    </row>
    <row r="142" spans="2:12" ht="80.099999999999994" customHeight="1" thickTop="1" x14ac:dyDescent="0.4">
      <c r="B142" s="97"/>
      <c r="C142" s="97"/>
      <c r="D142" s="97"/>
      <c r="E142" s="97"/>
      <c r="F142" s="97"/>
      <c r="G142" s="97"/>
      <c r="H142" s="97"/>
      <c r="I142" s="97"/>
      <c r="J142" s="97"/>
      <c r="K142" s="97"/>
      <c r="L142" s="97"/>
    </row>
    <row r="143" spans="2:12" ht="18" customHeight="1" x14ac:dyDescent="0.4"/>
    <row r="144" spans="2:12" x14ac:dyDescent="0.4">
      <c r="B144" s="157"/>
      <c r="C144" s="24"/>
      <c r="D144" s="158"/>
      <c r="E144" s="24"/>
      <c r="F144" s="159"/>
      <c r="G144" s="25"/>
      <c r="H144" s="38"/>
      <c r="I144" s="38"/>
      <c r="J144" s="38"/>
      <c r="K144" s="38"/>
      <c r="L144" s="38"/>
    </row>
    <row r="145" spans="2:12" x14ac:dyDescent="0.4">
      <c r="B145" s="160"/>
      <c r="C145" s="24"/>
      <c r="D145" s="161"/>
      <c r="E145" s="24"/>
      <c r="F145" s="25"/>
      <c r="G145" s="25"/>
      <c r="H145" s="38"/>
      <c r="I145" s="38"/>
      <c r="J145" s="38"/>
      <c r="K145" s="38"/>
      <c r="L145" s="38"/>
    </row>
    <row r="146" spans="2:12" x14ac:dyDescent="0.4">
      <c r="B146" s="160"/>
      <c r="C146" s="24"/>
      <c r="D146" s="162"/>
      <c r="E146" s="24"/>
      <c r="F146" s="25"/>
      <c r="G146" s="25"/>
      <c r="H146" s="38"/>
      <c r="I146" s="38"/>
      <c r="J146" s="38"/>
      <c r="K146" s="38"/>
      <c r="L146" s="38"/>
    </row>
    <row r="147" spans="2:12" ht="16.5" customHeight="1" x14ac:dyDescent="0.4">
      <c r="B147" s="24"/>
      <c r="C147" s="24"/>
      <c r="D147" s="163"/>
      <c r="E147" s="24"/>
      <c r="F147" s="159"/>
      <c r="G147" s="25"/>
      <c r="H147" s="38"/>
      <c r="I147" s="38"/>
      <c r="J147" s="38"/>
      <c r="K147" s="38"/>
      <c r="L147" s="38"/>
    </row>
    <row r="148" spans="2:12" ht="16.5" customHeight="1" x14ac:dyDescent="0.4">
      <c r="B148" s="157"/>
      <c r="C148" s="24"/>
      <c r="D148" s="158"/>
      <c r="E148" s="24"/>
      <c r="F148" s="159"/>
      <c r="G148" s="25"/>
      <c r="H148" s="38"/>
      <c r="I148" s="38"/>
      <c r="J148" s="38"/>
      <c r="K148" s="38"/>
      <c r="L148" s="38"/>
    </row>
    <row r="149" spans="2:12" ht="16.5" customHeight="1" x14ac:dyDescent="0.4">
      <c r="B149" s="157"/>
      <c r="C149" s="24"/>
      <c r="D149" s="163"/>
      <c r="E149" s="24"/>
      <c r="F149" s="159"/>
      <c r="G149" s="25"/>
      <c r="H149" s="38"/>
      <c r="I149" s="38"/>
      <c r="J149" s="38"/>
      <c r="K149" s="38"/>
      <c r="L149" s="38"/>
    </row>
    <row r="150" spans="2:12" ht="16.5" customHeight="1" x14ac:dyDescent="0.4">
      <c r="B150" s="157"/>
      <c r="C150" s="24"/>
      <c r="D150" s="163"/>
      <c r="E150" s="24"/>
      <c r="F150" s="159"/>
      <c r="G150" s="25"/>
      <c r="H150" s="38"/>
      <c r="I150" s="38"/>
      <c r="J150" s="38"/>
      <c r="K150" s="38"/>
      <c r="L150" s="38"/>
    </row>
    <row r="151" spans="2:12" ht="18" customHeight="1" x14ac:dyDescent="0.4">
      <c r="B151" s="157"/>
      <c r="C151" s="24"/>
      <c r="D151" s="163"/>
      <c r="E151" s="24"/>
      <c r="F151" s="159"/>
      <c r="G151" s="25"/>
      <c r="H151" s="38"/>
      <c r="I151" s="38"/>
      <c r="J151" s="38"/>
      <c r="K151" s="38"/>
      <c r="L151" s="38"/>
    </row>
    <row r="152" spans="2:12" ht="18" customHeight="1" x14ac:dyDescent="0.4">
      <c r="B152" s="157"/>
      <c r="C152" s="24"/>
      <c r="D152" s="158"/>
      <c r="E152" s="24"/>
      <c r="F152" s="159"/>
      <c r="G152" s="25"/>
      <c r="H152" s="38"/>
      <c r="I152" s="38"/>
      <c r="J152" s="38"/>
      <c r="K152" s="38"/>
      <c r="L152" s="38"/>
    </row>
    <row r="153" spans="2:12" ht="18" customHeight="1" x14ac:dyDescent="0.4">
      <c r="B153" s="160"/>
      <c r="C153" s="24"/>
      <c r="D153" s="161"/>
      <c r="E153" s="24"/>
      <c r="F153" s="25"/>
      <c r="G153" s="25"/>
      <c r="H153" s="38"/>
      <c r="I153" s="38"/>
      <c r="J153" s="38"/>
      <c r="K153" s="38"/>
      <c r="L153" s="38"/>
    </row>
    <row r="154" spans="2:12" ht="18" customHeight="1" x14ac:dyDescent="0.4">
      <c r="B154" s="160"/>
      <c r="C154" s="24"/>
      <c r="D154" s="162"/>
      <c r="E154" s="24"/>
      <c r="F154" s="25"/>
      <c r="G154" s="25"/>
      <c r="H154" s="38"/>
      <c r="I154" s="38"/>
      <c r="J154" s="38"/>
      <c r="K154" s="38"/>
      <c r="L154" s="38"/>
    </row>
    <row r="155" spans="2:12" ht="18" customHeight="1" x14ac:dyDescent="0.4">
      <c r="B155" s="160"/>
      <c r="C155" s="24"/>
      <c r="D155" s="162"/>
      <c r="E155" s="24"/>
      <c r="F155" s="25"/>
      <c r="G155" s="25"/>
      <c r="H155" s="38"/>
      <c r="I155" s="38"/>
      <c r="J155" s="38"/>
      <c r="K155" s="38"/>
      <c r="L155" s="38"/>
    </row>
    <row r="156" spans="2:12" ht="18" customHeight="1" x14ac:dyDescent="0.4">
      <c r="B156" s="160"/>
      <c r="C156" s="24"/>
      <c r="D156" s="162"/>
      <c r="E156" s="24"/>
      <c r="F156" s="25"/>
      <c r="G156" s="25"/>
      <c r="H156" s="45"/>
      <c r="I156" s="45"/>
      <c r="J156" s="45"/>
      <c r="K156" s="45"/>
      <c r="L156" s="45"/>
    </row>
    <row r="157" spans="2:12" ht="18" customHeight="1" x14ac:dyDescent="0.4">
      <c r="B157" s="160"/>
      <c r="C157" s="24"/>
      <c r="D157" s="162"/>
      <c r="E157" s="24"/>
      <c r="F157" s="25"/>
      <c r="G157" s="25"/>
      <c r="H157" s="45"/>
      <c r="I157" s="45"/>
      <c r="J157" s="45"/>
      <c r="K157" s="45"/>
      <c r="L157" s="45"/>
    </row>
    <row r="158" spans="2:12" ht="18" customHeight="1" x14ac:dyDescent="0.4">
      <c r="B158" s="160"/>
      <c r="C158" s="24"/>
      <c r="D158" s="162"/>
      <c r="E158" s="24"/>
      <c r="F158" s="25"/>
      <c r="G158" s="25"/>
      <c r="H158" s="45"/>
      <c r="I158" s="45"/>
      <c r="J158" s="45"/>
      <c r="K158" s="45"/>
      <c r="L158" s="45"/>
    </row>
    <row r="159" spans="2:12" ht="18" customHeight="1" x14ac:dyDescent="0.4">
      <c r="B159" s="160"/>
      <c r="C159" s="24"/>
      <c r="D159" s="162"/>
      <c r="E159" s="24"/>
      <c r="F159" s="25"/>
      <c r="G159" s="25"/>
      <c r="H159" s="45"/>
      <c r="I159" s="45"/>
      <c r="J159" s="45"/>
      <c r="K159" s="45"/>
      <c r="L159" s="45"/>
    </row>
    <row r="160" spans="2:12" ht="18" customHeight="1" x14ac:dyDescent="0.4">
      <c r="B160" s="160"/>
      <c r="C160" s="24"/>
      <c r="D160" s="162"/>
      <c r="E160" s="24"/>
      <c r="F160" s="25"/>
      <c r="G160" s="25"/>
      <c r="H160" s="45"/>
      <c r="I160" s="45"/>
      <c r="J160" s="45"/>
      <c r="K160" s="45"/>
      <c r="L160" s="45"/>
    </row>
    <row r="161" spans="2:12" ht="18" customHeight="1" x14ac:dyDescent="0.4">
      <c r="B161" s="160"/>
      <c r="C161" s="24"/>
      <c r="D161" s="162"/>
      <c r="E161" s="24"/>
      <c r="F161" s="25"/>
      <c r="G161" s="25"/>
      <c r="H161" s="45"/>
      <c r="I161" s="45"/>
      <c r="J161" s="45"/>
      <c r="K161" s="45"/>
      <c r="L161" s="45"/>
    </row>
    <row r="162" spans="2:12" ht="18" customHeight="1" x14ac:dyDescent="0.4">
      <c r="B162" s="164"/>
      <c r="C162" s="164"/>
      <c r="D162" s="161"/>
      <c r="E162" s="24"/>
      <c r="F162" s="25"/>
      <c r="G162" s="25"/>
      <c r="H162" s="45"/>
      <c r="I162" s="45"/>
      <c r="J162" s="45"/>
      <c r="K162" s="45"/>
      <c r="L162" s="45"/>
    </row>
    <row r="163" spans="2:12" ht="51.75" customHeight="1" x14ac:dyDescent="0.4"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</row>
    <row r="164" spans="2:12" ht="18" customHeight="1" x14ac:dyDescent="0.4"/>
    <row r="165" spans="2:12" ht="80.099999999999994" customHeight="1" x14ac:dyDescent="0.4"/>
    <row r="167" spans="2:12" ht="21" customHeight="1" x14ac:dyDescent="0.4"/>
    <row r="168" spans="2:12" ht="18" customHeight="1" x14ac:dyDescent="0.4"/>
    <row r="169" spans="2:12" ht="18" customHeight="1" x14ac:dyDescent="0.4"/>
    <row r="170" spans="2:12" ht="18" customHeight="1" x14ac:dyDescent="0.4"/>
    <row r="171" spans="2:12" ht="18" customHeight="1" x14ac:dyDescent="0.4"/>
    <row r="172" spans="2:12" ht="18" customHeight="1" x14ac:dyDescent="0.4"/>
    <row r="173" spans="2:12" ht="18" customHeight="1" x14ac:dyDescent="0.4"/>
    <row r="174" spans="2:12" ht="18" customHeight="1" x14ac:dyDescent="0.4"/>
    <row r="175" spans="2:12" ht="18" customHeight="1" x14ac:dyDescent="0.4"/>
    <row r="176" spans="2:12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80.099999999999994" customHeight="1" x14ac:dyDescent="0.4"/>
  </sheetData>
  <mergeCells count="80">
    <mergeCell ref="H123:L128"/>
    <mergeCell ref="B129:B134"/>
    <mergeCell ref="H129:L134"/>
    <mergeCell ref="B135:B140"/>
    <mergeCell ref="H135:L140"/>
    <mergeCell ref="H141:L141"/>
    <mergeCell ref="B142:L142"/>
    <mergeCell ref="D39:E39"/>
    <mergeCell ref="F39:G39"/>
    <mergeCell ref="H39:L40"/>
    <mergeCell ref="B41:B49"/>
    <mergeCell ref="H41:L49"/>
    <mergeCell ref="B50:B56"/>
    <mergeCell ref="H50:L56"/>
    <mergeCell ref="B57:B61"/>
    <mergeCell ref="H57:L61"/>
    <mergeCell ref="B109:B114"/>
    <mergeCell ref="H109:L114"/>
    <mergeCell ref="H115:L115"/>
    <mergeCell ref="B116:L116"/>
    <mergeCell ref="B118:L118"/>
    <mergeCell ref="B119:B120"/>
    <mergeCell ref="C119:C120"/>
    <mergeCell ref="D119:E119"/>
    <mergeCell ref="F119:G119"/>
    <mergeCell ref="H119:L120"/>
    <mergeCell ref="B121:B122"/>
    <mergeCell ref="H121:L122"/>
    <mergeCell ref="B123:B128"/>
    <mergeCell ref="B100:B105"/>
    <mergeCell ref="H100:L105"/>
    <mergeCell ref="B106:B108"/>
    <mergeCell ref="H106:L108"/>
    <mergeCell ref="B75:B85"/>
    <mergeCell ref="H75:L85"/>
    <mergeCell ref="B86:B91"/>
    <mergeCell ref="H86:L91"/>
    <mergeCell ref="H92:L92"/>
    <mergeCell ref="B93:L93"/>
    <mergeCell ref="B95:L95"/>
    <mergeCell ref="B96:B97"/>
    <mergeCell ref="C96:C97"/>
    <mergeCell ref="D96:E96"/>
    <mergeCell ref="F96:G96"/>
    <mergeCell ref="H96:L97"/>
    <mergeCell ref="B98:B99"/>
    <mergeCell ref="H98:L99"/>
    <mergeCell ref="B66:B67"/>
    <mergeCell ref="C66:C67"/>
    <mergeCell ref="D66:E66"/>
    <mergeCell ref="F66:G66"/>
    <mergeCell ref="H66:L67"/>
    <mergeCell ref="B68:B69"/>
    <mergeCell ref="H68:L69"/>
    <mergeCell ref="B70:B74"/>
    <mergeCell ref="H70:L74"/>
    <mergeCell ref="H62:L62"/>
    <mergeCell ref="B63:L63"/>
    <mergeCell ref="B65:L65"/>
    <mergeCell ref="B11:B17"/>
    <mergeCell ref="H11:L17"/>
    <mergeCell ref="B18:B28"/>
    <mergeCell ref="H18:L28"/>
    <mergeCell ref="B29:B34"/>
    <mergeCell ref="H29:L34"/>
    <mergeCell ref="H35:L35"/>
    <mergeCell ref="B36:L36"/>
    <mergeCell ref="B38:L38"/>
    <mergeCell ref="B39:B40"/>
    <mergeCell ref="C39:C40"/>
    <mergeCell ref="H10:L10"/>
    <mergeCell ref="B8:B9"/>
    <mergeCell ref="C8:C9"/>
    <mergeCell ref="B2:B3"/>
    <mergeCell ref="E2:L3"/>
    <mergeCell ref="B4:L6"/>
    <mergeCell ref="B7:L7"/>
    <mergeCell ref="D8:E8"/>
    <mergeCell ref="F8:G8"/>
    <mergeCell ref="H8:L9"/>
  </mergeCells>
  <phoneticPr fontId="2" type="noConversion"/>
  <pageMargins left="0.25" right="0.25" top="0.75" bottom="0.75" header="0.3" footer="0.3"/>
  <rowBreaks count="5" manualBreakCount="5">
    <brk id="41" min="1" max="12" man="1"/>
    <brk id="83" min="1" max="12" man="1"/>
    <brk id="116" min="1" max="12" man="1"/>
    <brk id="152" min="1" max="12" man="1"/>
    <brk id="186" min="1" max="12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242E9-304A-416A-B7C3-BC27F6E7D6A4}">
  <sheetPr>
    <pageSetUpPr fitToPage="1"/>
  </sheetPr>
  <dimension ref="B1:L165"/>
  <sheetViews>
    <sheetView tabSelected="1" zoomScaleNormal="100" zoomScaleSheetLayoutView="70" workbookViewId="0">
      <selection activeCell="O25" sqref="O25"/>
    </sheetView>
  </sheetViews>
  <sheetFormatPr defaultColWidth="9" defaultRowHeight="14.4" x14ac:dyDescent="0.4"/>
  <cols>
    <col min="1" max="1" width="4.8984375" style="1" customWidth="1"/>
    <col min="2" max="2" width="18.59765625" style="1" customWidth="1"/>
    <col min="3" max="3" width="11.59765625" style="1" customWidth="1"/>
    <col min="4" max="12" width="9" style="1"/>
    <col min="13" max="13" width="4.8984375" style="1" customWidth="1"/>
    <col min="14" max="16384" width="9" style="1"/>
  </cols>
  <sheetData>
    <row r="1" spans="2:12" ht="15" thickBot="1" x14ac:dyDescent="0.45"/>
    <row r="2" spans="2:12" ht="18" customHeight="1" thickTop="1" thickBot="1" x14ac:dyDescent="0.45">
      <c r="B2" s="101" t="s">
        <v>0</v>
      </c>
      <c r="C2" s="3" t="s">
        <v>1</v>
      </c>
      <c r="D2" s="4"/>
      <c r="E2" s="103" t="s">
        <v>147</v>
      </c>
      <c r="F2" s="104"/>
      <c r="G2" s="104"/>
      <c r="H2" s="104"/>
      <c r="I2" s="104"/>
      <c r="J2" s="104"/>
      <c r="K2" s="104"/>
      <c r="L2" s="104"/>
    </row>
    <row r="3" spans="2:12" ht="18" customHeight="1" thickTop="1" thickBot="1" x14ac:dyDescent="0.45">
      <c r="B3" s="102"/>
      <c r="C3" s="3" t="s">
        <v>2</v>
      </c>
      <c r="D3" s="2"/>
      <c r="E3" s="103"/>
      <c r="F3" s="104"/>
      <c r="G3" s="104"/>
      <c r="H3" s="104"/>
      <c r="I3" s="104"/>
      <c r="J3" s="104"/>
      <c r="K3" s="104"/>
      <c r="L3" s="104"/>
    </row>
    <row r="4" spans="2:12" ht="34.5" customHeight="1" thickTop="1" x14ac:dyDescent="0.4">
      <c r="B4" s="119" t="s">
        <v>148</v>
      </c>
      <c r="C4" s="119"/>
      <c r="D4" s="119"/>
      <c r="E4" s="119"/>
      <c r="F4" s="119"/>
      <c r="G4" s="119"/>
      <c r="H4" s="119"/>
      <c r="I4" s="119"/>
      <c r="J4" s="119"/>
      <c r="K4" s="119"/>
      <c r="L4" s="119"/>
    </row>
    <row r="5" spans="2:12" ht="16.5" customHeight="1" x14ac:dyDescent="0.4"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19"/>
    </row>
    <row r="6" spans="2:12" ht="16.5" customHeight="1" thickBot="1" x14ac:dyDescent="0.45">
      <c r="B6" s="119"/>
      <c r="C6" s="119"/>
      <c r="D6" s="119"/>
      <c r="E6" s="119"/>
      <c r="F6" s="119"/>
      <c r="G6" s="119"/>
      <c r="H6" s="119"/>
      <c r="I6" s="119"/>
      <c r="J6" s="119"/>
      <c r="K6" s="119"/>
      <c r="L6" s="119"/>
    </row>
    <row r="7" spans="2:12" ht="21" customHeight="1" thickTop="1" x14ac:dyDescent="0.4">
      <c r="B7" s="120" t="s">
        <v>127</v>
      </c>
      <c r="C7" s="121"/>
      <c r="D7" s="121"/>
      <c r="E7" s="121"/>
      <c r="F7" s="121"/>
      <c r="G7" s="121"/>
      <c r="H7" s="121"/>
      <c r="I7" s="121"/>
      <c r="J7" s="121"/>
      <c r="K7" s="121"/>
      <c r="L7" s="122"/>
    </row>
    <row r="8" spans="2:12" ht="18" customHeight="1" x14ac:dyDescent="0.4">
      <c r="B8" s="76" t="s">
        <v>3</v>
      </c>
      <c r="C8" s="78" t="s">
        <v>4</v>
      </c>
      <c r="D8" s="80" t="s">
        <v>5</v>
      </c>
      <c r="E8" s="81"/>
      <c r="F8" s="80" t="s">
        <v>6</v>
      </c>
      <c r="G8" s="81"/>
      <c r="H8" s="47" t="s">
        <v>7</v>
      </c>
      <c r="I8" s="48"/>
      <c r="J8" s="48"/>
      <c r="K8" s="48"/>
      <c r="L8" s="49"/>
    </row>
    <row r="9" spans="2:12" ht="18" customHeight="1" x14ac:dyDescent="0.4">
      <c r="B9" s="77"/>
      <c r="C9" s="79"/>
      <c r="D9" s="5" t="s">
        <v>1</v>
      </c>
      <c r="E9" s="29" t="s">
        <v>2</v>
      </c>
      <c r="F9" s="32" t="s">
        <v>1</v>
      </c>
      <c r="G9" s="33" t="s">
        <v>2</v>
      </c>
      <c r="H9" s="50"/>
      <c r="I9" s="51"/>
      <c r="J9" s="51"/>
      <c r="K9" s="51"/>
      <c r="L9" s="52"/>
    </row>
    <row r="10" spans="2:12" ht="18" customHeight="1" x14ac:dyDescent="0.4">
      <c r="B10" s="124" t="s">
        <v>87</v>
      </c>
      <c r="C10" s="13" t="s">
        <v>58</v>
      </c>
      <c r="D10" s="14">
        <f t="shared" ref="D10:D29" si="0">E10*0.65</f>
        <v>32.5</v>
      </c>
      <c r="E10" s="12">
        <v>50</v>
      </c>
      <c r="F10" s="8">
        <f t="shared" ref="F10:F29" si="1">D10*D$2</f>
        <v>0</v>
      </c>
      <c r="G10" s="8">
        <f t="shared" ref="G10:G29" si="2">E10*D$3</f>
        <v>0</v>
      </c>
      <c r="H10" s="53" t="s">
        <v>149</v>
      </c>
      <c r="I10" s="54"/>
      <c r="J10" s="54"/>
      <c r="K10" s="54"/>
      <c r="L10" s="55"/>
    </row>
    <row r="11" spans="2:12" ht="18" customHeight="1" x14ac:dyDescent="0.4">
      <c r="B11" s="125"/>
      <c r="C11" s="13" t="s">
        <v>150</v>
      </c>
      <c r="D11" s="14">
        <f t="shared" si="0"/>
        <v>1.625</v>
      </c>
      <c r="E11" s="12">
        <v>2.5</v>
      </c>
      <c r="F11" s="8">
        <f t="shared" si="1"/>
        <v>0</v>
      </c>
      <c r="G11" s="8">
        <f t="shared" si="2"/>
        <v>0</v>
      </c>
      <c r="H11" s="59"/>
      <c r="I11" s="60"/>
      <c r="J11" s="60"/>
      <c r="K11" s="60"/>
      <c r="L11" s="61"/>
    </row>
    <row r="12" spans="2:12" ht="18" customHeight="1" x14ac:dyDescent="0.4">
      <c r="B12" s="128" t="s">
        <v>240</v>
      </c>
      <c r="C12" s="15" t="s">
        <v>33</v>
      </c>
      <c r="D12" s="9">
        <f t="shared" si="0"/>
        <v>13</v>
      </c>
      <c r="E12" s="12">
        <v>20</v>
      </c>
      <c r="F12" s="8">
        <f t="shared" si="1"/>
        <v>0</v>
      </c>
      <c r="G12" s="8">
        <f t="shared" si="2"/>
        <v>0</v>
      </c>
      <c r="H12" s="88" t="s">
        <v>241</v>
      </c>
      <c r="I12" s="89"/>
      <c r="J12" s="89"/>
      <c r="K12" s="89"/>
      <c r="L12" s="90"/>
    </row>
    <row r="13" spans="2:12" ht="18" customHeight="1" x14ac:dyDescent="0.4">
      <c r="B13" s="129"/>
      <c r="C13" s="15" t="s">
        <v>242</v>
      </c>
      <c r="D13" s="17">
        <f t="shared" si="0"/>
        <v>3.25</v>
      </c>
      <c r="E13" s="12">
        <v>5</v>
      </c>
      <c r="F13" s="8">
        <f t="shared" si="1"/>
        <v>0</v>
      </c>
      <c r="G13" s="8">
        <f t="shared" si="2"/>
        <v>0</v>
      </c>
      <c r="H13" s="91"/>
      <c r="I13" s="92"/>
      <c r="J13" s="92"/>
      <c r="K13" s="92"/>
      <c r="L13" s="93"/>
    </row>
    <row r="14" spans="2:12" ht="18" customHeight="1" x14ac:dyDescent="0.4">
      <c r="B14" s="129"/>
      <c r="C14" s="15" t="s">
        <v>20</v>
      </c>
      <c r="D14" s="17">
        <f t="shared" si="0"/>
        <v>3.25</v>
      </c>
      <c r="E14" s="12">
        <v>5</v>
      </c>
      <c r="F14" s="8">
        <f t="shared" si="1"/>
        <v>0</v>
      </c>
      <c r="G14" s="8">
        <f t="shared" si="2"/>
        <v>0</v>
      </c>
      <c r="H14" s="91"/>
      <c r="I14" s="92"/>
      <c r="J14" s="92"/>
      <c r="K14" s="92"/>
      <c r="L14" s="93"/>
    </row>
    <row r="15" spans="2:12" ht="18" customHeight="1" x14ac:dyDescent="0.4">
      <c r="B15" s="129"/>
      <c r="C15" s="15" t="s">
        <v>19</v>
      </c>
      <c r="D15" s="9">
        <f t="shared" si="0"/>
        <v>1.9500000000000002</v>
      </c>
      <c r="E15" s="12">
        <v>3</v>
      </c>
      <c r="F15" s="8">
        <f t="shared" si="1"/>
        <v>0</v>
      </c>
      <c r="G15" s="8">
        <f t="shared" si="2"/>
        <v>0</v>
      </c>
      <c r="H15" s="91"/>
      <c r="I15" s="92"/>
      <c r="J15" s="92"/>
      <c r="K15" s="92"/>
      <c r="L15" s="93"/>
    </row>
    <row r="16" spans="2:12" ht="18" customHeight="1" x14ac:dyDescent="0.4">
      <c r="B16" s="129"/>
      <c r="C16" s="15" t="s">
        <v>13</v>
      </c>
      <c r="D16" s="17">
        <f t="shared" si="0"/>
        <v>0.65</v>
      </c>
      <c r="E16" s="12">
        <v>1</v>
      </c>
      <c r="F16" s="8">
        <f t="shared" si="1"/>
        <v>0</v>
      </c>
      <c r="G16" s="8">
        <f t="shared" si="2"/>
        <v>0</v>
      </c>
      <c r="H16" s="91"/>
      <c r="I16" s="92"/>
      <c r="J16" s="92"/>
      <c r="K16" s="92"/>
      <c r="L16" s="93"/>
    </row>
    <row r="17" spans="2:12" ht="18" customHeight="1" x14ac:dyDescent="0.4">
      <c r="B17" s="138"/>
      <c r="C17" s="15" t="s">
        <v>10</v>
      </c>
      <c r="D17" s="17">
        <f t="shared" si="0"/>
        <v>0.32500000000000001</v>
      </c>
      <c r="E17" s="12">
        <v>0.5</v>
      </c>
      <c r="F17" s="8">
        <f t="shared" si="1"/>
        <v>0</v>
      </c>
      <c r="G17" s="8">
        <f t="shared" si="2"/>
        <v>0</v>
      </c>
      <c r="H17" s="98"/>
      <c r="I17" s="99"/>
      <c r="J17" s="99"/>
      <c r="K17" s="99"/>
      <c r="L17" s="100"/>
    </row>
    <row r="18" spans="2:12" ht="18" customHeight="1" x14ac:dyDescent="0.4">
      <c r="B18" s="128" t="s">
        <v>153</v>
      </c>
      <c r="C18" s="30" t="s">
        <v>47</v>
      </c>
      <c r="D18" s="20">
        <f t="shared" si="0"/>
        <v>26</v>
      </c>
      <c r="E18" s="10">
        <v>40</v>
      </c>
      <c r="F18" s="8">
        <f t="shared" si="1"/>
        <v>0</v>
      </c>
      <c r="G18" s="8">
        <f t="shared" si="2"/>
        <v>0</v>
      </c>
      <c r="H18" s="64" t="s">
        <v>154</v>
      </c>
      <c r="I18" s="65"/>
      <c r="J18" s="65"/>
      <c r="K18" s="65"/>
      <c r="L18" s="66"/>
    </row>
    <row r="19" spans="2:12" ht="18" customHeight="1" x14ac:dyDescent="0.4">
      <c r="B19" s="129"/>
      <c r="C19" s="30" t="s">
        <v>16</v>
      </c>
      <c r="D19" s="18">
        <f t="shared" si="0"/>
        <v>3.25</v>
      </c>
      <c r="E19" s="10">
        <v>5</v>
      </c>
      <c r="F19" s="8">
        <f t="shared" si="1"/>
        <v>0</v>
      </c>
      <c r="G19" s="8">
        <f t="shared" si="2"/>
        <v>0</v>
      </c>
      <c r="H19" s="67"/>
      <c r="I19" s="68"/>
      <c r="J19" s="68"/>
      <c r="K19" s="68"/>
      <c r="L19" s="69"/>
    </row>
    <row r="20" spans="2:12" ht="18" customHeight="1" x14ac:dyDescent="0.4">
      <c r="B20" s="129"/>
      <c r="C20" s="30" t="s">
        <v>17</v>
      </c>
      <c r="D20" s="18">
        <f t="shared" si="0"/>
        <v>3.25</v>
      </c>
      <c r="E20" s="10">
        <v>5</v>
      </c>
      <c r="F20" s="8">
        <f t="shared" si="1"/>
        <v>0</v>
      </c>
      <c r="G20" s="8">
        <f t="shared" si="2"/>
        <v>0</v>
      </c>
      <c r="H20" s="67"/>
      <c r="I20" s="68"/>
      <c r="J20" s="68"/>
      <c r="K20" s="68"/>
      <c r="L20" s="69"/>
    </row>
    <row r="21" spans="2:12" ht="18" customHeight="1" x14ac:dyDescent="0.4">
      <c r="B21" s="129"/>
      <c r="C21" s="30" t="s">
        <v>19</v>
      </c>
      <c r="D21" s="20">
        <f t="shared" si="0"/>
        <v>1.9500000000000002</v>
      </c>
      <c r="E21" s="10">
        <v>3</v>
      </c>
      <c r="F21" s="8">
        <f t="shared" si="1"/>
        <v>0</v>
      </c>
      <c r="G21" s="8">
        <f t="shared" si="2"/>
        <v>0</v>
      </c>
      <c r="H21" s="67"/>
      <c r="I21" s="68"/>
      <c r="J21" s="68"/>
      <c r="K21" s="68"/>
      <c r="L21" s="69"/>
    </row>
    <row r="22" spans="2:12" ht="18" customHeight="1" x14ac:dyDescent="0.4">
      <c r="B22" s="129"/>
      <c r="C22" s="30" t="s">
        <v>74</v>
      </c>
      <c r="D22" s="18">
        <f t="shared" si="0"/>
        <v>0.32500000000000001</v>
      </c>
      <c r="E22" s="10">
        <v>0.5</v>
      </c>
      <c r="F22" s="8">
        <f t="shared" si="1"/>
        <v>0</v>
      </c>
      <c r="G22" s="8">
        <f t="shared" si="2"/>
        <v>0</v>
      </c>
      <c r="H22" s="67"/>
      <c r="I22" s="68"/>
      <c r="J22" s="68"/>
      <c r="K22" s="68"/>
      <c r="L22" s="69"/>
    </row>
    <row r="23" spans="2:12" ht="18" customHeight="1" x14ac:dyDescent="0.4">
      <c r="B23" s="129"/>
      <c r="C23" s="30" t="s">
        <v>9</v>
      </c>
      <c r="D23" s="20">
        <f t="shared" si="0"/>
        <v>0.97500000000000009</v>
      </c>
      <c r="E23" s="10">
        <v>1.5</v>
      </c>
      <c r="F23" s="8">
        <f t="shared" si="1"/>
        <v>0</v>
      </c>
      <c r="G23" s="8">
        <f t="shared" si="2"/>
        <v>0</v>
      </c>
      <c r="H23" s="70"/>
      <c r="I23" s="71"/>
      <c r="J23" s="71"/>
      <c r="K23" s="71"/>
      <c r="L23" s="72"/>
    </row>
    <row r="24" spans="2:12" ht="18" customHeight="1" x14ac:dyDescent="0.4">
      <c r="B24" s="128" t="s">
        <v>179</v>
      </c>
      <c r="C24" s="13" t="s">
        <v>20</v>
      </c>
      <c r="D24" s="18">
        <f t="shared" si="0"/>
        <v>19.5</v>
      </c>
      <c r="E24" s="12">
        <v>30</v>
      </c>
      <c r="F24" s="8">
        <f t="shared" si="1"/>
        <v>0</v>
      </c>
      <c r="G24" s="8">
        <f t="shared" si="2"/>
        <v>0</v>
      </c>
      <c r="H24" s="88" t="s">
        <v>243</v>
      </c>
      <c r="I24" s="89"/>
      <c r="J24" s="89"/>
      <c r="K24" s="89"/>
      <c r="L24" s="90"/>
    </row>
    <row r="25" spans="2:12" ht="18" customHeight="1" x14ac:dyDescent="0.4">
      <c r="B25" s="129"/>
      <c r="C25" s="13" t="s">
        <v>61</v>
      </c>
      <c r="D25" s="18">
        <f t="shared" si="0"/>
        <v>0.65</v>
      </c>
      <c r="E25" s="12">
        <v>1</v>
      </c>
      <c r="F25" s="8">
        <f t="shared" si="1"/>
        <v>0</v>
      </c>
      <c r="G25" s="8">
        <f t="shared" si="2"/>
        <v>0</v>
      </c>
      <c r="H25" s="91"/>
      <c r="I25" s="92"/>
      <c r="J25" s="92"/>
      <c r="K25" s="92"/>
      <c r="L25" s="93"/>
    </row>
    <row r="26" spans="2:12" ht="18" customHeight="1" x14ac:dyDescent="0.4">
      <c r="B26" s="129"/>
      <c r="C26" s="13" t="s">
        <v>10</v>
      </c>
      <c r="D26" s="18">
        <f t="shared" si="0"/>
        <v>0.32500000000000001</v>
      </c>
      <c r="E26" s="12">
        <v>0.5</v>
      </c>
      <c r="F26" s="8">
        <f t="shared" si="1"/>
        <v>0</v>
      </c>
      <c r="G26" s="8">
        <f t="shared" si="2"/>
        <v>0</v>
      </c>
      <c r="H26" s="91"/>
      <c r="I26" s="92"/>
      <c r="J26" s="92"/>
      <c r="K26" s="92"/>
      <c r="L26" s="93"/>
    </row>
    <row r="27" spans="2:12" ht="18" customHeight="1" x14ac:dyDescent="0.4">
      <c r="B27" s="129"/>
      <c r="C27" s="13" t="s">
        <v>49</v>
      </c>
      <c r="D27" s="18">
        <f t="shared" si="0"/>
        <v>1.3</v>
      </c>
      <c r="E27" s="12">
        <v>2</v>
      </c>
      <c r="F27" s="8">
        <f t="shared" si="1"/>
        <v>0</v>
      </c>
      <c r="G27" s="8">
        <f t="shared" si="2"/>
        <v>0</v>
      </c>
      <c r="H27" s="91"/>
      <c r="I27" s="92"/>
      <c r="J27" s="92"/>
      <c r="K27" s="92"/>
      <c r="L27" s="93"/>
    </row>
    <row r="28" spans="2:12" ht="18" customHeight="1" x14ac:dyDescent="0.4">
      <c r="B28" s="138"/>
      <c r="C28" s="13" t="s">
        <v>8</v>
      </c>
      <c r="D28" s="18">
        <f t="shared" si="0"/>
        <v>0.13</v>
      </c>
      <c r="E28" s="12">
        <v>0.2</v>
      </c>
      <c r="F28" s="8">
        <f t="shared" si="1"/>
        <v>0</v>
      </c>
      <c r="G28" s="8">
        <f t="shared" si="2"/>
        <v>0</v>
      </c>
      <c r="H28" s="91"/>
      <c r="I28" s="92"/>
      <c r="J28" s="92"/>
      <c r="K28" s="92"/>
      <c r="L28" s="93"/>
    </row>
    <row r="29" spans="2:12" ht="18" customHeight="1" thickBot="1" x14ac:dyDescent="0.45">
      <c r="B29" s="133" t="s">
        <v>66</v>
      </c>
      <c r="C29" s="34" t="s">
        <v>67</v>
      </c>
      <c r="D29" s="37">
        <f t="shared" si="0"/>
        <v>13</v>
      </c>
      <c r="E29" s="21">
        <v>20</v>
      </c>
      <c r="F29" s="22">
        <f t="shared" si="1"/>
        <v>0</v>
      </c>
      <c r="G29" s="22">
        <f t="shared" si="2"/>
        <v>0</v>
      </c>
      <c r="H29" s="73" t="s">
        <v>54</v>
      </c>
      <c r="I29" s="74"/>
      <c r="J29" s="74"/>
      <c r="K29" s="74"/>
      <c r="L29" s="75"/>
    </row>
    <row r="30" spans="2:12" ht="80.099999999999994" customHeight="1" thickTop="1" x14ac:dyDescent="0.4">
      <c r="B30" s="97"/>
      <c r="C30" s="97"/>
      <c r="D30" s="97"/>
      <c r="E30" s="97"/>
      <c r="F30" s="97"/>
      <c r="G30" s="97"/>
      <c r="H30" s="97"/>
      <c r="I30" s="97"/>
      <c r="J30" s="97"/>
      <c r="K30" s="97"/>
      <c r="L30" s="97"/>
    </row>
    <row r="31" spans="2:12" ht="18" customHeight="1" thickBot="1" x14ac:dyDescent="0.45"/>
    <row r="32" spans="2:12" ht="21" customHeight="1" thickTop="1" x14ac:dyDescent="0.4">
      <c r="B32" s="145" t="s">
        <v>129</v>
      </c>
      <c r="C32" s="146"/>
      <c r="D32" s="146"/>
      <c r="E32" s="146"/>
      <c r="F32" s="146"/>
      <c r="G32" s="146"/>
      <c r="H32" s="146"/>
      <c r="I32" s="146"/>
      <c r="J32" s="146"/>
      <c r="K32" s="146"/>
      <c r="L32" s="147"/>
    </row>
    <row r="33" spans="2:12" ht="18" customHeight="1" x14ac:dyDescent="0.4">
      <c r="B33" s="96" t="s">
        <v>3</v>
      </c>
      <c r="C33" s="94" t="s">
        <v>4</v>
      </c>
      <c r="D33" s="94" t="s">
        <v>5</v>
      </c>
      <c r="E33" s="94"/>
      <c r="F33" s="94" t="s">
        <v>6</v>
      </c>
      <c r="G33" s="94"/>
      <c r="H33" s="94" t="s">
        <v>7</v>
      </c>
      <c r="I33" s="94"/>
      <c r="J33" s="94"/>
      <c r="K33" s="94"/>
      <c r="L33" s="95"/>
    </row>
    <row r="34" spans="2:12" ht="18" customHeight="1" x14ac:dyDescent="0.4">
      <c r="B34" s="96"/>
      <c r="C34" s="94"/>
      <c r="D34" s="5" t="s">
        <v>1</v>
      </c>
      <c r="E34" s="5" t="s">
        <v>2</v>
      </c>
      <c r="F34" s="6" t="s">
        <v>1</v>
      </c>
      <c r="G34" s="7" t="s">
        <v>2</v>
      </c>
      <c r="H34" s="94"/>
      <c r="I34" s="94"/>
      <c r="J34" s="94"/>
      <c r="K34" s="94"/>
      <c r="L34" s="95"/>
    </row>
    <row r="35" spans="2:12" ht="18" customHeight="1" x14ac:dyDescent="0.4">
      <c r="B35" s="140" t="s">
        <v>98</v>
      </c>
      <c r="C35" s="43" t="s">
        <v>30</v>
      </c>
      <c r="D35" s="17">
        <f t="shared" ref="D35:D47" si="3">E35*0.65</f>
        <v>32.5</v>
      </c>
      <c r="E35" s="12">
        <v>50</v>
      </c>
      <c r="F35" s="8">
        <f t="shared" ref="F35:F47" si="4">D35*D$2</f>
        <v>0</v>
      </c>
      <c r="G35" s="8">
        <f t="shared" ref="G35:G47" si="5">E35*D$3</f>
        <v>0</v>
      </c>
      <c r="H35" s="53" t="s">
        <v>167</v>
      </c>
      <c r="I35" s="54"/>
      <c r="J35" s="54"/>
      <c r="K35" s="54"/>
      <c r="L35" s="55"/>
    </row>
    <row r="36" spans="2:12" ht="18" customHeight="1" x14ac:dyDescent="0.4">
      <c r="B36" s="140"/>
      <c r="C36" s="43" t="s">
        <v>168</v>
      </c>
      <c r="D36" s="17">
        <f t="shared" si="3"/>
        <v>1.625</v>
      </c>
      <c r="E36" s="12">
        <v>2.5</v>
      </c>
      <c r="F36" s="8">
        <f t="shared" si="4"/>
        <v>0</v>
      </c>
      <c r="G36" s="8">
        <f t="shared" si="5"/>
        <v>0</v>
      </c>
      <c r="H36" s="59"/>
      <c r="I36" s="60"/>
      <c r="J36" s="60"/>
      <c r="K36" s="60"/>
      <c r="L36" s="61"/>
    </row>
    <row r="37" spans="2:12" ht="18" customHeight="1" x14ac:dyDescent="0.4">
      <c r="B37" s="144" t="s">
        <v>109</v>
      </c>
      <c r="C37" s="15" t="s">
        <v>24</v>
      </c>
      <c r="D37" s="16">
        <f t="shared" si="3"/>
        <v>13</v>
      </c>
      <c r="E37" s="13">
        <v>20</v>
      </c>
      <c r="F37" s="8">
        <f t="shared" si="4"/>
        <v>0</v>
      </c>
      <c r="G37" s="8">
        <f t="shared" si="5"/>
        <v>0</v>
      </c>
      <c r="H37" s="82" t="s">
        <v>244</v>
      </c>
      <c r="I37" s="82"/>
      <c r="J37" s="82"/>
      <c r="K37" s="82"/>
      <c r="L37" s="83"/>
    </row>
    <row r="38" spans="2:12" ht="18" customHeight="1" x14ac:dyDescent="0.4">
      <c r="B38" s="144"/>
      <c r="C38" s="15" t="s">
        <v>17</v>
      </c>
      <c r="D38" s="14">
        <f t="shared" si="3"/>
        <v>6.5</v>
      </c>
      <c r="E38" s="13">
        <v>10</v>
      </c>
      <c r="F38" s="8">
        <f t="shared" si="4"/>
        <v>0</v>
      </c>
      <c r="G38" s="8">
        <f t="shared" si="5"/>
        <v>0</v>
      </c>
      <c r="H38" s="82"/>
      <c r="I38" s="82"/>
      <c r="J38" s="82"/>
      <c r="K38" s="82"/>
      <c r="L38" s="83"/>
    </row>
    <row r="39" spans="2:12" ht="18" customHeight="1" x14ac:dyDescent="0.4">
      <c r="B39" s="144"/>
      <c r="C39" s="15" t="s">
        <v>19</v>
      </c>
      <c r="D39" s="14">
        <f t="shared" si="3"/>
        <v>1.3</v>
      </c>
      <c r="E39" s="13">
        <v>2</v>
      </c>
      <c r="F39" s="8">
        <f t="shared" si="4"/>
        <v>0</v>
      </c>
      <c r="G39" s="8">
        <f t="shared" si="5"/>
        <v>0</v>
      </c>
      <c r="H39" s="82"/>
      <c r="I39" s="82"/>
      <c r="J39" s="82"/>
      <c r="K39" s="82"/>
      <c r="L39" s="83"/>
    </row>
    <row r="40" spans="2:12" ht="18" customHeight="1" x14ac:dyDescent="0.4">
      <c r="B40" s="144"/>
      <c r="C40" s="15" t="s">
        <v>61</v>
      </c>
      <c r="D40" s="14">
        <f t="shared" si="3"/>
        <v>0.32500000000000001</v>
      </c>
      <c r="E40" s="13">
        <v>0.5</v>
      </c>
      <c r="F40" s="8">
        <f t="shared" si="4"/>
        <v>0</v>
      </c>
      <c r="G40" s="8">
        <f t="shared" si="5"/>
        <v>0</v>
      </c>
      <c r="H40" s="82"/>
      <c r="I40" s="82"/>
      <c r="J40" s="82"/>
      <c r="K40" s="82"/>
      <c r="L40" s="83"/>
    </row>
    <row r="41" spans="2:12" ht="18" customHeight="1" x14ac:dyDescent="0.4">
      <c r="B41" s="144"/>
      <c r="C41" s="15" t="s">
        <v>10</v>
      </c>
      <c r="D41" s="14">
        <f t="shared" si="3"/>
        <v>0.32500000000000001</v>
      </c>
      <c r="E41" s="13">
        <v>0.5</v>
      </c>
      <c r="F41" s="8">
        <f t="shared" si="4"/>
        <v>0</v>
      </c>
      <c r="G41" s="8">
        <f t="shared" si="5"/>
        <v>0</v>
      </c>
      <c r="H41" s="82"/>
      <c r="I41" s="82"/>
      <c r="J41" s="82"/>
      <c r="K41" s="82"/>
      <c r="L41" s="83"/>
    </row>
    <row r="42" spans="2:12" ht="18" customHeight="1" x14ac:dyDescent="0.4">
      <c r="B42" s="144"/>
      <c r="C42" s="15" t="s">
        <v>13</v>
      </c>
      <c r="D42" s="14">
        <f t="shared" si="3"/>
        <v>0.32500000000000001</v>
      </c>
      <c r="E42" s="13">
        <v>0.5</v>
      </c>
      <c r="F42" s="8">
        <f t="shared" si="4"/>
        <v>0</v>
      </c>
      <c r="G42" s="8">
        <f t="shared" si="5"/>
        <v>0</v>
      </c>
      <c r="H42" s="82"/>
      <c r="I42" s="82"/>
      <c r="J42" s="82"/>
      <c r="K42" s="82"/>
      <c r="L42" s="83"/>
    </row>
    <row r="43" spans="2:12" ht="18" customHeight="1" x14ac:dyDescent="0.4">
      <c r="B43" s="144"/>
      <c r="C43" s="15" t="s">
        <v>81</v>
      </c>
      <c r="D43" s="14">
        <f t="shared" si="3"/>
        <v>1.3</v>
      </c>
      <c r="E43" s="13">
        <v>2</v>
      </c>
      <c r="F43" s="8">
        <f t="shared" si="4"/>
        <v>0</v>
      </c>
      <c r="G43" s="8">
        <f t="shared" si="5"/>
        <v>0</v>
      </c>
      <c r="H43" s="82"/>
      <c r="I43" s="82"/>
      <c r="J43" s="82"/>
      <c r="K43" s="82"/>
      <c r="L43" s="83"/>
    </row>
    <row r="44" spans="2:12" ht="18" customHeight="1" x14ac:dyDescent="0.4">
      <c r="B44" s="144"/>
      <c r="C44" s="15" t="s">
        <v>82</v>
      </c>
      <c r="D44" s="14">
        <f t="shared" si="3"/>
        <v>1.3</v>
      </c>
      <c r="E44" s="13">
        <v>2</v>
      </c>
      <c r="F44" s="8">
        <f t="shared" si="4"/>
        <v>0</v>
      </c>
      <c r="G44" s="8">
        <f t="shared" si="5"/>
        <v>0</v>
      </c>
      <c r="H44" s="82"/>
      <c r="I44" s="82"/>
      <c r="J44" s="82"/>
      <c r="K44" s="82"/>
      <c r="L44" s="83"/>
    </row>
    <row r="45" spans="2:12" ht="18" customHeight="1" x14ac:dyDescent="0.4">
      <c r="B45" s="126" t="s">
        <v>245</v>
      </c>
      <c r="C45" s="13" t="s">
        <v>48</v>
      </c>
      <c r="D45" s="16">
        <f t="shared" si="3"/>
        <v>26</v>
      </c>
      <c r="E45" s="13">
        <v>40</v>
      </c>
      <c r="F45" s="8">
        <f t="shared" si="4"/>
        <v>0</v>
      </c>
      <c r="G45" s="8">
        <f t="shared" si="5"/>
        <v>0</v>
      </c>
      <c r="H45" s="82" t="s">
        <v>246</v>
      </c>
      <c r="I45" s="82"/>
      <c r="J45" s="82"/>
      <c r="K45" s="82"/>
      <c r="L45" s="83"/>
    </row>
    <row r="46" spans="2:12" ht="18" customHeight="1" x14ac:dyDescent="0.4">
      <c r="B46" s="127"/>
      <c r="C46" s="13" t="s">
        <v>17</v>
      </c>
      <c r="D46" s="14">
        <f t="shared" si="3"/>
        <v>6.5</v>
      </c>
      <c r="E46" s="13">
        <v>10</v>
      </c>
      <c r="F46" s="8">
        <f t="shared" si="4"/>
        <v>0</v>
      </c>
      <c r="G46" s="8">
        <f t="shared" si="5"/>
        <v>0</v>
      </c>
      <c r="H46" s="82"/>
      <c r="I46" s="82"/>
      <c r="J46" s="82"/>
      <c r="K46" s="82"/>
      <c r="L46" s="83"/>
    </row>
    <row r="47" spans="2:12" ht="18" customHeight="1" x14ac:dyDescent="0.4">
      <c r="B47" s="127"/>
      <c r="C47" s="13" t="s">
        <v>14</v>
      </c>
      <c r="D47" s="14">
        <f t="shared" si="3"/>
        <v>1.3</v>
      </c>
      <c r="E47" s="13">
        <v>2</v>
      </c>
      <c r="F47" s="8">
        <f t="shared" si="4"/>
        <v>0</v>
      </c>
      <c r="G47" s="8">
        <f t="shared" si="5"/>
        <v>0</v>
      </c>
      <c r="H47" s="82"/>
      <c r="I47" s="82"/>
      <c r="J47" s="82"/>
      <c r="K47" s="82"/>
      <c r="L47" s="83"/>
    </row>
    <row r="48" spans="2:12" ht="18" customHeight="1" x14ac:dyDescent="0.4">
      <c r="B48" s="127"/>
      <c r="C48" s="85" t="s">
        <v>247</v>
      </c>
      <c r="D48" s="85"/>
      <c r="E48" s="85"/>
      <c r="F48" s="85"/>
      <c r="G48" s="85"/>
      <c r="H48" s="82"/>
      <c r="I48" s="82"/>
      <c r="J48" s="82"/>
      <c r="K48" s="82"/>
      <c r="L48" s="83"/>
    </row>
    <row r="49" spans="2:12" ht="18" customHeight="1" x14ac:dyDescent="0.4">
      <c r="B49" s="127"/>
      <c r="C49" s="13" t="s">
        <v>13</v>
      </c>
      <c r="D49" s="14">
        <f t="shared" ref="D49:D58" si="6">E49*0.65</f>
        <v>3.25</v>
      </c>
      <c r="E49" s="13">
        <v>5</v>
      </c>
      <c r="F49" s="8">
        <f t="shared" ref="F49:F58" si="7">D49*D$2</f>
        <v>0</v>
      </c>
      <c r="G49" s="8">
        <f t="shared" ref="G49:G58" si="8">E49*D$3</f>
        <v>0</v>
      </c>
      <c r="H49" s="82"/>
      <c r="I49" s="82"/>
      <c r="J49" s="82"/>
      <c r="K49" s="82"/>
      <c r="L49" s="83"/>
    </row>
    <row r="50" spans="2:12" ht="18" customHeight="1" x14ac:dyDescent="0.4">
      <c r="B50" s="127"/>
      <c r="C50" s="13" t="s">
        <v>248</v>
      </c>
      <c r="D50" s="14">
        <f t="shared" si="6"/>
        <v>3.25</v>
      </c>
      <c r="E50" s="13">
        <v>5</v>
      </c>
      <c r="F50" s="8">
        <f t="shared" si="7"/>
        <v>0</v>
      </c>
      <c r="G50" s="8">
        <f t="shared" si="8"/>
        <v>0</v>
      </c>
      <c r="H50" s="82"/>
      <c r="I50" s="82"/>
      <c r="J50" s="82"/>
      <c r="K50" s="82"/>
      <c r="L50" s="83"/>
    </row>
    <row r="51" spans="2:12" ht="18" customHeight="1" x14ac:dyDescent="0.4">
      <c r="B51" s="127"/>
      <c r="C51" s="13" t="s">
        <v>249</v>
      </c>
      <c r="D51" s="14">
        <f t="shared" si="6"/>
        <v>3.25</v>
      </c>
      <c r="E51" s="13">
        <v>5</v>
      </c>
      <c r="F51" s="8">
        <f t="shared" si="7"/>
        <v>0</v>
      </c>
      <c r="G51" s="8">
        <f t="shared" si="8"/>
        <v>0</v>
      </c>
      <c r="H51" s="82"/>
      <c r="I51" s="82"/>
      <c r="J51" s="82"/>
      <c r="K51" s="82"/>
      <c r="L51" s="83"/>
    </row>
    <row r="52" spans="2:12" ht="18" customHeight="1" x14ac:dyDescent="0.4">
      <c r="B52" s="127"/>
      <c r="C52" s="13" t="s">
        <v>250</v>
      </c>
      <c r="D52" s="14">
        <f t="shared" si="6"/>
        <v>3.25</v>
      </c>
      <c r="E52" s="13">
        <v>5</v>
      </c>
      <c r="F52" s="8">
        <f t="shared" si="7"/>
        <v>0</v>
      </c>
      <c r="G52" s="8">
        <f t="shared" si="8"/>
        <v>0</v>
      </c>
      <c r="H52" s="82"/>
      <c r="I52" s="82"/>
      <c r="J52" s="82"/>
      <c r="K52" s="82"/>
      <c r="L52" s="83"/>
    </row>
    <row r="53" spans="2:12" ht="18" customHeight="1" x14ac:dyDescent="0.4">
      <c r="B53" s="127"/>
      <c r="C53" s="13" t="s">
        <v>11</v>
      </c>
      <c r="D53" s="16">
        <f t="shared" si="6"/>
        <v>1.9500000000000002</v>
      </c>
      <c r="E53" s="13">
        <v>3</v>
      </c>
      <c r="F53" s="8">
        <f t="shared" si="7"/>
        <v>0</v>
      </c>
      <c r="G53" s="8">
        <f t="shared" si="8"/>
        <v>0</v>
      </c>
      <c r="H53" s="82"/>
      <c r="I53" s="82"/>
      <c r="J53" s="82"/>
      <c r="K53" s="82"/>
      <c r="L53" s="83"/>
    </row>
    <row r="54" spans="2:12" ht="18" customHeight="1" x14ac:dyDescent="0.4">
      <c r="B54" s="127"/>
      <c r="C54" s="13" t="s">
        <v>22</v>
      </c>
      <c r="D54" s="14">
        <f t="shared" si="6"/>
        <v>1.3</v>
      </c>
      <c r="E54" s="13">
        <v>2</v>
      </c>
      <c r="F54" s="8">
        <f t="shared" si="7"/>
        <v>0</v>
      </c>
      <c r="G54" s="8">
        <f t="shared" si="8"/>
        <v>0</v>
      </c>
      <c r="H54" s="82"/>
      <c r="I54" s="82"/>
      <c r="J54" s="82"/>
      <c r="K54" s="82"/>
      <c r="L54" s="83"/>
    </row>
    <row r="55" spans="2:12" ht="18" customHeight="1" x14ac:dyDescent="0.4">
      <c r="B55" s="130" t="s">
        <v>251</v>
      </c>
      <c r="C55" s="13" t="s">
        <v>252</v>
      </c>
      <c r="D55" s="9">
        <f t="shared" si="6"/>
        <v>1.9500000000000002</v>
      </c>
      <c r="E55" s="13">
        <v>3</v>
      </c>
      <c r="F55" s="8">
        <f t="shared" si="7"/>
        <v>0</v>
      </c>
      <c r="G55" s="8">
        <f t="shared" si="8"/>
        <v>0</v>
      </c>
      <c r="H55" s="82" t="s">
        <v>253</v>
      </c>
      <c r="I55" s="82"/>
      <c r="J55" s="82"/>
      <c r="K55" s="82"/>
      <c r="L55" s="83"/>
    </row>
    <row r="56" spans="2:12" ht="18" customHeight="1" x14ac:dyDescent="0.4">
      <c r="B56" s="131"/>
      <c r="C56" s="13" t="s">
        <v>9</v>
      </c>
      <c r="D56" s="17">
        <f t="shared" si="6"/>
        <v>1.3</v>
      </c>
      <c r="E56" s="13">
        <v>2</v>
      </c>
      <c r="F56" s="8">
        <f t="shared" si="7"/>
        <v>0</v>
      </c>
      <c r="G56" s="8">
        <f t="shared" si="8"/>
        <v>0</v>
      </c>
      <c r="H56" s="82"/>
      <c r="I56" s="82"/>
      <c r="J56" s="82"/>
      <c r="K56" s="82"/>
      <c r="L56" s="83"/>
    </row>
    <row r="57" spans="2:12" ht="18" customHeight="1" x14ac:dyDescent="0.4">
      <c r="B57" s="131"/>
      <c r="C57" s="13" t="s">
        <v>10</v>
      </c>
      <c r="D57" s="17">
        <f t="shared" si="6"/>
        <v>0.32500000000000001</v>
      </c>
      <c r="E57" s="13">
        <v>0.5</v>
      </c>
      <c r="F57" s="8">
        <f t="shared" si="7"/>
        <v>0</v>
      </c>
      <c r="G57" s="8">
        <f t="shared" si="8"/>
        <v>0</v>
      </c>
      <c r="H57" s="82"/>
      <c r="I57" s="82"/>
      <c r="J57" s="82"/>
      <c r="K57" s="82"/>
      <c r="L57" s="83"/>
    </row>
    <row r="58" spans="2:12" ht="18" customHeight="1" thickBot="1" x14ac:dyDescent="0.45">
      <c r="B58" s="133" t="s">
        <v>66</v>
      </c>
      <c r="C58" s="34" t="s">
        <v>67</v>
      </c>
      <c r="D58" s="37">
        <f t="shared" si="6"/>
        <v>13</v>
      </c>
      <c r="E58" s="21">
        <v>20</v>
      </c>
      <c r="F58" s="22">
        <f t="shared" si="7"/>
        <v>0</v>
      </c>
      <c r="G58" s="22">
        <f t="shared" si="8"/>
        <v>0</v>
      </c>
      <c r="H58" s="73" t="s">
        <v>54</v>
      </c>
      <c r="I58" s="74"/>
      <c r="J58" s="74"/>
      <c r="K58" s="74"/>
      <c r="L58" s="75"/>
    </row>
    <row r="59" spans="2:12" ht="80.099999999999994" customHeight="1" thickTop="1" x14ac:dyDescent="0.4">
      <c r="B59" s="97"/>
      <c r="C59" s="97"/>
      <c r="D59" s="97"/>
      <c r="E59" s="97"/>
      <c r="F59" s="97"/>
      <c r="G59" s="97"/>
      <c r="H59" s="97"/>
      <c r="I59" s="97"/>
      <c r="J59" s="97"/>
      <c r="K59" s="97"/>
      <c r="L59" s="97"/>
    </row>
    <row r="60" spans="2:12" ht="18" customHeight="1" thickBot="1" x14ac:dyDescent="0.45"/>
    <row r="61" spans="2:12" ht="21" customHeight="1" thickTop="1" x14ac:dyDescent="0.4">
      <c r="B61" s="120" t="s">
        <v>136</v>
      </c>
      <c r="C61" s="121"/>
      <c r="D61" s="121"/>
      <c r="E61" s="121"/>
      <c r="F61" s="121"/>
      <c r="G61" s="121"/>
      <c r="H61" s="121"/>
      <c r="I61" s="121"/>
      <c r="J61" s="121"/>
      <c r="K61" s="121"/>
      <c r="L61" s="122"/>
    </row>
    <row r="62" spans="2:12" ht="18" customHeight="1" x14ac:dyDescent="0.4">
      <c r="B62" s="96" t="s">
        <v>3</v>
      </c>
      <c r="C62" s="94" t="s">
        <v>4</v>
      </c>
      <c r="D62" s="94" t="s">
        <v>5</v>
      </c>
      <c r="E62" s="94"/>
      <c r="F62" s="94" t="s">
        <v>6</v>
      </c>
      <c r="G62" s="94"/>
      <c r="H62" s="94" t="s">
        <v>7</v>
      </c>
      <c r="I62" s="94"/>
      <c r="J62" s="94"/>
      <c r="K62" s="94"/>
      <c r="L62" s="95"/>
    </row>
    <row r="63" spans="2:12" ht="18" customHeight="1" x14ac:dyDescent="0.4">
      <c r="B63" s="96"/>
      <c r="C63" s="94"/>
      <c r="D63" s="5" t="s">
        <v>1</v>
      </c>
      <c r="E63" s="5" t="s">
        <v>2</v>
      </c>
      <c r="F63" s="6" t="s">
        <v>1</v>
      </c>
      <c r="G63" s="7" t="s">
        <v>2</v>
      </c>
      <c r="H63" s="94"/>
      <c r="I63" s="94"/>
      <c r="J63" s="94"/>
      <c r="K63" s="94"/>
      <c r="L63" s="95"/>
    </row>
    <row r="64" spans="2:12" ht="18" customHeight="1" x14ac:dyDescent="0.4">
      <c r="B64" s="140" t="s">
        <v>68</v>
      </c>
      <c r="C64" s="13" t="s">
        <v>30</v>
      </c>
      <c r="D64" s="17">
        <f t="shared" ref="D64:D89" si="9">E64*0.65</f>
        <v>32.5</v>
      </c>
      <c r="E64" s="12">
        <v>50</v>
      </c>
      <c r="F64" s="8">
        <f t="shared" ref="F64:F89" si="10">D64*D$2</f>
        <v>0</v>
      </c>
      <c r="G64" s="8">
        <f t="shared" ref="G64:G89" si="11">E64*D$3</f>
        <v>0</v>
      </c>
      <c r="H64" s="53" t="s">
        <v>51</v>
      </c>
      <c r="I64" s="54"/>
      <c r="J64" s="54"/>
      <c r="K64" s="54"/>
      <c r="L64" s="55"/>
    </row>
    <row r="65" spans="2:12" ht="18" customHeight="1" x14ac:dyDescent="0.4">
      <c r="B65" s="140"/>
      <c r="C65" s="13" t="s">
        <v>254</v>
      </c>
      <c r="D65" s="17">
        <f t="shared" si="9"/>
        <v>1.625</v>
      </c>
      <c r="E65" s="12">
        <v>2.5</v>
      </c>
      <c r="F65" s="8">
        <f t="shared" si="10"/>
        <v>0</v>
      </c>
      <c r="G65" s="8">
        <f t="shared" si="11"/>
        <v>0</v>
      </c>
      <c r="H65" s="59"/>
      <c r="I65" s="60"/>
      <c r="J65" s="60"/>
      <c r="K65" s="60"/>
      <c r="L65" s="61"/>
    </row>
    <row r="66" spans="2:12" ht="18" customHeight="1" x14ac:dyDescent="0.4">
      <c r="B66" s="128" t="s">
        <v>70</v>
      </c>
      <c r="C66" s="15" t="s">
        <v>37</v>
      </c>
      <c r="D66" s="17">
        <f t="shared" si="9"/>
        <v>19.5</v>
      </c>
      <c r="E66" s="12">
        <v>30</v>
      </c>
      <c r="F66" s="8">
        <f t="shared" si="10"/>
        <v>0</v>
      </c>
      <c r="G66" s="8">
        <f t="shared" si="11"/>
        <v>0</v>
      </c>
      <c r="H66" s="88" t="s">
        <v>255</v>
      </c>
      <c r="I66" s="89"/>
      <c r="J66" s="89"/>
      <c r="K66" s="89"/>
      <c r="L66" s="90"/>
    </row>
    <row r="67" spans="2:12" ht="18" customHeight="1" x14ac:dyDescent="0.4">
      <c r="B67" s="129"/>
      <c r="C67" s="15" t="s">
        <v>17</v>
      </c>
      <c r="D67" s="17">
        <f t="shared" si="9"/>
        <v>6.5</v>
      </c>
      <c r="E67" s="12">
        <v>10</v>
      </c>
      <c r="F67" s="8">
        <f t="shared" si="10"/>
        <v>0</v>
      </c>
      <c r="G67" s="8">
        <f t="shared" si="11"/>
        <v>0</v>
      </c>
      <c r="H67" s="91"/>
      <c r="I67" s="92"/>
      <c r="J67" s="92"/>
      <c r="K67" s="92"/>
      <c r="L67" s="93"/>
    </row>
    <row r="68" spans="2:12" ht="18" customHeight="1" x14ac:dyDescent="0.4">
      <c r="B68" s="129"/>
      <c r="C68" s="15" t="s">
        <v>71</v>
      </c>
      <c r="D68" s="9">
        <f t="shared" si="9"/>
        <v>1.9500000000000002</v>
      </c>
      <c r="E68" s="12">
        <v>3</v>
      </c>
      <c r="F68" s="8">
        <f t="shared" si="10"/>
        <v>0</v>
      </c>
      <c r="G68" s="8">
        <f t="shared" si="11"/>
        <v>0</v>
      </c>
      <c r="H68" s="91"/>
      <c r="I68" s="92"/>
      <c r="J68" s="92"/>
      <c r="K68" s="92"/>
      <c r="L68" s="93"/>
    </row>
    <row r="69" spans="2:12" ht="18" customHeight="1" x14ac:dyDescent="0.4">
      <c r="B69" s="129"/>
      <c r="C69" s="15" t="s">
        <v>61</v>
      </c>
      <c r="D69" s="17">
        <f t="shared" si="9"/>
        <v>0.65</v>
      </c>
      <c r="E69" s="12">
        <v>1</v>
      </c>
      <c r="F69" s="8">
        <f t="shared" si="10"/>
        <v>0</v>
      </c>
      <c r="G69" s="8">
        <f t="shared" si="11"/>
        <v>0</v>
      </c>
      <c r="H69" s="91"/>
      <c r="I69" s="92"/>
      <c r="J69" s="92"/>
      <c r="K69" s="92"/>
      <c r="L69" s="93"/>
    </row>
    <row r="70" spans="2:12" ht="18" customHeight="1" x14ac:dyDescent="0.4">
      <c r="B70" s="129"/>
      <c r="C70" s="15" t="s">
        <v>22</v>
      </c>
      <c r="D70" s="17">
        <f t="shared" si="9"/>
        <v>1.3</v>
      </c>
      <c r="E70" s="12">
        <v>2</v>
      </c>
      <c r="F70" s="8">
        <f t="shared" si="10"/>
        <v>0</v>
      </c>
      <c r="G70" s="8">
        <f t="shared" si="11"/>
        <v>0</v>
      </c>
      <c r="H70" s="91"/>
      <c r="I70" s="92"/>
      <c r="J70" s="92"/>
      <c r="K70" s="92"/>
      <c r="L70" s="93"/>
    </row>
    <row r="71" spans="2:12" ht="18" customHeight="1" x14ac:dyDescent="0.4">
      <c r="B71" s="129"/>
      <c r="C71" s="15" t="s">
        <v>21</v>
      </c>
      <c r="D71" s="17">
        <f t="shared" si="9"/>
        <v>1.3</v>
      </c>
      <c r="E71" s="12">
        <v>2</v>
      </c>
      <c r="F71" s="8">
        <f t="shared" si="10"/>
        <v>0</v>
      </c>
      <c r="G71" s="8">
        <f t="shared" si="11"/>
        <v>0</v>
      </c>
      <c r="H71" s="91"/>
      <c r="I71" s="92"/>
      <c r="J71" s="92"/>
      <c r="K71" s="92"/>
      <c r="L71" s="93"/>
    </row>
    <row r="72" spans="2:12" ht="18" customHeight="1" x14ac:dyDescent="0.4">
      <c r="B72" s="152" t="s">
        <v>256</v>
      </c>
      <c r="C72" s="11" t="s">
        <v>27</v>
      </c>
      <c r="D72" s="165">
        <f t="shared" si="9"/>
        <v>26</v>
      </c>
      <c r="E72" s="166">
        <v>40</v>
      </c>
      <c r="F72" s="44">
        <f t="shared" si="10"/>
        <v>0</v>
      </c>
      <c r="G72" s="44">
        <f t="shared" si="11"/>
        <v>0</v>
      </c>
      <c r="H72" s="167" t="s">
        <v>257</v>
      </c>
      <c r="I72" s="168"/>
      <c r="J72" s="168"/>
      <c r="K72" s="168"/>
      <c r="L72" s="169"/>
    </row>
    <row r="73" spans="2:12" ht="18" customHeight="1" x14ac:dyDescent="0.4">
      <c r="B73" s="153"/>
      <c r="C73" s="11" t="s">
        <v>121</v>
      </c>
      <c r="D73" s="170">
        <f t="shared" si="9"/>
        <v>6.5</v>
      </c>
      <c r="E73" s="166">
        <v>10</v>
      </c>
      <c r="F73" s="44">
        <f t="shared" si="10"/>
        <v>0</v>
      </c>
      <c r="G73" s="44">
        <f t="shared" si="11"/>
        <v>0</v>
      </c>
      <c r="H73" s="171"/>
      <c r="I73" s="172"/>
      <c r="J73" s="172"/>
      <c r="K73" s="172"/>
      <c r="L73" s="173"/>
    </row>
    <row r="74" spans="2:12" ht="18" customHeight="1" x14ac:dyDescent="0.4">
      <c r="B74" s="153"/>
      <c r="C74" s="11" t="s">
        <v>56</v>
      </c>
      <c r="D74" s="170">
        <f t="shared" si="9"/>
        <v>3.25</v>
      </c>
      <c r="E74" s="166">
        <v>5</v>
      </c>
      <c r="F74" s="44">
        <f t="shared" si="10"/>
        <v>0</v>
      </c>
      <c r="G74" s="44">
        <f t="shared" si="11"/>
        <v>0</v>
      </c>
      <c r="H74" s="171"/>
      <c r="I74" s="172"/>
      <c r="J74" s="172"/>
      <c r="K74" s="172"/>
      <c r="L74" s="173"/>
    </row>
    <row r="75" spans="2:12" ht="18" customHeight="1" x14ac:dyDescent="0.4">
      <c r="B75" s="153"/>
      <c r="C75" s="11" t="s">
        <v>72</v>
      </c>
      <c r="D75" s="170">
        <f t="shared" si="9"/>
        <v>3.25</v>
      </c>
      <c r="E75" s="166">
        <v>5</v>
      </c>
      <c r="F75" s="44">
        <f t="shared" si="10"/>
        <v>0</v>
      </c>
      <c r="G75" s="44">
        <f t="shared" si="11"/>
        <v>0</v>
      </c>
      <c r="H75" s="171"/>
      <c r="I75" s="172"/>
      <c r="J75" s="172"/>
      <c r="K75" s="172"/>
      <c r="L75" s="173"/>
    </row>
    <row r="76" spans="2:12" ht="18" customHeight="1" x14ac:dyDescent="0.4">
      <c r="B76" s="153"/>
      <c r="C76" s="11" t="s">
        <v>73</v>
      </c>
      <c r="D76" s="170">
        <f t="shared" si="9"/>
        <v>3.25</v>
      </c>
      <c r="E76" s="166">
        <v>5</v>
      </c>
      <c r="F76" s="44">
        <f t="shared" si="10"/>
        <v>0</v>
      </c>
      <c r="G76" s="44">
        <f t="shared" si="11"/>
        <v>0</v>
      </c>
      <c r="H76" s="171"/>
      <c r="I76" s="172"/>
      <c r="J76" s="172"/>
      <c r="K76" s="172"/>
      <c r="L76" s="173"/>
    </row>
    <row r="77" spans="2:12" ht="18" customHeight="1" x14ac:dyDescent="0.4">
      <c r="B77" s="153"/>
      <c r="C77" s="11" t="s">
        <v>64</v>
      </c>
      <c r="D77" s="165">
        <f t="shared" si="9"/>
        <v>1.9500000000000002</v>
      </c>
      <c r="E77" s="166">
        <v>3</v>
      </c>
      <c r="F77" s="44">
        <f t="shared" si="10"/>
        <v>0</v>
      </c>
      <c r="G77" s="44">
        <f t="shared" si="11"/>
        <v>0</v>
      </c>
      <c r="H77" s="171"/>
      <c r="I77" s="172"/>
      <c r="J77" s="172"/>
      <c r="K77" s="172"/>
      <c r="L77" s="173"/>
    </row>
    <row r="78" spans="2:12" ht="18" customHeight="1" x14ac:dyDescent="0.4">
      <c r="B78" s="153"/>
      <c r="C78" s="11" t="s">
        <v>76</v>
      </c>
      <c r="D78" s="170">
        <f t="shared" si="9"/>
        <v>1.3</v>
      </c>
      <c r="E78" s="166">
        <v>2</v>
      </c>
      <c r="F78" s="44">
        <f t="shared" si="10"/>
        <v>0</v>
      </c>
      <c r="G78" s="44">
        <f t="shared" si="11"/>
        <v>0</v>
      </c>
      <c r="H78" s="171"/>
      <c r="I78" s="172"/>
      <c r="J78" s="172"/>
      <c r="K78" s="172"/>
      <c r="L78" s="173"/>
    </row>
    <row r="79" spans="2:12" ht="18" customHeight="1" x14ac:dyDescent="0.4">
      <c r="B79" s="153"/>
      <c r="C79" s="35" t="s">
        <v>61</v>
      </c>
      <c r="D79" s="170">
        <f t="shared" si="9"/>
        <v>0.65</v>
      </c>
      <c r="E79" s="174">
        <v>1</v>
      </c>
      <c r="F79" s="44">
        <f t="shared" si="10"/>
        <v>0</v>
      </c>
      <c r="G79" s="44">
        <f t="shared" si="11"/>
        <v>0</v>
      </c>
      <c r="H79" s="171"/>
      <c r="I79" s="172"/>
      <c r="J79" s="172"/>
      <c r="K79" s="172"/>
      <c r="L79" s="173"/>
    </row>
    <row r="80" spans="2:12" ht="18" customHeight="1" x14ac:dyDescent="0.4">
      <c r="B80" s="153"/>
      <c r="C80" s="35" t="s">
        <v>79</v>
      </c>
      <c r="D80" s="170">
        <f t="shared" si="9"/>
        <v>0.32500000000000001</v>
      </c>
      <c r="E80" s="174">
        <v>0.5</v>
      </c>
      <c r="F80" s="44">
        <f t="shared" si="10"/>
        <v>0</v>
      </c>
      <c r="G80" s="44">
        <f t="shared" si="11"/>
        <v>0</v>
      </c>
      <c r="H80" s="171"/>
      <c r="I80" s="172"/>
      <c r="J80" s="172"/>
      <c r="K80" s="172"/>
      <c r="L80" s="173"/>
    </row>
    <row r="81" spans="2:12" ht="18" customHeight="1" x14ac:dyDescent="0.4">
      <c r="B81" s="153"/>
      <c r="C81" s="35" t="s">
        <v>83</v>
      </c>
      <c r="D81" s="170">
        <f t="shared" si="9"/>
        <v>0.19500000000000001</v>
      </c>
      <c r="E81" s="174">
        <v>0.3</v>
      </c>
      <c r="F81" s="44">
        <f t="shared" si="10"/>
        <v>0</v>
      </c>
      <c r="G81" s="44">
        <f t="shared" si="11"/>
        <v>0</v>
      </c>
      <c r="H81" s="171"/>
      <c r="I81" s="172"/>
      <c r="J81" s="172"/>
      <c r="K81" s="172"/>
      <c r="L81" s="173"/>
    </row>
    <row r="82" spans="2:12" ht="18" customHeight="1" x14ac:dyDescent="0.4">
      <c r="B82" s="153"/>
      <c r="C82" s="35" t="s">
        <v>75</v>
      </c>
      <c r="D82" s="170">
        <f t="shared" si="9"/>
        <v>6.5000000000000002E-2</v>
      </c>
      <c r="E82" s="174">
        <v>0.1</v>
      </c>
      <c r="F82" s="44">
        <f t="shared" si="10"/>
        <v>0</v>
      </c>
      <c r="G82" s="44">
        <f t="shared" si="11"/>
        <v>0</v>
      </c>
      <c r="H82" s="171"/>
      <c r="I82" s="172"/>
      <c r="J82" s="172"/>
      <c r="K82" s="172"/>
      <c r="L82" s="173"/>
    </row>
    <row r="83" spans="2:12" ht="18" customHeight="1" x14ac:dyDescent="0.4">
      <c r="B83" s="152" t="s">
        <v>258</v>
      </c>
      <c r="C83" s="35" t="s">
        <v>259</v>
      </c>
      <c r="D83" s="28">
        <f t="shared" si="9"/>
        <v>22.75</v>
      </c>
      <c r="E83" s="11">
        <v>35</v>
      </c>
      <c r="F83" s="44">
        <f t="shared" si="10"/>
        <v>0</v>
      </c>
      <c r="G83" s="44">
        <f t="shared" si="11"/>
        <v>0</v>
      </c>
      <c r="H83" s="175" t="s">
        <v>260</v>
      </c>
      <c r="I83" s="176"/>
      <c r="J83" s="176"/>
      <c r="K83" s="176"/>
      <c r="L83" s="177"/>
    </row>
    <row r="84" spans="2:12" ht="18" customHeight="1" x14ac:dyDescent="0.4">
      <c r="B84" s="153"/>
      <c r="C84" s="35" t="s">
        <v>64</v>
      </c>
      <c r="D84" s="27">
        <f t="shared" si="9"/>
        <v>13</v>
      </c>
      <c r="E84" s="11">
        <v>20</v>
      </c>
      <c r="F84" s="44">
        <f t="shared" si="10"/>
        <v>0</v>
      </c>
      <c r="G84" s="44">
        <f t="shared" si="11"/>
        <v>0</v>
      </c>
      <c r="H84" s="178"/>
      <c r="I84" s="179"/>
      <c r="J84" s="179"/>
      <c r="K84" s="179"/>
      <c r="L84" s="180"/>
    </row>
    <row r="85" spans="2:12" ht="18" customHeight="1" x14ac:dyDescent="0.4">
      <c r="B85" s="153"/>
      <c r="C85" s="35" t="s">
        <v>61</v>
      </c>
      <c r="D85" s="28">
        <f t="shared" si="9"/>
        <v>0.32500000000000001</v>
      </c>
      <c r="E85" s="11">
        <v>0.5</v>
      </c>
      <c r="F85" s="44">
        <f t="shared" si="10"/>
        <v>0</v>
      </c>
      <c r="G85" s="44">
        <f t="shared" si="11"/>
        <v>0</v>
      </c>
      <c r="H85" s="178"/>
      <c r="I85" s="179"/>
      <c r="J85" s="179"/>
      <c r="K85" s="179"/>
      <c r="L85" s="180"/>
    </row>
    <row r="86" spans="2:12" ht="18" customHeight="1" x14ac:dyDescent="0.4">
      <c r="B86" s="153"/>
      <c r="C86" s="35" t="s">
        <v>83</v>
      </c>
      <c r="D86" s="28">
        <f t="shared" si="9"/>
        <v>0.13</v>
      </c>
      <c r="E86" s="11">
        <v>0.2</v>
      </c>
      <c r="F86" s="44">
        <f t="shared" si="10"/>
        <v>0</v>
      </c>
      <c r="G86" s="44">
        <f t="shared" si="11"/>
        <v>0</v>
      </c>
      <c r="H86" s="178"/>
      <c r="I86" s="179"/>
      <c r="J86" s="179"/>
      <c r="K86" s="179"/>
      <c r="L86" s="180"/>
    </row>
    <row r="87" spans="2:12" ht="18" customHeight="1" x14ac:dyDescent="0.4">
      <c r="B87" s="153"/>
      <c r="C87" s="35" t="s">
        <v>91</v>
      </c>
      <c r="D87" s="28">
        <f t="shared" si="9"/>
        <v>0.13</v>
      </c>
      <c r="E87" s="11">
        <v>0.2</v>
      </c>
      <c r="F87" s="44">
        <f t="shared" si="10"/>
        <v>0</v>
      </c>
      <c r="G87" s="44">
        <f t="shared" si="11"/>
        <v>0</v>
      </c>
      <c r="H87" s="178"/>
      <c r="I87" s="179"/>
      <c r="J87" s="179"/>
      <c r="K87" s="179"/>
      <c r="L87" s="180"/>
    </row>
    <row r="88" spans="2:12" ht="18" customHeight="1" x14ac:dyDescent="0.4">
      <c r="B88" s="154"/>
      <c r="C88" s="35" t="s">
        <v>79</v>
      </c>
      <c r="D88" s="28">
        <f t="shared" si="9"/>
        <v>6.5000000000000002E-2</v>
      </c>
      <c r="E88" s="11">
        <v>0.1</v>
      </c>
      <c r="F88" s="44">
        <f t="shared" si="10"/>
        <v>0</v>
      </c>
      <c r="G88" s="44">
        <f t="shared" si="11"/>
        <v>0</v>
      </c>
      <c r="H88" s="181"/>
      <c r="I88" s="182"/>
      <c r="J88" s="182"/>
      <c r="K88" s="182"/>
      <c r="L88" s="183"/>
    </row>
    <row r="89" spans="2:12" ht="18" customHeight="1" thickBot="1" x14ac:dyDescent="0.45">
      <c r="B89" s="155" t="s">
        <v>118</v>
      </c>
      <c r="C89" s="36" t="s">
        <v>119</v>
      </c>
      <c r="D89" s="22">
        <f t="shared" si="9"/>
        <v>13</v>
      </c>
      <c r="E89" s="21">
        <v>20</v>
      </c>
      <c r="F89" s="22">
        <f t="shared" si="10"/>
        <v>0</v>
      </c>
      <c r="G89" s="22">
        <f t="shared" si="11"/>
        <v>0</v>
      </c>
      <c r="H89" s="114" t="s">
        <v>53</v>
      </c>
      <c r="I89" s="114"/>
      <c r="J89" s="114"/>
      <c r="K89" s="114"/>
      <c r="L89" s="115"/>
    </row>
    <row r="90" spans="2:12" ht="80.099999999999994" customHeight="1" thickTop="1" x14ac:dyDescent="0.4">
      <c r="B90" s="84"/>
      <c r="C90" s="84"/>
      <c r="D90" s="84"/>
      <c r="E90" s="84"/>
      <c r="F90" s="84"/>
      <c r="G90" s="84"/>
      <c r="H90" s="84"/>
      <c r="I90" s="84"/>
      <c r="J90" s="84"/>
      <c r="K90" s="84"/>
      <c r="L90" s="84"/>
    </row>
    <row r="91" spans="2:12" ht="18" customHeight="1" thickBot="1" x14ac:dyDescent="0.45"/>
    <row r="92" spans="2:12" ht="21" customHeight="1" thickTop="1" x14ac:dyDescent="0.4">
      <c r="B92" s="145" t="s">
        <v>137</v>
      </c>
      <c r="C92" s="146"/>
      <c r="D92" s="146"/>
      <c r="E92" s="146"/>
      <c r="F92" s="146"/>
      <c r="G92" s="146"/>
      <c r="H92" s="146"/>
      <c r="I92" s="146"/>
      <c r="J92" s="146"/>
      <c r="K92" s="146"/>
      <c r="L92" s="147"/>
    </row>
    <row r="93" spans="2:12" ht="18" customHeight="1" x14ac:dyDescent="0.4">
      <c r="B93" s="96" t="s">
        <v>261</v>
      </c>
      <c r="C93" s="94" t="s">
        <v>4</v>
      </c>
      <c r="D93" s="94" t="s">
        <v>5</v>
      </c>
      <c r="E93" s="94"/>
      <c r="F93" s="94" t="s">
        <v>6</v>
      </c>
      <c r="G93" s="94"/>
      <c r="H93" s="94" t="s">
        <v>7</v>
      </c>
      <c r="I93" s="94"/>
      <c r="J93" s="94"/>
      <c r="K93" s="94"/>
      <c r="L93" s="95"/>
    </row>
    <row r="94" spans="2:12" ht="18" customHeight="1" x14ac:dyDescent="0.4">
      <c r="B94" s="96"/>
      <c r="C94" s="94"/>
      <c r="D94" s="5" t="s">
        <v>1</v>
      </c>
      <c r="E94" s="5" t="s">
        <v>2</v>
      </c>
      <c r="F94" s="6" t="s">
        <v>1</v>
      </c>
      <c r="G94" s="7" t="s">
        <v>2</v>
      </c>
      <c r="H94" s="94"/>
      <c r="I94" s="94"/>
      <c r="J94" s="94"/>
      <c r="K94" s="94"/>
      <c r="L94" s="95"/>
    </row>
    <row r="95" spans="2:12" ht="18" customHeight="1" x14ac:dyDescent="0.4">
      <c r="B95" s="124" t="s">
        <v>87</v>
      </c>
      <c r="C95" s="13" t="s">
        <v>58</v>
      </c>
      <c r="D95" s="14">
        <f t="shared" ref="D95:D118" si="12">E95*0.65</f>
        <v>32.5</v>
      </c>
      <c r="E95" s="12">
        <v>50</v>
      </c>
      <c r="F95" s="8">
        <f t="shared" ref="F95:F118" si="13">D95*D$2</f>
        <v>0</v>
      </c>
      <c r="G95" s="8">
        <f t="shared" ref="G95:G118" si="14">E95*D$3</f>
        <v>0</v>
      </c>
      <c r="H95" s="53" t="s">
        <v>149</v>
      </c>
      <c r="I95" s="54"/>
      <c r="J95" s="54"/>
      <c r="K95" s="54"/>
      <c r="L95" s="55"/>
    </row>
    <row r="96" spans="2:12" ht="18" customHeight="1" x14ac:dyDescent="0.4">
      <c r="B96" s="125"/>
      <c r="C96" s="13" t="s">
        <v>150</v>
      </c>
      <c r="D96" s="14">
        <f t="shared" si="12"/>
        <v>1.625</v>
      </c>
      <c r="E96" s="12">
        <v>2.5</v>
      </c>
      <c r="F96" s="8">
        <f t="shared" si="13"/>
        <v>0</v>
      </c>
      <c r="G96" s="8">
        <f t="shared" si="14"/>
        <v>0</v>
      </c>
      <c r="H96" s="59"/>
      <c r="I96" s="60"/>
      <c r="J96" s="60"/>
      <c r="K96" s="60"/>
      <c r="L96" s="61"/>
    </row>
    <row r="97" spans="2:12" ht="18" customHeight="1" x14ac:dyDescent="0.4">
      <c r="B97" s="140" t="s">
        <v>94</v>
      </c>
      <c r="C97" s="13" t="s">
        <v>32</v>
      </c>
      <c r="D97" s="9">
        <f t="shared" si="12"/>
        <v>13</v>
      </c>
      <c r="E97" s="13">
        <v>20</v>
      </c>
      <c r="F97" s="8">
        <f t="shared" si="13"/>
        <v>0</v>
      </c>
      <c r="G97" s="8">
        <f t="shared" si="14"/>
        <v>0</v>
      </c>
      <c r="H97" s="62" t="s">
        <v>262</v>
      </c>
      <c r="I97" s="62"/>
      <c r="J97" s="62"/>
      <c r="K97" s="62"/>
      <c r="L97" s="63"/>
    </row>
    <row r="98" spans="2:12" ht="18" customHeight="1" x14ac:dyDescent="0.4">
      <c r="B98" s="140"/>
      <c r="C98" s="13" t="s">
        <v>22</v>
      </c>
      <c r="D98" s="17">
        <f t="shared" si="12"/>
        <v>1.3</v>
      </c>
      <c r="E98" s="13">
        <v>2</v>
      </c>
      <c r="F98" s="8">
        <f t="shared" si="13"/>
        <v>0</v>
      </c>
      <c r="G98" s="8">
        <f t="shared" si="14"/>
        <v>0</v>
      </c>
      <c r="H98" s="62"/>
      <c r="I98" s="62"/>
      <c r="J98" s="62"/>
      <c r="K98" s="62"/>
      <c r="L98" s="63"/>
    </row>
    <row r="99" spans="2:12" ht="18" customHeight="1" x14ac:dyDescent="0.4">
      <c r="B99" s="140"/>
      <c r="C99" s="13" t="s">
        <v>21</v>
      </c>
      <c r="D99" s="17">
        <f t="shared" si="12"/>
        <v>1.3</v>
      </c>
      <c r="E99" s="13">
        <v>2</v>
      </c>
      <c r="F99" s="8">
        <f t="shared" si="13"/>
        <v>0</v>
      </c>
      <c r="G99" s="8">
        <f t="shared" si="14"/>
        <v>0</v>
      </c>
      <c r="H99" s="62"/>
      <c r="I99" s="62"/>
      <c r="J99" s="62"/>
      <c r="K99" s="62"/>
      <c r="L99" s="63"/>
    </row>
    <row r="100" spans="2:12" ht="18" customHeight="1" x14ac:dyDescent="0.4">
      <c r="B100" s="140"/>
      <c r="C100" s="13" t="s">
        <v>13</v>
      </c>
      <c r="D100" s="17">
        <f t="shared" si="12"/>
        <v>0.65</v>
      </c>
      <c r="E100" s="13">
        <v>1</v>
      </c>
      <c r="F100" s="8">
        <f t="shared" si="13"/>
        <v>0</v>
      </c>
      <c r="G100" s="8">
        <f t="shared" si="14"/>
        <v>0</v>
      </c>
      <c r="H100" s="62"/>
      <c r="I100" s="62"/>
      <c r="J100" s="62"/>
      <c r="K100" s="62"/>
      <c r="L100" s="63"/>
    </row>
    <row r="101" spans="2:12" ht="18" customHeight="1" x14ac:dyDescent="0.4">
      <c r="B101" s="140"/>
      <c r="C101" s="13" t="s">
        <v>10</v>
      </c>
      <c r="D101" s="17">
        <f t="shared" si="12"/>
        <v>0.32500000000000001</v>
      </c>
      <c r="E101" s="13">
        <v>0.5</v>
      </c>
      <c r="F101" s="8">
        <f t="shared" si="13"/>
        <v>0</v>
      </c>
      <c r="G101" s="8">
        <f t="shared" si="14"/>
        <v>0</v>
      </c>
      <c r="H101" s="62"/>
      <c r="I101" s="62"/>
      <c r="J101" s="62"/>
      <c r="K101" s="62"/>
      <c r="L101" s="63"/>
    </row>
    <row r="102" spans="2:12" ht="18" customHeight="1" x14ac:dyDescent="0.4">
      <c r="B102" s="140"/>
      <c r="C102" s="13" t="s">
        <v>61</v>
      </c>
      <c r="D102" s="17">
        <f t="shared" si="12"/>
        <v>0.32500000000000001</v>
      </c>
      <c r="E102" s="13">
        <v>0.5</v>
      </c>
      <c r="F102" s="8">
        <f t="shared" si="13"/>
        <v>0</v>
      </c>
      <c r="G102" s="8">
        <f t="shared" si="14"/>
        <v>0</v>
      </c>
      <c r="H102" s="62"/>
      <c r="I102" s="62"/>
      <c r="J102" s="62"/>
      <c r="K102" s="62"/>
      <c r="L102" s="63"/>
    </row>
    <row r="103" spans="2:12" ht="18" customHeight="1" x14ac:dyDescent="0.4">
      <c r="B103" s="140"/>
      <c r="C103" s="13" t="s">
        <v>19</v>
      </c>
      <c r="D103" s="17">
        <f t="shared" si="12"/>
        <v>1.3</v>
      </c>
      <c r="E103" s="13">
        <v>2</v>
      </c>
      <c r="F103" s="8">
        <f t="shared" si="13"/>
        <v>0</v>
      </c>
      <c r="G103" s="8">
        <f t="shared" si="14"/>
        <v>0</v>
      </c>
      <c r="H103" s="62"/>
      <c r="I103" s="62"/>
      <c r="J103" s="62"/>
      <c r="K103" s="62"/>
      <c r="L103" s="63"/>
    </row>
    <row r="104" spans="2:12" ht="18" customHeight="1" x14ac:dyDescent="0.4">
      <c r="B104" s="134" t="s">
        <v>263</v>
      </c>
      <c r="C104" s="184" t="s">
        <v>62</v>
      </c>
      <c r="D104" s="27">
        <f t="shared" si="12"/>
        <v>26</v>
      </c>
      <c r="E104" s="185">
        <v>40</v>
      </c>
      <c r="F104" s="44">
        <f t="shared" si="13"/>
        <v>0</v>
      </c>
      <c r="G104" s="44">
        <f t="shared" si="14"/>
        <v>0</v>
      </c>
      <c r="H104" s="186" t="s">
        <v>264</v>
      </c>
      <c r="I104" s="187"/>
      <c r="J104" s="187"/>
      <c r="K104" s="187"/>
      <c r="L104" s="188"/>
    </row>
    <row r="105" spans="2:12" ht="18" customHeight="1" x14ac:dyDescent="0.4">
      <c r="B105" s="135"/>
      <c r="C105" s="184" t="s">
        <v>77</v>
      </c>
      <c r="D105" s="27">
        <f t="shared" si="12"/>
        <v>13</v>
      </c>
      <c r="E105" s="11">
        <v>20</v>
      </c>
      <c r="F105" s="44">
        <f t="shared" si="13"/>
        <v>0</v>
      </c>
      <c r="G105" s="44">
        <f t="shared" si="14"/>
        <v>0</v>
      </c>
      <c r="H105" s="189"/>
      <c r="I105" s="190"/>
      <c r="J105" s="190"/>
      <c r="K105" s="190"/>
      <c r="L105" s="191"/>
    </row>
    <row r="106" spans="2:12" ht="18" customHeight="1" x14ac:dyDescent="0.4">
      <c r="B106" s="135"/>
      <c r="C106" s="184" t="s">
        <v>61</v>
      </c>
      <c r="D106" s="28">
        <f t="shared" si="12"/>
        <v>3.25</v>
      </c>
      <c r="E106" s="185">
        <v>5</v>
      </c>
      <c r="F106" s="44">
        <f t="shared" si="13"/>
        <v>0</v>
      </c>
      <c r="G106" s="44">
        <f t="shared" si="14"/>
        <v>0</v>
      </c>
      <c r="H106" s="189"/>
      <c r="I106" s="190"/>
      <c r="J106" s="190"/>
      <c r="K106" s="190"/>
      <c r="L106" s="191"/>
    </row>
    <row r="107" spans="2:12" ht="18" customHeight="1" x14ac:dyDescent="0.4">
      <c r="B107" s="135"/>
      <c r="C107" s="184" t="s">
        <v>72</v>
      </c>
      <c r="D107" s="28">
        <f t="shared" si="12"/>
        <v>3.25</v>
      </c>
      <c r="E107" s="185">
        <v>5</v>
      </c>
      <c r="F107" s="44">
        <f t="shared" si="13"/>
        <v>0</v>
      </c>
      <c r="G107" s="44">
        <f t="shared" si="14"/>
        <v>0</v>
      </c>
      <c r="H107" s="189"/>
      <c r="I107" s="190"/>
      <c r="J107" s="190"/>
      <c r="K107" s="190"/>
      <c r="L107" s="191"/>
    </row>
    <row r="108" spans="2:12" ht="18" customHeight="1" x14ac:dyDescent="0.4">
      <c r="B108" s="135"/>
      <c r="C108" s="184" t="s">
        <v>73</v>
      </c>
      <c r="D108" s="28">
        <f t="shared" si="12"/>
        <v>3.25</v>
      </c>
      <c r="E108" s="185">
        <v>5</v>
      </c>
      <c r="F108" s="44">
        <f t="shared" si="13"/>
        <v>0</v>
      </c>
      <c r="G108" s="44">
        <f t="shared" si="14"/>
        <v>0</v>
      </c>
      <c r="H108" s="189"/>
      <c r="I108" s="190"/>
      <c r="J108" s="190"/>
      <c r="K108" s="190"/>
      <c r="L108" s="191"/>
    </row>
    <row r="109" spans="2:12" ht="18" customHeight="1" x14ac:dyDescent="0.4">
      <c r="B109" s="135"/>
      <c r="C109" s="184" t="s">
        <v>64</v>
      </c>
      <c r="D109" s="27">
        <f t="shared" si="12"/>
        <v>1.9500000000000002</v>
      </c>
      <c r="E109" s="185">
        <v>3</v>
      </c>
      <c r="F109" s="44">
        <f t="shared" si="13"/>
        <v>0</v>
      </c>
      <c r="G109" s="44">
        <f t="shared" si="14"/>
        <v>0</v>
      </c>
      <c r="H109" s="189"/>
      <c r="I109" s="190"/>
      <c r="J109" s="190"/>
      <c r="K109" s="190"/>
      <c r="L109" s="191"/>
    </row>
    <row r="110" spans="2:12" ht="18" customHeight="1" x14ac:dyDescent="0.4">
      <c r="B110" s="135"/>
      <c r="C110" s="184" t="s">
        <v>79</v>
      </c>
      <c r="D110" s="27">
        <f t="shared" si="12"/>
        <v>1.9500000000000002</v>
      </c>
      <c r="E110" s="184">
        <v>3</v>
      </c>
      <c r="F110" s="44">
        <f t="shared" si="13"/>
        <v>0</v>
      </c>
      <c r="G110" s="44">
        <f t="shared" si="14"/>
        <v>0</v>
      </c>
      <c r="H110" s="189"/>
      <c r="I110" s="190"/>
      <c r="J110" s="190"/>
      <c r="K110" s="190"/>
      <c r="L110" s="191"/>
    </row>
    <row r="111" spans="2:12" ht="18" customHeight="1" x14ac:dyDescent="0.4">
      <c r="B111" s="135"/>
      <c r="C111" s="192" t="s">
        <v>178</v>
      </c>
      <c r="D111" s="27">
        <f t="shared" si="12"/>
        <v>1.9500000000000002</v>
      </c>
      <c r="E111" s="193">
        <v>3</v>
      </c>
      <c r="F111" s="44">
        <f t="shared" si="13"/>
        <v>0</v>
      </c>
      <c r="G111" s="44">
        <f t="shared" si="14"/>
        <v>0</v>
      </c>
      <c r="H111" s="189"/>
      <c r="I111" s="190"/>
      <c r="J111" s="190"/>
      <c r="K111" s="190"/>
      <c r="L111" s="191"/>
    </row>
    <row r="112" spans="2:12" ht="18" customHeight="1" x14ac:dyDescent="0.4">
      <c r="B112" s="135"/>
      <c r="C112" s="184" t="s">
        <v>81</v>
      </c>
      <c r="D112" s="28">
        <f t="shared" si="12"/>
        <v>1.3</v>
      </c>
      <c r="E112" s="185">
        <v>2</v>
      </c>
      <c r="F112" s="44">
        <f t="shared" si="13"/>
        <v>0</v>
      </c>
      <c r="G112" s="44">
        <f t="shared" si="14"/>
        <v>0</v>
      </c>
      <c r="H112" s="189"/>
      <c r="I112" s="190"/>
      <c r="J112" s="190"/>
      <c r="K112" s="190"/>
      <c r="L112" s="191"/>
    </row>
    <row r="113" spans="2:12" ht="18" customHeight="1" x14ac:dyDescent="0.4">
      <c r="B113" s="136"/>
      <c r="C113" s="184" t="s">
        <v>75</v>
      </c>
      <c r="D113" s="28">
        <f t="shared" si="12"/>
        <v>0.13</v>
      </c>
      <c r="E113" s="185">
        <v>0.2</v>
      </c>
      <c r="F113" s="44">
        <f t="shared" si="13"/>
        <v>0</v>
      </c>
      <c r="G113" s="44">
        <f t="shared" si="14"/>
        <v>0</v>
      </c>
      <c r="H113" s="194"/>
      <c r="I113" s="195"/>
      <c r="J113" s="195"/>
      <c r="K113" s="195"/>
      <c r="L113" s="196"/>
    </row>
    <row r="114" spans="2:12" ht="18" customHeight="1" x14ac:dyDescent="0.4">
      <c r="B114" s="130" t="s">
        <v>128</v>
      </c>
      <c r="C114" s="13" t="s">
        <v>90</v>
      </c>
      <c r="D114" s="8">
        <f t="shared" si="12"/>
        <v>19.5</v>
      </c>
      <c r="E114" s="13">
        <v>30</v>
      </c>
      <c r="F114" s="8">
        <f t="shared" si="13"/>
        <v>0</v>
      </c>
      <c r="G114" s="8">
        <f t="shared" si="14"/>
        <v>0</v>
      </c>
      <c r="H114" s="88" t="s">
        <v>265</v>
      </c>
      <c r="I114" s="89"/>
      <c r="J114" s="89"/>
      <c r="K114" s="89"/>
      <c r="L114" s="90"/>
    </row>
    <row r="115" spans="2:12" ht="18" customHeight="1" x14ac:dyDescent="0.4">
      <c r="B115" s="131"/>
      <c r="C115" s="13" t="s">
        <v>74</v>
      </c>
      <c r="D115" s="18">
        <f t="shared" si="12"/>
        <v>0.65</v>
      </c>
      <c r="E115" s="13">
        <v>1</v>
      </c>
      <c r="F115" s="8">
        <f t="shared" si="13"/>
        <v>0</v>
      </c>
      <c r="G115" s="8">
        <f t="shared" si="14"/>
        <v>0</v>
      </c>
      <c r="H115" s="91"/>
      <c r="I115" s="92"/>
      <c r="J115" s="92"/>
      <c r="K115" s="92"/>
      <c r="L115" s="93"/>
    </row>
    <row r="116" spans="2:12" ht="18" customHeight="1" x14ac:dyDescent="0.4">
      <c r="B116" s="131"/>
      <c r="C116" s="13" t="s">
        <v>83</v>
      </c>
      <c r="D116" s="18">
        <f t="shared" si="12"/>
        <v>0.65</v>
      </c>
      <c r="E116" s="13">
        <v>1</v>
      </c>
      <c r="F116" s="8">
        <f t="shared" si="13"/>
        <v>0</v>
      </c>
      <c r="G116" s="8">
        <f t="shared" si="14"/>
        <v>0</v>
      </c>
      <c r="H116" s="91"/>
      <c r="I116" s="92"/>
      <c r="J116" s="92"/>
      <c r="K116" s="92"/>
      <c r="L116" s="93"/>
    </row>
    <row r="117" spans="2:12" ht="18" customHeight="1" x14ac:dyDescent="0.4">
      <c r="B117" s="132"/>
      <c r="C117" s="13" t="s">
        <v>8</v>
      </c>
      <c r="D117" s="18">
        <f t="shared" si="12"/>
        <v>0.19500000000000001</v>
      </c>
      <c r="E117" s="13">
        <v>0.3</v>
      </c>
      <c r="F117" s="8">
        <f t="shared" si="13"/>
        <v>0</v>
      </c>
      <c r="G117" s="8">
        <f t="shared" si="14"/>
        <v>0</v>
      </c>
      <c r="H117" s="98"/>
      <c r="I117" s="99"/>
      <c r="J117" s="99"/>
      <c r="K117" s="99"/>
      <c r="L117" s="100"/>
    </row>
    <row r="118" spans="2:12" ht="18" customHeight="1" thickBot="1" x14ac:dyDescent="0.45">
      <c r="B118" s="133" t="s">
        <v>66</v>
      </c>
      <c r="C118" s="34" t="s">
        <v>67</v>
      </c>
      <c r="D118" s="37">
        <f t="shared" si="12"/>
        <v>13</v>
      </c>
      <c r="E118" s="21">
        <v>20</v>
      </c>
      <c r="F118" s="22">
        <f t="shared" si="13"/>
        <v>0</v>
      </c>
      <c r="G118" s="22">
        <f t="shared" si="14"/>
        <v>0</v>
      </c>
      <c r="H118" s="73" t="s">
        <v>54</v>
      </c>
      <c r="I118" s="74"/>
      <c r="J118" s="74"/>
      <c r="K118" s="74"/>
      <c r="L118" s="75"/>
    </row>
    <row r="119" spans="2:12" ht="80.099999999999994" customHeight="1" thickTop="1" x14ac:dyDescent="0.4"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</row>
    <row r="120" spans="2:12" ht="18" customHeight="1" x14ac:dyDescent="0.4"/>
    <row r="136" ht="80.099999999999994" customHeight="1" x14ac:dyDescent="0.4"/>
    <row r="138" ht="21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80.099999999999994" customHeight="1" x14ac:dyDescent="0.4"/>
  </sheetData>
  <mergeCells count="68">
    <mergeCell ref="B97:B103"/>
    <mergeCell ref="H97:L103"/>
    <mergeCell ref="B104:B113"/>
    <mergeCell ref="H104:L113"/>
    <mergeCell ref="B114:B117"/>
    <mergeCell ref="H114:L117"/>
    <mergeCell ref="H118:L118"/>
    <mergeCell ref="B119:L119"/>
    <mergeCell ref="C62:C63"/>
    <mergeCell ref="D62:E62"/>
    <mergeCell ref="F62:G62"/>
    <mergeCell ref="H62:L63"/>
    <mergeCell ref="B64:B65"/>
    <mergeCell ref="H64:L65"/>
    <mergeCell ref="B66:B71"/>
    <mergeCell ref="H66:L71"/>
    <mergeCell ref="B72:B82"/>
    <mergeCell ref="H72:L82"/>
    <mergeCell ref="B2:B3"/>
    <mergeCell ref="E2:L3"/>
    <mergeCell ref="B4:L6"/>
    <mergeCell ref="B7:L7"/>
    <mergeCell ref="D8:E8"/>
    <mergeCell ref="F8:G8"/>
    <mergeCell ref="H8:L9"/>
    <mergeCell ref="B10:B11"/>
    <mergeCell ref="H10:L11"/>
    <mergeCell ref="B12:B17"/>
    <mergeCell ref="H12:L17"/>
    <mergeCell ref="B18:B23"/>
    <mergeCell ref="H18:L23"/>
    <mergeCell ref="B24:B28"/>
    <mergeCell ref="H24:L28"/>
    <mergeCell ref="H29:L29"/>
    <mergeCell ref="B30:L30"/>
    <mergeCell ref="B32:L32"/>
    <mergeCell ref="B33:B34"/>
    <mergeCell ref="C33:C34"/>
    <mergeCell ref="D33:E33"/>
    <mergeCell ref="F33:G33"/>
    <mergeCell ref="H33:L34"/>
    <mergeCell ref="B37:B44"/>
    <mergeCell ref="H37:L44"/>
    <mergeCell ref="B45:B54"/>
    <mergeCell ref="H45:L54"/>
    <mergeCell ref="C48:G48"/>
    <mergeCell ref="B55:B57"/>
    <mergeCell ref="H55:L57"/>
    <mergeCell ref="H58:L58"/>
    <mergeCell ref="B59:L59"/>
    <mergeCell ref="B61:L61"/>
    <mergeCell ref="B62:B63"/>
    <mergeCell ref="B35:B36"/>
    <mergeCell ref="H35:L36"/>
    <mergeCell ref="B8:B9"/>
    <mergeCell ref="C8:C9"/>
    <mergeCell ref="B83:B88"/>
    <mergeCell ref="H83:L88"/>
    <mergeCell ref="H89:L89"/>
    <mergeCell ref="B90:L90"/>
    <mergeCell ref="B92:L92"/>
    <mergeCell ref="B93:B94"/>
    <mergeCell ref="C93:C94"/>
    <mergeCell ref="D93:E93"/>
    <mergeCell ref="F93:G93"/>
    <mergeCell ref="H93:L94"/>
    <mergeCell ref="B95:B96"/>
    <mergeCell ref="H95:L96"/>
  </mergeCells>
  <phoneticPr fontId="2" type="noConversion"/>
  <pageMargins left="0.25" right="0.25" top="0.75" bottom="0.75" header="0.3" footer="0.3"/>
  <rowBreaks count="5" manualBreakCount="5">
    <brk id="41" min="1" max="12" man="1"/>
    <brk id="83" min="1" max="12" man="1"/>
    <brk id="116" min="1" max="12" man="1"/>
    <brk id="152" min="1" max="12" man="1"/>
    <brk id="186" min="1" max="12" man="1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E4360-9AD2-4F79-A33B-79A466734E5D}">
  <sheetPr>
    <pageSetUpPr fitToPage="1"/>
  </sheetPr>
  <dimension ref="B1:L100"/>
  <sheetViews>
    <sheetView zoomScaleNormal="100" zoomScaleSheetLayoutView="70" workbookViewId="0">
      <selection activeCell="O12" sqref="O12"/>
    </sheetView>
  </sheetViews>
  <sheetFormatPr defaultColWidth="9" defaultRowHeight="14.4" x14ac:dyDescent="0.4"/>
  <cols>
    <col min="1" max="1" width="4.8984375" style="1" customWidth="1"/>
    <col min="2" max="2" width="18.59765625" style="1" customWidth="1"/>
    <col min="3" max="3" width="11.59765625" style="1" customWidth="1"/>
    <col min="4" max="12" width="9" style="1"/>
    <col min="13" max="13" width="4.8984375" style="1" customWidth="1"/>
    <col min="14" max="16384" width="9" style="1"/>
  </cols>
  <sheetData>
    <row r="1" spans="2:12" ht="15" thickBot="1" x14ac:dyDescent="0.45"/>
    <row r="2" spans="2:12" ht="18" customHeight="1" thickTop="1" thickBot="1" x14ac:dyDescent="0.45">
      <c r="B2" s="101" t="s">
        <v>0</v>
      </c>
      <c r="C2" s="3" t="s">
        <v>1</v>
      </c>
      <c r="D2" s="4"/>
      <c r="E2" s="103" t="s">
        <v>147</v>
      </c>
      <c r="F2" s="104"/>
      <c r="G2" s="104"/>
      <c r="H2" s="104"/>
      <c r="I2" s="104"/>
      <c r="J2" s="104"/>
      <c r="K2" s="104"/>
      <c r="L2" s="104"/>
    </row>
    <row r="3" spans="2:12" ht="18" customHeight="1" thickTop="1" thickBot="1" x14ac:dyDescent="0.45">
      <c r="B3" s="102"/>
      <c r="C3" s="3" t="s">
        <v>2</v>
      </c>
      <c r="D3" s="2"/>
      <c r="E3" s="103"/>
      <c r="F3" s="104"/>
      <c r="G3" s="104"/>
      <c r="H3" s="104"/>
      <c r="I3" s="104"/>
      <c r="J3" s="104"/>
      <c r="K3" s="104"/>
      <c r="L3" s="104"/>
    </row>
    <row r="4" spans="2:12" ht="34.5" customHeight="1" thickTop="1" x14ac:dyDescent="0.4">
      <c r="B4" s="119" t="s">
        <v>148</v>
      </c>
      <c r="C4" s="119"/>
      <c r="D4" s="119"/>
      <c r="E4" s="119"/>
      <c r="F4" s="119"/>
      <c r="G4" s="119"/>
      <c r="H4" s="119"/>
      <c r="I4" s="119"/>
      <c r="J4" s="119"/>
      <c r="K4" s="119"/>
      <c r="L4" s="119"/>
    </row>
    <row r="5" spans="2:12" ht="16.5" customHeight="1" x14ac:dyDescent="0.4"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19"/>
    </row>
    <row r="6" spans="2:12" ht="16.5" customHeight="1" thickBot="1" x14ac:dyDescent="0.45">
      <c r="B6" s="119"/>
      <c r="C6" s="119"/>
      <c r="D6" s="119"/>
      <c r="E6" s="119"/>
      <c r="F6" s="119"/>
      <c r="G6" s="119"/>
      <c r="H6" s="119"/>
      <c r="I6" s="119"/>
      <c r="J6" s="119"/>
      <c r="K6" s="119"/>
      <c r="L6" s="119"/>
    </row>
    <row r="7" spans="2:12" ht="21" customHeight="1" thickTop="1" x14ac:dyDescent="0.4">
      <c r="B7" s="145" t="s">
        <v>139</v>
      </c>
      <c r="C7" s="146"/>
      <c r="D7" s="146"/>
      <c r="E7" s="146"/>
      <c r="F7" s="146"/>
      <c r="G7" s="146"/>
      <c r="H7" s="146"/>
      <c r="I7" s="146"/>
      <c r="J7" s="146"/>
      <c r="K7" s="146"/>
      <c r="L7" s="147"/>
    </row>
    <row r="8" spans="2:12" ht="18" customHeight="1" x14ac:dyDescent="0.4">
      <c r="B8" s="96" t="s">
        <v>3</v>
      </c>
      <c r="C8" s="94" t="s">
        <v>4</v>
      </c>
      <c r="D8" s="94" t="s">
        <v>5</v>
      </c>
      <c r="E8" s="94"/>
      <c r="F8" s="94" t="s">
        <v>6</v>
      </c>
      <c r="G8" s="94"/>
      <c r="H8" s="94" t="s">
        <v>7</v>
      </c>
      <c r="I8" s="94"/>
      <c r="J8" s="94"/>
      <c r="K8" s="94"/>
      <c r="L8" s="95"/>
    </row>
    <row r="9" spans="2:12" ht="18" customHeight="1" x14ac:dyDescent="0.4">
      <c r="B9" s="96"/>
      <c r="C9" s="94"/>
      <c r="D9" s="5" t="s">
        <v>1</v>
      </c>
      <c r="E9" s="5" t="s">
        <v>2</v>
      </c>
      <c r="F9" s="6" t="s">
        <v>1</v>
      </c>
      <c r="G9" s="7" t="s">
        <v>2</v>
      </c>
      <c r="H9" s="94"/>
      <c r="I9" s="94"/>
      <c r="J9" s="94"/>
      <c r="K9" s="94"/>
      <c r="L9" s="95"/>
    </row>
    <row r="10" spans="2:12" ht="18" customHeight="1" x14ac:dyDescent="0.4">
      <c r="B10" s="124" t="s">
        <v>68</v>
      </c>
      <c r="C10" s="13" t="s">
        <v>58</v>
      </c>
      <c r="D10" s="14">
        <f t="shared" ref="D10:D33" si="0">E10*0.65</f>
        <v>32.5</v>
      </c>
      <c r="E10" s="12">
        <v>50</v>
      </c>
      <c r="F10" s="8">
        <f t="shared" ref="F10:F33" si="1">D10*D$2</f>
        <v>0</v>
      </c>
      <c r="G10" s="8">
        <f t="shared" ref="G10:G33" si="2">E10*D$3</f>
        <v>0</v>
      </c>
      <c r="H10" s="53" t="s">
        <v>51</v>
      </c>
      <c r="I10" s="54"/>
      <c r="J10" s="54"/>
      <c r="K10" s="54"/>
      <c r="L10" s="55"/>
    </row>
    <row r="11" spans="2:12" ht="18" customHeight="1" x14ac:dyDescent="0.4">
      <c r="B11" s="125"/>
      <c r="C11" s="13" t="s">
        <v>69</v>
      </c>
      <c r="D11" s="14">
        <f t="shared" si="0"/>
        <v>1.625</v>
      </c>
      <c r="E11" s="12">
        <v>2.5</v>
      </c>
      <c r="F11" s="8">
        <f t="shared" si="1"/>
        <v>0</v>
      </c>
      <c r="G11" s="8">
        <f t="shared" si="2"/>
        <v>0</v>
      </c>
      <c r="H11" s="59"/>
      <c r="I11" s="60"/>
      <c r="J11" s="60"/>
      <c r="K11" s="60"/>
      <c r="L11" s="61"/>
    </row>
    <row r="12" spans="2:12" ht="18" customHeight="1" x14ac:dyDescent="0.4">
      <c r="B12" s="130" t="s">
        <v>266</v>
      </c>
      <c r="C12" s="15" t="s">
        <v>88</v>
      </c>
      <c r="D12" s="20">
        <f t="shared" si="0"/>
        <v>52</v>
      </c>
      <c r="E12" s="12">
        <v>80</v>
      </c>
      <c r="F12" s="26">
        <f t="shared" si="1"/>
        <v>0</v>
      </c>
      <c r="G12" s="26">
        <f t="shared" si="2"/>
        <v>0</v>
      </c>
      <c r="H12" s="88" t="s">
        <v>267</v>
      </c>
      <c r="I12" s="89"/>
      <c r="J12" s="89"/>
      <c r="K12" s="89"/>
      <c r="L12" s="90"/>
    </row>
    <row r="13" spans="2:12" ht="18" customHeight="1" x14ac:dyDescent="0.4">
      <c r="B13" s="131"/>
      <c r="C13" s="15" t="s">
        <v>77</v>
      </c>
      <c r="D13" s="18">
        <f t="shared" si="0"/>
        <v>9.75</v>
      </c>
      <c r="E13" s="12">
        <v>15</v>
      </c>
      <c r="F13" s="26">
        <f t="shared" si="1"/>
        <v>0</v>
      </c>
      <c r="G13" s="26">
        <f t="shared" si="2"/>
        <v>0</v>
      </c>
      <c r="H13" s="91"/>
      <c r="I13" s="92"/>
      <c r="J13" s="92"/>
      <c r="K13" s="92"/>
      <c r="L13" s="93"/>
    </row>
    <row r="14" spans="2:12" ht="18" customHeight="1" x14ac:dyDescent="0.4">
      <c r="B14" s="131"/>
      <c r="C14" s="15" t="s">
        <v>72</v>
      </c>
      <c r="D14" s="18">
        <f t="shared" si="0"/>
        <v>9.75</v>
      </c>
      <c r="E14" s="12">
        <v>15</v>
      </c>
      <c r="F14" s="26">
        <f t="shared" si="1"/>
        <v>0</v>
      </c>
      <c r="G14" s="26">
        <f t="shared" si="2"/>
        <v>0</v>
      </c>
      <c r="H14" s="91"/>
      <c r="I14" s="92"/>
      <c r="J14" s="92"/>
      <c r="K14" s="92"/>
      <c r="L14" s="93"/>
    </row>
    <row r="15" spans="2:12" ht="18" customHeight="1" x14ac:dyDescent="0.4">
      <c r="B15" s="131"/>
      <c r="C15" s="15" t="s">
        <v>73</v>
      </c>
      <c r="D15" s="20">
        <f t="shared" si="0"/>
        <v>1.9500000000000002</v>
      </c>
      <c r="E15" s="12">
        <v>3</v>
      </c>
      <c r="F15" s="26">
        <f t="shared" si="1"/>
        <v>0</v>
      </c>
      <c r="G15" s="26">
        <f t="shared" si="2"/>
        <v>0</v>
      </c>
      <c r="H15" s="91"/>
      <c r="I15" s="92"/>
      <c r="J15" s="92"/>
      <c r="K15" s="92"/>
      <c r="L15" s="93"/>
    </row>
    <row r="16" spans="2:12" ht="18" customHeight="1" x14ac:dyDescent="0.4">
      <c r="B16" s="131"/>
      <c r="C16" s="15" t="s">
        <v>61</v>
      </c>
      <c r="D16" s="18">
        <f t="shared" si="0"/>
        <v>1.3</v>
      </c>
      <c r="E16" s="12">
        <v>2</v>
      </c>
      <c r="F16" s="26">
        <f t="shared" si="1"/>
        <v>0</v>
      </c>
      <c r="G16" s="26">
        <f t="shared" si="2"/>
        <v>0</v>
      </c>
      <c r="H16" s="91"/>
      <c r="I16" s="92"/>
      <c r="J16" s="92"/>
      <c r="K16" s="92"/>
      <c r="L16" s="93"/>
    </row>
    <row r="17" spans="2:12" ht="18" customHeight="1" x14ac:dyDescent="0.4">
      <c r="B17" s="131"/>
      <c r="C17" s="15" t="s">
        <v>74</v>
      </c>
      <c r="D17" s="20">
        <f t="shared" si="0"/>
        <v>0.97500000000000009</v>
      </c>
      <c r="E17" s="12">
        <v>1.5</v>
      </c>
      <c r="F17" s="26">
        <f t="shared" si="1"/>
        <v>0</v>
      </c>
      <c r="G17" s="26">
        <f t="shared" si="2"/>
        <v>0</v>
      </c>
      <c r="H17" s="91"/>
      <c r="I17" s="92"/>
      <c r="J17" s="92"/>
      <c r="K17" s="92"/>
      <c r="L17" s="93"/>
    </row>
    <row r="18" spans="2:12" ht="18" customHeight="1" x14ac:dyDescent="0.4">
      <c r="B18" s="131"/>
      <c r="C18" s="15" t="s">
        <v>75</v>
      </c>
      <c r="D18" s="18">
        <f t="shared" si="0"/>
        <v>0.13</v>
      </c>
      <c r="E18" s="12">
        <v>0.2</v>
      </c>
      <c r="F18" s="26">
        <f t="shared" si="1"/>
        <v>0</v>
      </c>
      <c r="G18" s="26">
        <f t="shared" si="2"/>
        <v>0</v>
      </c>
      <c r="H18" s="98"/>
      <c r="I18" s="99"/>
      <c r="J18" s="99"/>
      <c r="K18" s="99"/>
      <c r="L18" s="100"/>
    </row>
    <row r="19" spans="2:12" ht="18" customHeight="1" x14ac:dyDescent="0.4">
      <c r="B19" s="128" t="s">
        <v>268</v>
      </c>
      <c r="C19" s="13" t="s">
        <v>269</v>
      </c>
      <c r="D19" s="16">
        <f t="shared" si="0"/>
        <v>26</v>
      </c>
      <c r="E19" s="12">
        <v>40</v>
      </c>
      <c r="F19" s="8">
        <f t="shared" si="1"/>
        <v>0</v>
      </c>
      <c r="G19" s="8">
        <f t="shared" si="2"/>
        <v>0</v>
      </c>
      <c r="H19" s="88" t="s">
        <v>270</v>
      </c>
      <c r="I19" s="89"/>
      <c r="J19" s="89"/>
      <c r="K19" s="89"/>
      <c r="L19" s="90"/>
    </row>
    <row r="20" spans="2:12" ht="18" customHeight="1" x14ac:dyDescent="0.4">
      <c r="B20" s="129"/>
      <c r="C20" s="13" t="s">
        <v>47</v>
      </c>
      <c r="D20" s="14">
        <f t="shared" si="0"/>
        <v>3.25</v>
      </c>
      <c r="E20" s="12">
        <v>5</v>
      </c>
      <c r="F20" s="8">
        <f t="shared" si="1"/>
        <v>0</v>
      </c>
      <c r="G20" s="8">
        <f t="shared" si="2"/>
        <v>0</v>
      </c>
      <c r="H20" s="91"/>
      <c r="I20" s="92"/>
      <c r="J20" s="92"/>
      <c r="K20" s="92"/>
      <c r="L20" s="93"/>
    </row>
    <row r="21" spans="2:12" ht="18" customHeight="1" x14ac:dyDescent="0.4">
      <c r="B21" s="129"/>
      <c r="C21" s="13" t="s">
        <v>16</v>
      </c>
      <c r="D21" s="14">
        <f t="shared" si="0"/>
        <v>3.25</v>
      </c>
      <c r="E21" s="12">
        <v>5</v>
      </c>
      <c r="F21" s="8">
        <f t="shared" si="1"/>
        <v>0</v>
      </c>
      <c r="G21" s="8">
        <f t="shared" si="2"/>
        <v>0</v>
      </c>
      <c r="H21" s="91"/>
      <c r="I21" s="92"/>
      <c r="J21" s="92"/>
      <c r="K21" s="92"/>
      <c r="L21" s="93"/>
    </row>
    <row r="22" spans="2:12" ht="18" customHeight="1" x14ac:dyDescent="0.4">
      <c r="B22" s="129"/>
      <c r="C22" s="13" t="s">
        <v>17</v>
      </c>
      <c r="D22" s="14">
        <f t="shared" si="0"/>
        <v>6.5</v>
      </c>
      <c r="E22" s="12">
        <v>10</v>
      </c>
      <c r="F22" s="8">
        <f t="shared" si="1"/>
        <v>0</v>
      </c>
      <c r="G22" s="8">
        <f t="shared" si="2"/>
        <v>0</v>
      </c>
      <c r="H22" s="91"/>
      <c r="I22" s="92"/>
      <c r="J22" s="92"/>
      <c r="K22" s="92"/>
      <c r="L22" s="93"/>
    </row>
    <row r="23" spans="2:12" ht="18" customHeight="1" x14ac:dyDescent="0.4">
      <c r="B23" s="129"/>
      <c r="C23" s="13" t="s">
        <v>23</v>
      </c>
      <c r="D23" s="14">
        <f t="shared" si="0"/>
        <v>1.3</v>
      </c>
      <c r="E23" s="12">
        <v>2</v>
      </c>
      <c r="F23" s="8">
        <f t="shared" si="1"/>
        <v>0</v>
      </c>
      <c r="G23" s="8">
        <f t="shared" si="2"/>
        <v>0</v>
      </c>
      <c r="H23" s="91"/>
      <c r="I23" s="92"/>
      <c r="J23" s="92"/>
      <c r="K23" s="92"/>
      <c r="L23" s="93"/>
    </row>
    <row r="24" spans="2:12" ht="18" customHeight="1" x14ac:dyDescent="0.4">
      <c r="B24" s="129"/>
      <c r="C24" s="13" t="s">
        <v>10</v>
      </c>
      <c r="D24" s="14">
        <f t="shared" si="0"/>
        <v>0.32500000000000001</v>
      </c>
      <c r="E24" s="12">
        <v>0.5</v>
      </c>
      <c r="F24" s="8">
        <f t="shared" si="1"/>
        <v>0</v>
      </c>
      <c r="G24" s="8">
        <f t="shared" si="2"/>
        <v>0</v>
      </c>
      <c r="H24" s="91"/>
      <c r="I24" s="92"/>
      <c r="J24" s="92"/>
      <c r="K24" s="92"/>
      <c r="L24" s="93"/>
    </row>
    <row r="25" spans="2:12" ht="18" customHeight="1" x14ac:dyDescent="0.4">
      <c r="B25" s="129"/>
      <c r="C25" s="13" t="s">
        <v>14</v>
      </c>
      <c r="D25" s="16">
        <f t="shared" si="0"/>
        <v>1.9500000000000002</v>
      </c>
      <c r="E25" s="12">
        <v>3</v>
      </c>
      <c r="F25" s="8">
        <f t="shared" si="1"/>
        <v>0</v>
      </c>
      <c r="G25" s="8">
        <f t="shared" si="2"/>
        <v>0</v>
      </c>
      <c r="H25" s="91"/>
      <c r="I25" s="92"/>
      <c r="J25" s="92"/>
      <c r="K25" s="92"/>
      <c r="L25" s="93"/>
    </row>
    <row r="26" spans="2:12" ht="18" customHeight="1" x14ac:dyDescent="0.4">
      <c r="B26" s="128" t="s">
        <v>271</v>
      </c>
      <c r="C26" s="13" t="s">
        <v>140</v>
      </c>
      <c r="D26" s="14">
        <f t="shared" si="0"/>
        <v>19.5</v>
      </c>
      <c r="E26" s="13">
        <v>30</v>
      </c>
      <c r="F26" s="8">
        <f t="shared" si="1"/>
        <v>0</v>
      </c>
      <c r="G26" s="8">
        <f t="shared" si="2"/>
        <v>0</v>
      </c>
      <c r="H26" s="88" t="s">
        <v>272</v>
      </c>
      <c r="I26" s="89"/>
      <c r="J26" s="89"/>
      <c r="K26" s="89"/>
      <c r="L26" s="90"/>
    </row>
    <row r="27" spans="2:12" ht="18" customHeight="1" x14ac:dyDescent="0.4">
      <c r="B27" s="129"/>
      <c r="C27" s="13" t="s">
        <v>141</v>
      </c>
      <c r="D27" s="16">
        <f t="shared" si="0"/>
        <v>1.9500000000000002</v>
      </c>
      <c r="E27" s="13">
        <v>3</v>
      </c>
      <c r="F27" s="8">
        <f t="shared" si="1"/>
        <v>0</v>
      </c>
      <c r="G27" s="8">
        <f t="shared" si="2"/>
        <v>0</v>
      </c>
      <c r="H27" s="91"/>
      <c r="I27" s="92"/>
      <c r="J27" s="92"/>
      <c r="K27" s="92"/>
      <c r="L27" s="93"/>
    </row>
    <row r="28" spans="2:12" ht="18" customHeight="1" x14ac:dyDescent="0.4">
      <c r="B28" s="129"/>
      <c r="C28" s="13" t="s">
        <v>74</v>
      </c>
      <c r="D28" s="14">
        <f t="shared" si="0"/>
        <v>0.65</v>
      </c>
      <c r="E28" s="13">
        <v>1</v>
      </c>
      <c r="F28" s="8">
        <f t="shared" si="1"/>
        <v>0</v>
      </c>
      <c r="G28" s="8">
        <f t="shared" si="2"/>
        <v>0</v>
      </c>
      <c r="H28" s="91"/>
      <c r="I28" s="92"/>
      <c r="J28" s="92"/>
      <c r="K28" s="92"/>
      <c r="L28" s="93"/>
    </row>
    <row r="29" spans="2:12" ht="18" customHeight="1" x14ac:dyDescent="0.4">
      <c r="B29" s="129"/>
      <c r="C29" s="13" t="s">
        <v>83</v>
      </c>
      <c r="D29" s="14">
        <f t="shared" si="0"/>
        <v>0.32500000000000001</v>
      </c>
      <c r="E29" s="13">
        <v>0.5</v>
      </c>
      <c r="F29" s="8">
        <f t="shared" si="1"/>
        <v>0</v>
      </c>
      <c r="G29" s="8">
        <f t="shared" si="2"/>
        <v>0</v>
      </c>
      <c r="H29" s="91"/>
      <c r="I29" s="92"/>
      <c r="J29" s="92"/>
      <c r="K29" s="92"/>
      <c r="L29" s="93"/>
    </row>
    <row r="30" spans="2:12" ht="18" customHeight="1" x14ac:dyDescent="0.4">
      <c r="B30" s="129"/>
      <c r="C30" s="13" t="s">
        <v>61</v>
      </c>
      <c r="D30" s="14">
        <f t="shared" si="0"/>
        <v>0.65</v>
      </c>
      <c r="E30" s="13">
        <v>1</v>
      </c>
      <c r="F30" s="8">
        <f t="shared" si="1"/>
        <v>0</v>
      </c>
      <c r="G30" s="8">
        <f t="shared" si="2"/>
        <v>0</v>
      </c>
      <c r="H30" s="91"/>
      <c r="I30" s="92"/>
      <c r="J30" s="92"/>
      <c r="K30" s="92"/>
      <c r="L30" s="93"/>
    </row>
    <row r="31" spans="2:12" ht="18" customHeight="1" x14ac:dyDescent="0.4">
      <c r="B31" s="129"/>
      <c r="C31" s="13" t="s">
        <v>73</v>
      </c>
      <c r="D31" s="14">
        <f t="shared" si="0"/>
        <v>0.65</v>
      </c>
      <c r="E31" s="13">
        <v>1</v>
      </c>
      <c r="F31" s="8">
        <f t="shared" si="1"/>
        <v>0</v>
      </c>
      <c r="G31" s="8">
        <f t="shared" si="2"/>
        <v>0</v>
      </c>
      <c r="H31" s="91"/>
      <c r="I31" s="92"/>
      <c r="J31" s="92"/>
      <c r="K31" s="92"/>
      <c r="L31" s="93"/>
    </row>
    <row r="32" spans="2:12" ht="18" customHeight="1" x14ac:dyDescent="0.4">
      <c r="B32" s="138"/>
      <c r="C32" s="13" t="s">
        <v>65</v>
      </c>
      <c r="D32" s="14">
        <f t="shared" si="0"/>
        <v>0.32500000000000001</v>
      </c>
      <c r="E32" s="13">
        <v>0.5</v>
      </c>
      <c r="F32" s="8">
        <f t="shared" si="1"/>
        <v>0</v>
      </c>
      <c r="G32" s="8">
        <f t="shared" si="2"/>
        <v>0</v>
      </c>
      <c r="H32" s="98"/>
      <c r="I32" s="99"/>
      <c r="J32" s="99"/>
      <c r="K32" s="99"/>
      <c r="L32" s="100"/>
    </row>
    <row r="33" spans="2:12" ht="18" customHeight="1" thickBot="1" x14ac:dyDescent="0.45">
      <c r="B33" s="133" t="s">
        <v>118</v>
      </c>
      <c r="C33" s="36" t="s">
        <v>119</v>
      </c>
      <c r="D33" s="46">
        <f t="shared" si="0"/>
        <v>13</v>
      </c>
      <c r="E33" s="42">
        <v>20</v>
      </c>
      <c r="F33" s="22">
        <f t="shared" si="1"/>
        <v>0</v>
      </c>
      <c r="G33" s="22">
        <f t="shared" si="2"/>
        <v>0</v>
      </c>
      <c r="H33" s="114" t="s">
        <v>53</v>
      </c>
      <c r="I33" s="114"/>
      <c r="J33" s="114"/>
      <c r="K33" s="114"/>
      <c r="L33" s="115"/>
    </row>
    <row r="34" spans="2:12" ht="80.099999999999994" customHeight="1" thickTop="1" x14ac:dyDescent="0.4"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</row>
    <row r="35" spans="2:12" ht="15" thickBot="1" x14ac:dyDescent="0.45"/>
    <row r="36" spans="2:12" ht="21" customHeight="1" thickTop="1" x14ac:dyDescent="0.4">
      <c r="B36" s="145" t="s">
        <v>144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7"/>
    </row>
    <row r="37" spans="2:12" ht="18" customHeight="1" x14ac:dyDescent="0.4">
      <c r="B37" s="96" t="s">
        <v>3</v>
      </c>
      <c r="C37" s="94" t="s">
        <v>4</v>
      </c>
      <c r="D37" s="94" t="s">
        <v>5</v>
      </c>
      <c r="E37" s="94"/>
      <c r="F37" s="94" t="s">
        <v>6</v>
      </c>
      <c r="G37" s="94"/>
      <c r="H37" s="94" t="s">
        <v>7</v>
      </c>
      <c r="I37" s="94"/>
      <c r="J37" s="94"/>
      <c r="K37" s="94"/>
      <c r="L37" s="95"/>
    </row>
    <row r="38" spans="2:12" ht="18" customHeight="1" x14ac:dyDescent="0.4">
      <c r="B38" s="96"/>
      <c r="C38" s="94"/>
      <c r="D38" s="5" t="s">
        <v>1</v>
      </c>
      <c r="E38" s="5" t="s">
        <v>2</v>
      </c>
      <c r="F38" s="6" t="s">
        <v>1</v>
      </c>
      <c r="G38" s="7" t="s">
        <v>2</v>
      </c>
      <c r="H38" s="94"/>
      <c r="I38" s="94"/>
      <c r="J38" s="94"/>
      <c r="K38" s="94"/>
      <c r="L38" s="95"/>
    </row>
    <row r="39" spans="2:12" ht="18" customHeight="1" x14ac:dyDescent="0.4">
      <c r="B39" s="134" t="s">
        <v>273</v>
      </c>
      <c r="C39" s="43" t="s">
        <v>58</v>
      </c>
      <c r="D39" s="17">
        <f t="shared" ref="D39:D68" si="3">E39*0.65</f>
        <v>32.5</v>
      </c>
      <c r="E39" s="12">
        <v>50</v>
      </c>
      <c r="F39" s="8">
        <f t="shared" ref="F39:F68" si="4">D39*D$2</f>
        <v>0</v>
      </c>
      <c r="G39" s="8">
        <f t="shared" ref="G39:G68" si="5">E39*D$3</f>
        <v>0</v>
      </c>
      <c r="H39" s="53" t="s">
        <v>274</v>
      </c>
      <c r="I39" s="54"/>
      <c r="J39" s="54"/>
      <c r="K39" s="54"/>
      <c r="L39" s="55"/>
    </row>
    <row r="40" spans="2:12" ht="18" customHeight="1" x14ac:dyDescent="0.4">
      <c r="B40" s="197"/>
      <c r="C40" s="43" t="s">
        <v>106</v>
      </c>
      <c r="D40" s="17">
        <f t="shared" si="3"/>
        <v>16.25</v>
      </c>
      <c r="E40" s="12">
        <v>25</v>
      </c>
      <c r="F40" s="8">
        <f t="shared" si="4"/>
        <v>0</v>
      </c>
      <c r="G40" s="8">
        <f t="shared" si="5"/>
        <v>0</v>
      </c>
      <c r="H40" s="56"/>
      <c r="I40" s="57"/>
      <c r="J40" s="57"/>
      <c r="K40" s="57"/>
      <c r="L40" s="58"/>
    </row>
    <row r="41" spans="2:12" ht="18" customHeight="1" x14ac:dyDescent="0.4">
      <c r="B41" s="197"/>
      <c r="C41" s="43" t="s">
        <v>114</v>
      </c>
      <c r="D41" s="17">
        <f t="shared" si="3"/>
        <v>9.75</v>
      </c>
      <c r="E41" s="12">
        <v>15</v>
      </c>
      <c r="F41" s="8">
        <f t="shared" si="4"/>
        <v>0</v>
      </c>
      <c r="G41" s="8">
        <f t="shared" si="5"/>
        <v>0</v>
      </c>
      <c r="H41" s="56"/>
      <c r="I41" s="57"/>
      <c r="J41" s="57"/>
      <c r="K41" s="57"/>
      <c r="L41" s="58"/>
    </row>
    <row r="42" spans="2:12" ht="18" customHeight="1" x14ac:dyDescent="0.4">
      <c r="B42" s="197"/>
      <c r="C42" s="43" t="s">
        <v>72</v>
      </c>
      <c r="D42" s="17">
        <f t="shared" si="3"/>
        <v>6.5</v>
      </c>
      <c r="E42" s="12">
        <v>10</v>
      </c>
      <c r="F42" s="8">
        <f t="shared" si="4"/>
        <v>0</v>
      </c>
      <c r="G42" s="8">
        <f t="shared" si="5"/>
        <v>0</v>
      </c>
      <c r="H42" s="56"/>
      <c r="I42" s="57"/>
      <c r="J42" s="57"/>
      <c r="K42" s="57"/>
      <c r="L42" s="58"/>
    </row>
    <row r="43" spans="2:12" ht="18" customHeight="1" x14ac:dyDescent="0.4">
      <c r="B43" s="197"/>
      <c r="C43" s="43" t="s">
        <v>56</v>
      </c>
      <c r="D43" s="17">
        <f t="shared" si="3"/>
        <v>3.25</v>
      </c>
      <c r="E43" s="12">
        <v>5</v>
      </c>
      <c r="F43" s="8">
        <f t="shared" si="4"/>
        <v>0</v>
      </c>
      <c r="G43" s="8">
        <f t="shared" si="5"/>
        <v>0</v>
      </c>
      <c r="H43" s="56"/>
      <c r="I43" s="57"/>
      <c r="J43" s="57"/>
      <c r="K43" s="57"/>
      <c r="L43" s="58"/>
    </row>
    <row r="44" spans="2:12" ht="18" customHeight="1" x14ac:dyDescent="0.4">
      <c r="B44" s="197"/>
      <c r="C44" s="43" t="s">
        <v>275</v>
      </c>
      <c r="D44" s="17">
        <f t="shared" si="3"/>
        <v>3.25</v>
      </c>
      <c r="E44" s="12">
        <v>5</v>
      </c>
      <c r="F44" s="8">
        <f t="shared" si="4"/>
        <v>0</v>
      </c>
      <c r="G44" s="8">
        <f t="shared" si="5"/>
        <v>0</v>
      </c>
      <c r="H44" s="56"/>
      <c r="I44" s="57"/>
      <c r="J44" s="57"/>
      <c r="K44" s="57"/>
      <c r="L44" s="58"/>
    </row>
    <row r="45" spans="2:12" ht="18" customHeight="1" x14ac:dyDescent="0.4">
      <c r="B45" s="197"/>
      <c r="C45" s="43" t="s">
        <v>61</v>
      </c>
      <c r="D45" s="9">
        <f t="shared" si="3"/>
        <v>1.9500000000000002</v>
      </c>
      <c r="E45" s="12">
        <v>3</v>
      </c>
      <c r="F45" s="8">
        <f t="shared" si="4"/>
        <v>0</v>
      </c>
      <c r="G45" s="8">
        <f t="shared" si="5"/>
        <v>0</v>
      </c>
      <c r="H45" s="56"/>
      <c r="I45" s="57"/>
      <c r="J45" s="57"/>
      <c r="K45" s="57"/>
      <c r="L45" s="58"/>
    </row>
    <row r="46" spans="2:12" ht="18" customHeight="1" x14ac:dyDescent="0.4">
      <c r="B46" s="197"/>
      <c r="C46" s="43" t="s">
        <v>276</v>
      </c>
      <c r="D46" s="17">
        <f t="shared" si="3"/>
        <v>0.65</v>
      </c>
      <c r="E46" s="12">
        <v>1</v>
      </c>
      <c r="F46" s="8">
        <f t="shared" si="4"/>
        <v>0</v>
      </c>
      <c r="G46" s="8">
        <f t="shared" si="5"/>
        <v>0</v>
      </c>
      <c r="H46" s="56"/>
      <c r="I46" s="57"/>
      <c r="J46" s="57"/>
      <c r="K46" s="57"/>
      <c r="L46" s="58"/>
    </row>
    <row r="47" spans="2:12" ht="18" customHeight="1" x14ac:dyDescent="0.4">
      <c r="B47" s="197"/>
      <c r="C47" s="43" t="s">
        <v>76</v>
      </c>
      <c r="D47" s="17">
        <f t="shared" si="3"/>
        <v>0.65</v>
      </c>
      <c r="E47" s="12">
        <v>1</v>
      </c>
      <c r="F47" s="8">
        <f t="shared" si="4"/>
        <v>0</v>
      </c>
      <c r="G47" s="8">
        <f t="shared" si="5"/>
        <v>0</v>
      </c>
      <c r="H47" s="56"/>
      <c r="I47" s="57"/>
      <c r="J47" s="57"/>
      <c r="K47" s="57"/>
      <c r="L47" s="58"/>
    </row>
    <row r="48" spans="2:12" ht="18" customHeight="1" x14ac:dyDescent="0.4">
      <c r="B48" s="197"/>
      <c r="C48" s="43" t="s">
        <v>73</v>
      </c>
      <c r="D48" s="17">
        <f t="shared" si="3"/>
        <v>0.65</v>
      </c>
      <c r="E48" s="12">
        <v>1</v>
      </c>
      <c r="F48" s="8">
        <f t="shared" si="4"/>
        <v>0</v>
      </c>
      <c r="G48" s="8">
        <f t="shared" si="5"/>
        <v>0</v>
      </c>
      <c r="H48" s="56"/>
      <c r="I48" s="57"/>
      <c r="J48" s="57"/>
      <c r="K48" s="57"/>
      <c r="L48" s="58"/>
    </row>
    <row r="49" spans="2:12" ht="18" customHeight="1" x14ac:dyDescent="0.4">
      <c r="B49" s="197"/>
      <c r="C49" s="43" t="s">
        <v>79</v>
      </c>
      <c r="D49" s="17">
        <f t="shared" si="3"/>
        <v>0.32500000000000001</v>
      </c>
      <c r="E49" s="12">
        <v>0.5</v>
      </c>
      <c r="F49" s="8">
        <f t="shared" si="4"/>
        <v>0</v>
      </c>
      <c r="G49" s="8">
        <f t="shared" si="5"/>
        <v>0</v>
      </c>
      <c r="H49" s="56"/>
      <c r="I49" s="57"/>
      <c r="J49" s="57"/>
      <c r="K49" s="57"/>
      <c r="L49" s="58"/>
    </row>
    <row r="50" spans="2:12" ht="18" customHeight="1" x14ac:dyDescent="0.4">
      <c r="B50" s="197"/>
      <c r="C50" s="43" t="s">
        <v>74</v>
      </c>
      <c r="D50" s="17">
        <f t="shared" si="3"/>
        <v>0.19500000000000001</v>
      </c>
      <c r="E50" s="12">
        <v>0.3</v>
      </c>
      <c r="F50" s="8">
        <f t="shared" si="4"/>
        <v>0</v>
      </c>
      <c r="G50" s="8">
        <f t="shared" si="5"/>
        <v>0</v>
      </c>
      <c r="H50" s="56"/>
      <c r="I50" s="57"/>
      <c r="J50" s="57"/>
      <c r="K50" s="57"/>
      <c r="L50" s="58"/>
    </row>
    <row r="51" spans="2:12" ht="18" customHeight="1" x14ac:dyDescent="0.4">
      <c r="B51" s="197"/>
      <c r="C51" s="43" t="s">
        <v>65</v>
      </c>
      <c r="D51" s="17">
        <f t="shared" si="3"/>
        <v>0.19500000000000001</v>
      </c>
      <c r="E51" s="12">
        <v>0.3</v>
      </c>
      <c r="F51" s="8">
        <f t="shared" si="4"/>
        <v>0</v>
      </c>
      <c r="G51" s="8">
        <f t="shared" si="5"/>
        <v>0</v>
      </c>
      <c r="H51" s="56"/>
      <c r="I51" s="57"/>
      <c r="J51" s="57"/>
      <c r="K51" s="57"/>
      <c r="L51" s="58"/>
    </row>
    <row r="52" spans="2:12" ht="18" customHeight="1" x14ac:dyDescent="0.4">
      <c r="B52" s="198"/>
      <c r="C52" s="43" t="s">
        <v>75</v>
      </c>
      <c r="D52" s="17">
        <f t="shared" si="3"/>
        <v>0.19500000000000001</v>
      </c>
      <c r="E52" s="12">
        <v>0.3</v>
      </c>
      <c r="F52" s="8">
        <f t="shared" si="4"/>
        <v>0</v>
      </c>
      <c r="G52" s="8">
        <f t="shared" si="5"/>
        <v>0</v>
      </c>
      <c r="H52" s="59"/>
      <c r="I52" s="60"/>
      <c r="J52" s="60"/>
      <c r="K52" s="60"/>
      <c r="L52" s="61"/>
    </row>
    <row r="53" spans="2:12" ht="18" customHeight="1" x14ac:dyDescent="0.4">
      <c r="B53" s="140" t="s">
        <v>60</v>
      </c>
      <c r="C53" s="15" t="s">
        <v>38</v>
      </c>
      <c r="D53" s="17">
        <f t="shared" si="3"/>
        <v>3.25</v>
      </c>
      <c r="E53" s="13">
        <v>5</v>
      </c>
      <c r="F53" s="8">
        <f t="shared" si="4"/>
        <v>0</v>
      </c>
      <c r="G53" s="8">
        <f t="shared" si="5"/>
        <v>0</v>
      </c>
      <c r="H53" s="88" t="s">
        <v>277</v>
      </c>
      <c r="I53" s="89"/>
      <c r="J53" s="89"/>
      <c r="K53" s="89"/>
      <c r="L53" s="90"/>
    </row>
    <row r="54" spans="2:12" ht="18" customHeight="1" x14ac:dyDescent="0.4">
      <c r="B54" s="140"/>
      <c r="C54" s="15" t="s">
        <v>22</v>
      </c>
      <c r="D54" s="17">
        <f t="shared" si="3"/>
        <v>1.3</v>
      </c>
      <c r="E54" s="13">
        <v>2</v>
      </c>
      <c r="F54" s="8">
        <f t="shared" si="4"/>
        <v>0</v>
      </c>
      <c r="G54" s="8">
        <f t="shared" si="5"/>
        <v>0</v>
      </c>
      <c r="H54" s="91"/>
      <c r="I54" s="92"/>
      <c r="J54" s="92"/>
      <c r="K54" s="92"/>
      <c r="L54" s="93"/>
    </row>
    <row r="55" spans="2:12" ht="18" customHeight="1" x14ac:dyDescent="0.4">
      <c r="B55" s="140"/>
      <c r="C55" s="15" t="s">
        <v>21</v>
      </c>
      <c r="D55" s="17">
        <f t="shared" si="3"/>
        <v>1.3</v>
      </c>
      <c r="E55" s="13">
        <v>2</v>
      </c>
      <c r="F55" s="8">
        <f t="shared" si="4"/>
        <v>0</v>
      </c>
      <c r="G55" s="8">
        <f t="shared" si="5"/>
        <v>0</v>
      </c>
      <c r="H55" s="91"/>
      <c r="I55" s="92"/>
      <c r="J55" s="92"/>
      <c r="K55" s="92"/>
      <c r="L55" s="93"/>
    </row>
    <row r="56" spans="2:12" ht="18" customHeight="1" x14ac:dyDescent="0.4">
      <c r="B56" s="140"/>
      <c r="C56" s="15" t="s">
        <v>9</v>
      </c>
      <c r="D56" s="17">
        <f t="shared" si="3"/>
        <v>0.65</v>
      </c>
      <c r="E56" s="13">
        <v>1</v>
      </c>
      <c r="F56" s="8">
        <f t="shared" si="4"/>
        <v>0</v>
      </c>
      <c r="G56" s="8">
        <f t="shared" si="5"/>
        <v>0</v>
      </c>
      <c r="H56" s="91"/>
      <c r="I56" s="92"/>
      <c r="J56" s="92"/>
      <c r="K56" s="92"/>
      <c r="L56" s="93"/>
    </row>
    <row r="57" spans="2:12" ht="18" customHeight="1" x14ac:dyDescent="0.4">
      <c r="B57" s="140"/>
      <c r="C57" s="15" t="s">
        <v>45</v>
      </c>
      <c r="D57" s="9">
        <f t="shared" si="3"/>
        <v>1.9500000000000002</v>
      </c>
      <c r="E57" s="13">
        <v>3</v>
      </c>
      <c r="F57" s="8">
        <f t="shared" si="4"/>
        <v>0</v>
      </c>
      <c r="G57" s="8">
        <f t="shared" si="5"/>
        <v>0</v>
      </c>
      <c r="H57" s="91"/>
      <c r="I57" s="92"/>
      <c r="J57" s="92"/>
      <c r="K57" s="92"/>
      <c r="L57" s="93"/>
    </row>
    <row r="58" spans="2:12" ht="18" customHeight="1" x14ac:dyDescent="0.4">
      <c r="B58" s="140"/>
      <c r="C58" s="15" t="s">
        <v>13</v>
      </c>
      <c r="D58" s="17">
        <f t="shared" si="3"/>
        <v>0.65</v>
      </c>
      <c r="E58" s="13">
        <v>1</v>
      </c>
      <c r="F58" s="8">
        <f t="shared" si="4"/>
        <v>0</v>
      </c>
      <c r="G58" s="8">
        <f t="shared" si="5"/>
        <v>0</v>
      </c>
      <c r="H58" s="91"/>
      <c r="I58" s="92"/>
      <c r="J58" s="92"/>
      <c r="K58" s="92"/>
      <c r="L58" s="93"/>
    </row>
    <row r="59" spans="2:12" ht="18" customHeight="1" x14ac:dyDescent="0.4">
      <c r="B59" s="140"/>
      <c r="C59" s="15" t="s">
        <v>10</v>
      </c>
      <c r="D59" s="17">
        <f t="shared" si="3"/>
        <v>0.32500000000000001</v>
      </c>
      <c r="E59" s="13">
        <v>0.5</v>
      </c>
      <c r="F59" s="8">
        <f t="shared" si="4"/>
        <v>0</v>
      </c>
      <c r="G59" s="8">
        <f t="shared" si="5"/>
        <v>0</v>
      </c>
      <c r="H59" s="91"/>
      <c r="I59" s="92"/>
      <c r="J59" s="92"/>
      <c r="K59" s="92"/>
      <c r="L59" s="93"/>
    </row>
    <row r="60" spans="2:12" ht="18" customHeight="1" x14ac:dyDescent="0.4">
      <c r="B60" s="140"/>
      <c r="C60" s="15" t="s">
        <v>61</v>
      </c>
      <c r="D60" s="17">
        <f t="shared" si="3"/>
        <v>0.32500000000000001</v>
      </c>
      <c r="E60" s="13">
        <v>0.5</v>
      </c>
      <c r="F60" s="8">
        <f t="shared" si="4"/>
        <v>0</v>
      </c>
      <c r="G60" s="8">
        <f t="shared" si="5"/>
        <v>0</v>
      </c>
      <c r="H60" s="98"/>
      <c r="I60" s="99"/>
      <c r="J60" s="99"/>
      <c r="K60" s="99"/>
      <c r="L60" s="100"/>
    </row>
    <row r="61" spans="2:12" ht="18" customHeight="1" x14ac:dyDescent="0.4">
      <c r="B61" s="128" t="s">
        <v>89</v>
      </c>
      <c r="C61" s="13" t="s">
        <v>24</v>
      </c>
      <c r="D61" s="9">
        <f t="shared" si="3"/>
        <v>26</v>
      </c>
      <c r="E61" s="13">
        <v>40</v>
      </c>
      <c r="F61" s="8">
        <f t="shared" si="4"/>
        <v>0</v>
      </c>
      <c r="G61" s="8">
        <f t="shared" si="5"/>
        <v>0</v>
      </c>
      <c r="H61" s="88" t="s">
        <v>278</v>
      </c>
      <c r="I61" s="89"/>
      <c r="J61" s="89"/>
      <c r="K61" s="89"/>
      <c r="L61" s="90"/>
    </row>
    <row r="62" spans="2:12" ht="18" customHeight="1" x14ac:dyDescent="0.4">
      <c r="B62" s="129"/>
      <c r="C62" s="13" t="s">
        <v>13</v>
      </c>
      <c r="D62" s="17">
        <f t="shared" si="3"/>
        <v>2.6</v>
      </c>
      <c r="E62" s="13">
        <v>4</v>
      </c>
      <c r="F62" s="8">
        <f t="shared" si="4"/>
        <v>0</v>
      </c>
      <c r="G62" s="8">
        <f t="shared" si="5"/>
        <v>0</v>
      </c>
      <c r="H62" s="91"/>
      <c r="I62" s="92"/>
      <c r="J62" s="92"/>
      <c r="K62" s="92"/>
      <c r="L62" s="93"/>
    </row>
    <row r="63" spans="2:12" ht="18" customHeight="1" x14ac:dyDescent="0.4">
      <c r="B63" s="129"/>
      <c r="C63" s="13" t="s">
        <v>15</v>
      </c>
      <c r="D63" s="17">
        <f t="shared" si="3"/>
        <v>1.3</v>
      </c>
      <c r="E63" s="13">
        <v>2</v>
      </c>
      <c r="F63" s="8">
        <f t="shared" si="4"/>
        <v>0</v>
      </c>
      <c r="G63" s="8">
        <f t="shared" si="5"/>
        <v>0</v>
      </c>
      <c r="H63" s="91"/>
      <c r="I63" s="92"/>
      <c r="J63" s="92"/>
      <c r="K63" s="92"/>
      <c r="L63" s="93"/>
    </row>
    <row r="64" spans="2:12" ht="18" customHeight="1" x14ac:dyDescent="0.4">
      <c r="B64" s="129"/>
      <c r="C64" s="13" t="s">
        <v>9</v>
      </c>
      <c r="D64" s="17">
        <f t="shared" si="3"/>
        <v>0.32500000000000001</v>
      </c>
      <c r="E64" s="13">
        <v>0.5</v>
      </c>
      <c r="F64" s="8">
        <f t="shared" si="4"/>
        <v>0</v>
      </c>
      <c r="G64" s="8">
        <f t="shared" si="5"/>
        <v>0</v>
      </c>
      <c r="H64" s="91"/>
      <c r="I64" s="92"/>
      <c r="J64" s="92"/>
      <c r="K64" s="92"/>
      <c r="L64" s="93"/>
    </row>
    <row r="65" spans="2:12" ht="18" customHeight="1" x14ac:dyDescent="0.4">
      <c r="B65" s="129"/>
      <c r="C65" s="13" t="s">
        <v>61</v>
      </c>
      <c r="D65" s="17">
        <f t="shared" si="3"/>
        <v>0.32500000000000001</v>
      </c>
      <c r="E65" s="13">
        <v>0.5</v>
      </c>
      <c r="F65" s="8">
        <f t="shared" si="4"/>
        <v>0</v>
      </c>
      <c r="G65" s="8">
        <f t="shared" si="5"/>
        <v>0</v>
      </c>
      <c r="H65" s="91"/>
      <c r="I65" s="92"/>
      <c r="J65" s="92"/>
      <c r="K65" s="92"/>
      <c r="L65" s="93"/>
    </row>
    <row r="66" spans="2:12" ht="18" customHeight="1" x14ac:dyDescent="0.4">
      <c r="B66" s="129"/>
      <c r="C66" s="13" t="s">
        <v>19</v>
      </c>
      <c r="D66" s="17">
        <f t="shared" si="3"/>
        <v>1.3</v>
      </c>
      <c r="E66" s="13">
        <v>2</v>
      </c>
      <c r="F66" s="8">
        <f t="shared" si="4"/>
        <v>0</v>
      </c>
      <c r="G66" s="8">
        <f t="shared" si="5"/>
        <v>0</v>
      </c>
      <c r="H66" s="91"/>
      <c r="I66" s="92"/>
      <c r="J66" s="92"/>
      <c r="K66" s="92"/>
      <c r="L66" s="93"/>
    </row>
    <row r="67" spans="2:12" ht="18" customHeight="1" x14ac:dyDescent="0.4">
      <c r="B67" s="138"/>
      <c r="C67" s="13" t="s">
        <v>14</v>
      </c>
      <c r="D67" s="9">
        <f t="shared" si="3"/>
        <v>1.9500000000000002</v>
      </c>
      <c r="E67" s="13">
        <v>3</v>
      </c>
      <c r="F67" s="8">
        <f t="shared" si="4"/>
        <v>0</v>
      </c>
      <c r="G67" s="8">
        <f t="shared" si="5"/>
        <v>0</v>
      </c>
      <c r="H67" s="91"/>
      <c r="I67" s="92"/>
      <c r="J67" s="92"/>
      <c r="K67" s="92"/>
      <c r="L67" s="93"/>
    </row>
    <row r="68" spans="2:12" ht="18" customHeight="1" thickBot="1" x14ac:dyDescent="0.45">
      <c r="B68" s="155" t="s">
        <v>66</v>
      </c>
      <c r="C68" s="36" t="s">
        <v>67</v>
      </c>
      <c r="D68" s="46">
        <f t="shared" si="3"/>
        <v>13</v>
      </c>
      <c r="E68" s="21">
        <v>20</v>
      </c>
      <c r="F68" s="22">
        <f t="shared" si="4"/>
        <v>0</v>
      </c>
      <c r="G68" s="22">
        <f t="shared" si="5"/>
        <v>0</v>
      </c>
      <c r="H68" s="73" t="s">
        <v>54</v>
      </c>
      <c r="I68" s="74"/>
      <c r="J68" s="74"/>
      <c r="K68" s="74"/>
      <c r="L68" s="75"/>
    </row>
    <row r="69" spans="2:12" ht="80.099999999999994" customHeight="1" thickTop="1" x14ac:dyDescent="0.4"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</row>
    <row r="70" spans="2:12" ht="15" thickBot="1" x14ac:dyDescent="0.45"/>
    <row r="71" spans="2:12" ht="21" customHeight="1" thickTop="1" x14ac:dyDescent="0.4">
      <c r="B71" s="145" t="s">
        <v>145</v>
      </c>
      <c r="C71" s="146"/>
      <c r="D71" s="146"/>
      <c r="E71" s="146"/>
      <c r="F71" s="146"/>
      <c r="G71" s="146"/>
      <c r="H71" s="146"/>
      <c r="I71" s="146"/>
      <c r="J71" s="146"/>
      <c r="K71" s="146"/>
      <c r="L71" s="147"/>
    </row>
    <row r="72" spans="2:12" ht="18" customHeight="1" x14ac:dyDescent="0.4">
      <c r="B72" s="96" t="s">
        <v>3</v>
      </c>
      <c r="C72" s="94" t="s">
        <v>4</v>
      </c>
      <c r="D72" s="94" t="s">
        <v>5</v>
      </c>
      <c r="E72" s="94"/>
      <c r="F72" s="94" t="s">
        <v>6</v>
      </c>
      <c r="G72" s="94"/>
      <c r="H72" s="94" t="s">
        <v>7</v>
      </c>
      <c r="I72" s="94"/>
      <c r="J72" s="94"/>
      <c r="K72" s="94"/>
      <c r="L72" s="95"/>
    </row>
    <row r="73" spans="2:12" ht="18" customHeight="1" x14ac:dyDescent="0.4">
      <c r="B73" s="96"/>
      <c r="C73" s="94"/>
      <c r="D73" s="5" t="s">
        <v>1</v>
      </c>
      <c r="E73" s="5" t="s">
        <v>2</v>
      </c>
      <c r="F73" s="6" t="s">
        <v>1</v>
      </c>
      <c r="G73" s="7" t="s">
        <v>2</v>
      </c>
      <c r="H73" s="94"/>
      <c r="I73" s="94"/>
      <c r="J73" s="94"/>
      <c r="K73" s="94"/>
      <c r="L73" s="95"/>
    </row>
    <row r="74" spans="2:12" ht="18" customHeight="1" x14ac:dyDescent="0.4">
      <c r="B74" s="140" t="s">
        <v>98</v>
      </c>
      <c r="C74" s="43" t="s">
        <v>30</v>
      </c>
      <c r="D74" s="17">
        <f t="shared" ref="D74:D98" si="6">E74*0.65</f>
        <v>32.5</v>
      </c>
      <c r="E74" s="12">
        <v>50</v>
      </c>
      <c r="F74" s="8">
        <f t="shared" ref="F74:F98" si="7">D74*D$2</f>
        <v>0</v>
      </c>
      <c r="G74" s="8">
        <f t="shared" ref="G74:G98" si="8">E74*D$3</f>
        <v>0</v>
      </c>
      <c r="H74" s="53" t="s">
        <v>167</v>
      </c>
      <c r="I74" s="54"/>
      <c r="J74" s="54"/>
      <c r="K74" s="54"/>
      <c r="L74" s="55"/>
    </row>
    <row r="75" spans="2:12" ht="18" customHeight="1" x14ac:dyDescent="0.4">
      <c r="B75" s="140"/>
      <c r="C75" s="43" t="s">
        <v>168</v>
      </c>
      <c r="D75" s="17">
        <f t="shared" si="6"/>
        <v>1.625</v>
      </c>
      <c r="E75" s="12">
        <v>2.5</v>
      </c>
      <c r="F75" s="8">
        <f t="shared" si="7"/>
        <v>0</v>
      </c>
      <c r="G75" s="8">
        <f t="shared" si="8"/>
        <v>0</v>
      </c>
      <c r="H75" s="59"/>
      <c r="I75" s="60"/>
      <c r="J75" s="60"/>
      <c r="K75" s="60"/>
      <c r="L75" s="61"/>
    </row>
    <row r="76" spans="2:12" ht="18" customHeight="1" x14ac:dyDescent="0.4">
      <c r="B76" s="126" t="s">
        <v>279</v>
      </c>
      <c r="C76" s="15" t="s">
        <v>122</v>
      </c>
      <c r="D76" s="9">
        <f t="shared" si="6"/>
        <v>13</v>
      </c>
      <c r="E76" s="12">
        <v>20</v>
      </c>
      <c r="F76" s="8">
        <f t="shared" si="7"/>
        <v>0</v>
      </c>
      <c r="G76" s="8">
        <f t="shared" si="8"/>
        <v>0</v>
      </c>
      <c r="H76" s="91" t="s">
        <v>280</v>
      </c>
      <c r="I76" s="92"/>
      <c r="J76" s="92"/>
      <c r="K76" s="92"/>
      <c r="L76" s="93"/>
    </row>
    <row r="77" spans="2:12" ht="18" customHeight="1" x14ac:dyDescent="0.4">
      <c r="B77" s="127"/>
      <c r="C77" s="15" t="s">
        <v>19</v>
      </c>
      <c r="D77" s="17">
        <f t="shared" si="6"/>
        <v>3.25</v>
      </c>
      <c r="E77" s="12">
        <v>5</v>
      </c>
      <c r="F77" s="8">
        <f t="shared" si="7"/>
        <v>0</v>
      </c>
      <c r="G77" s="8">
        <f t="shared" si="8"/>
        <v>0</v>
      </c>
      <c r="H77" s="91"/>
      <c r="I77" s="92"/>
      <c r="J77" s="92"/>
      <c r="K77" s="92"/>
      <c r="L77" s="93"/>
    </row>
    <row r="78" spans="2:12" ht="18" customHeight="1" x14ac:dyDescent="0.4">
      <c r="B78" s="127"/>
      <c r="C78" s="15" t="s">
        <v>40</v>
      </c>
      <c r="D78" s="17">
        <f t="shared" si="6"/>
        <v>0.32500000000000001</v>
      </c>
      <c r="E78" s="12">
        <v>0.5</v>
      </c>
      <c r="F78" s="8">
        <f t="shared" si="7"/>
        <v>0</v>
      </c>
      <c r="G78" s="8">
        <f t="shared" si="8"/>
        <v>0</v>
      </c>
      <c r="H78" s="91"/>
      <c r="I78" s="92"/>
      <c r="J78" s="92"/>
      <c r="K78" s="92"/>
      <c r="L78" s="93"/>
    </row>
    <row r="79" spans="2:12" ht="18" customHeight="1" x14ac:dyDescent="0.4">
      <c r="B79" s="127"/>
      <c r="C79" s="15" t="s">
        <v>13</v>
      </c>
      <c r="D79" s="17">
        <f t="shared" si="6"/>
        <v>1.3</v>
      </c>
      <c r="E79" s="12">
        <v>2</v>
      </c>
      <c r="F79" s="8">
        <f t="shared" si="7"/>
        <v>0</v>
      </c>
      <c r="G79" s="8">
        <f t="shared" si="8"/>
        <v>0</v>
      </c>
      <c r="H79" s="91"/>
      <c r="I79" s="92"/>
      <c r="J79" s="92"/>
      <c r="K79" s="92"/>
      <c r="L79" s="93"/>
    </row>
    <row r="80" spans="2:12" ht="18" customHeight="1" x14ac:dyDescent="0.4">
      <c r="B80" s="127"/>
      <c r="C80" s="15" t="s">
        <v>22</v>
      </c>
      <c r="D80" s="17">
        <f t="shared" si="6"/>
        <v>1.3</v>
      </c>
      <c r="E80" s="12">
        <v>2</v>
      </c>
      <c r="F80" s="8">
        <f t="shared" si="7"/>
        <v>0</v>
      </c>
      <c r="G80" s="8">
        <f t="shared" si="8"/>
        <v>0</v>
      </c>
      <c r="H80" s="91"/>
      <c r="I80" s="92"/>
      <c r="J80" s="92"/>
      <c r="K80" s="92"/>
      <c r="L80" s="93"/>
    </row>
    <row r="81" spans="2:12" ht="18" customHeight="1" x14ac:dyDescent="0.4">
      <c r="B81" s="127"/>
      <c r="C81" s="15" t="s">
        <v>21</v>
      </c>
      <c r="D81" s="17">
        <f t="shared" si="6"/>
        <v>1.3</v>
      </c>
      <c r="E81" s="12">
        <v>2</v>
      </c>
      <c r="F81" s="8">
        <f t="shared" si="7"/>
        <v>0</v>
      </c>
      <c r="G81" s="8">
        <f t="shared" si="8"/>
        <v>0</v>
      </c>
      <c r="H81" s="91"/>
      <c r="I81" s="92"/>
      <c r="J81" s="92"/>
      <c r="K81" s="92"/>
      <c r="L81" s="93"/>
    </row>
    <row r="82" spans="2:12" ht="18" customHeight="1" x14ac:dyDescent="0.4">
      <c r="B82" s="128" t="s">
        <v>281</v>
      </c>
      <c r="C82" s="13" t="s">
        <v>27</v>
      </c>
      <c r="D82" s="9">
        <f t="shared" si="6"/>
        <v>13</v>
      </c>
      <c r="E82" s="12">
        <v>20</v>
      </c>
      <c r="F82" s="8">
        <f t="shared" si="7"/>
        <v>0</v>
      </c>
      <c r="G82" s="8">
        <f t="shared" si="8"/>
        <v>0</v>
      </c>
      <c r="H82" s="53" t="s">
        <v>282</v>
      </c>
      <c r="I82" s="54"/>
      <c r="J82" s="54"/>
      <c r="K82" s="54"/>
      <c r="L82" s="55"/>
    </row>
    <row r="83" spans="2:12" ht="18" customHeight="1" x14ac:dyDescent="0.4">
      <c r="B83" s="129"/>
      <c r="C83" s="13" t="s">
        <v>35</v>
      </c>
      <c r="D83" s="9">
        <f t="shared" si="6"/>
        <v>13</v>
      </c>
      <c r="E83" s="12">
        <v>20</v>
      </c>
      <c r="F83" s="8">
        <f t="shared" si="7"/>
        <v>0</v>
      </c>
      <c r="G83" s="8">
        <f t="shared" si="8"/>
        <v>0</v>
      </c>
      <c r="H83" s="56"/>
      <c r="I83" s="57"/>
      <c r="J83" s="57"/>
      <c r="K83" s="57"/>
      <c r="L83" s="58"/>
    </row>
    <row r="84" spans="2:12" ht="18" customHeight="1" x14ac:dyDescent="0.4">
      <c r="B84" s="129"/>
      <c r="C84" s="13" t="s">
        <v>13</v>
      </c>
      <c r="D84" s="17">
        <f t="shared" si="6"/>
        <v>3.25</v>
      </c>
      <c r="E84" s="12">
        <v>5</v>
      </c>
      <c r="F84" s="8">
        <f t="shared" si="7"/>
        <v>0</v>
      </c>
      <c r="G84" s="8">
        <f t="shared" si="8"/>
        <v>0</v>
      </c>
      <c r="H84" s="56"/>
      <c r="I84" s="57"/>
      <c r="J84" s="57"/>
      <c r="K84" s="57"/>
      <c r="L84" s="58"/>
    </row>
    <row r="85" spans="2:12" ht="18" customHeight="1" x14ac:dyDescent="0.4">
      <c r="B85" s="129"/>
      <c r="C85" s="13" t="s">
        <v>61</v>
      </c>
      <c r="D85" s="17">
        <f t="shared" si="6"/>
        <v>0.65</v>
      </c>
      <c r="E85" s="12">
        <v>1</v>
      </c>
      <c r="F85" s="8">
        <f t="shared" si="7"/>
        <v>0</v>
      </c>
      <c r="G85" s="8">
        <f t="shared" si="8"/>
        <v>0</v>
      </c>
      <c r="H85" s="56"/>
      <c r="I85" s="57"/>
      <c r="J85" s="57"/>
      <c r="K85" s="57"/>
      <c r="L85" s="58"/>
    </row>
    <row r="86" spans="2:12" ht="18" customHeight="1" x14ac:dyDescent="0.4">
      <c r="B86" s="129"/>
      <c r="C86" s="13" t="s">
        <v>15</v>
      </c>
      <c r="D86" s="17">
        <f t="shared" si="6"/>
        <v>1.3</v>
      </c>
      <c r="E86" s="12">
        <v>2</v>
      </c>
      <c r="F86" s="8">
        <f t="shared" si="7"/>
        <v>0</v>
      </c>
      <c r="G86" s="8">
        <f t="shared" si="8"/>
        <v>0</v>
      </c>
      <c r="H86" s="56"/>
      <c r="I86" s="57"/>
      <c r="J86" s="57"/>
      <c r="K86" s="57"/>
      <c r="L86" s="58"/>
    </row>
    <row r="87" spans="2:12" ht="18" customHeight="1" x14ac:dyDescent="0.4">
      <c r="B87" s="129"/>
      <c r="C87" s="13" t="s">
        <v>17</v>
      </c>
      <c r="D87" s="9">
        <f t="shared" si="6"/>
        <v>1.9500000000000002</v>
      </c>
      <c r="E87" s="12">
        <v>3</v>
      </c>
      <c r="F87" s="8">
        <f t="shared" si="7"/>
        <v>0</v>
      </c>
      <c r="G87" s="8">
        <f t="shared" si="8"/>
        <v>0</v>
      </c>
      <c r="H87" s="56"/>
      <c r="I87" s="57"/>
      <c r="J87" s="57"/>
      <c r="K87" s="57"/>
      <c r="L87" s="58"/>
    </row>
    <row r="88" spans="2:12" ht="18" customHeight="1" x14ac:dyDescent="0.4">
      <c r="B88" s="129"/>
      <c r="C88" s="13" t="s">
        <v>12</v>
      </c>
      <c r="D88" s="17">
        <f t="shared" si="6"/>
        <v>1.3</v>
      </c>
      <c r="E88" s="12">
        <v>2</v>
      </c>
      <c r="F88" s="8">
        <f t="shared" si="7"/>
        <v>0</v>
      </c>
      <c r="G88" s="8">
        <f t="shared" si="8"/>
        <v>0</v>
      </c>
      <c r="H88" s="56"/>
      <c r="I88" s="57"/>
      <c r="J88" s="57"/>
      <c r="K88" s="57"/>
      <c r="L88" s="58"/>
    </row>
    <row r="89" spans="2:12" ht="18" customHeight="1" x14ac:dyDescent="0.4">
      <c r="B89" s="129"/>
      <c r="C89" s="13" t="s">
        <v>249</v>
      </c>
      <c r="D89" s="9">
        <f t="shared" si="6"/>
        <v>1.9500000000000002</v>
      </c>
      <c r="E89" s="12">
        <v>3</v>
      </c>
      <c r="F89" s="8">
        <f t="shared" si="7"/>
        <v>0</v>
      </c>
      <c r="G89" s="8">
        <f t="shared" si="8"/>
        <v>0</v>
      </c>
      <c r="H89" s="56"/>
      <c r="I89" s="57"/>
      <c r="J89" s="57"/>
      <c r="K89" s="57"/>
      <c r="L89" s="58"/>
    </row>
    <row r="90" spans="2:12" ht="18" customHeight="1" x14ac:dyDescent="0.4">
      <c r="B90" s="129"/>
      <c r="C90" s="13" t="s">
        <v>19</v>
      </c>
      <c r="D90" s="17">
        <f t="shared" si="6"/>
        <v>1.3</v>
      </c>
      <c r="E90" s="12">
        <v>2</v>
      </c>
      <c r="F90" s="8">
        <f t="shared" si="7"/>
        <v>0</v>
      </c>
      <c r="G90" s="8">
        <f t="shared" si="8"/>
        <v>0</v>
      </c>
      <c r="H90" s="56"/>
      <c r="I90" s="57"/>
      <c r="J90" s="57"/>
      <c r="K90" s="57"/>
      <c r="L90" s="58"/>
    </row>
    <row r="91" spans="2:12" ht="18" customHeight="1" x14ac:dyDescent="0.4">
      <c r="B91" s="130" t="s">
        <v>283</v>
      </c>
      <c r="C91" s="13" t="s">
        <v>32</v>
      </c>
      <c r="D91" s="14">
        <f t="shared" si="6"/>
        <v>19.5</v>
      </c>
      <c r="E91" s="13">
        <v>30</v>
      </c>
      <c r="F91" s="8">
        <f t="shared" si="7"/>
        <v>0</v>
      </c>
      <c r="G91" s="8">
        <f t="shared" si="8"/>
        <v>0</v>
      </c>
      <c r="H91" s="105" t="s">
        <v>284</v>
      </c>
      <c r="I91" s="106"/>
      <c r="J91" s="106"/>
      <c r="K91" s="106"/>
      <c r="L91" s="107"/>
    </row>
    <row r="92" spans="2:12" ht="18" customHeight="1" x14ac:dyDescent="0.4">
      <c r="B92" s="131"/>
      <c r="C92" s="13" t="s">
        <v>72</v>
      </c>
      <c r="D92" s="14">
        <f t="shared" si="6"/>
        <v>6.5</v>
      </c>
      <c r="E92" s="13">
        <v>10</v>
      </c>
      <c r="F92" s="8">
        <f t="shared" si="7"/>
        <v>0</v>
      </c>
      <c r="G92" s="8">
        <f t="shared" si="8"/>
        <v>0</v>
      </c>
      <c r="H92" s="108"/>
      <c r="I92" s="109"/>
      <c r="J92" s="109"/>
      <c r="K92" s="109"/>
      <c r="L92" s="110"/>
    </row>
    <row r="93" spans="2:12" ht="18" customHeight="1" x14ac:dyDescent="0.4">
      <c r="B93" s="131"/>
      <c r="C93" s="13" t="s">
        <v>73</v>
      </c>
      <c r="D93" s="14">
        <f t="shared" si="6"/>
        <v>1.3</v>
      </c>
      <c r="E93" s="13">
        <v>2</v>
      </c>
      <c r="F93" s="8">
        <f t="shared" si="7"/>
        <v>0</v>
      </c>
      <c r="G93" s="8">
        <f t="shared" si="8"/>
        <v>0</v>
      </c>
      <c r="H93" s="108"/>
      <c r="I93" s="109"/>
      <c r="J93" s="109"/>
      <c r="K93" s="109"/>
      <c r="L93" s="110"/>
    </row>
    <row r="94" spans="2:12" ht="18" customHeight="1" x14ac:dyDescent="0.4">
      <c r="B94" s="131"/>
      <c r="C94" s="13" t="s">
        <v>9</v>
      </c>
      <c r="D94" s="14">
        <f t="shared" si="6"/>
        <v>0.32500000000000001</v>
      </c>
      <c r="E94" s="13">
        <v>0.5</v>
      </c>
      <c r="F94" s="8">
        <f t="shared" si="7"/>
        <v>0</v>
      </c>
      <c r="G94" s="8">
        <f t="shared" si="8"/>
        <v>0</v>
      </c>
      <c r="H94" s="108"/>
      <c r="I94" s="109"/>
      <c r="J94" s="109"/>
      <c r="K94" s="109"/>
      <c r="L94" s="110"/>
    </row>
    <row r="95" spans="2:12" ht="18" customHeight="1" x14ac:dyDescent="0.4">
      <c r="B95" s="131"/>
      <c r="C95" s="13" t="s">
        <v>61</v>
      </c>
      <c r="D95" s="14">
        <f t="shared" si="6"/>
        <v>0.32500000000000001</v>
      </c>
      <c r="E95" s="13">
        <v>0.5</v>
      </c>
      <c r="F95" s="8">
        <f t="shared" si="7"/>
        <v>0</v>
      </c>
      <c r="G95" s="8">
        <f t="shared" si="8"/>
        <v>0</v>
      </c>
      <c r="H95" s="108"/>
      <c r="I95" s="109"/>
      <c r="J95" s="109"/>
      <c r="K95" s="109"/>
      <c r="L95" s="110"/>
    </row>
    <row r="96" spans="2:12" ht="18" customHeight="1" x14ac:dyDescent="0.4">
      <c r="B96" s="131"/>
      <c r="C96" s="13" t="s">
        <v>10</v>
      </c>
      <c r="D96" s="14">
        <f t="shared" si="6"/>
        <v>0.65</v>
      </c>
      <c r="E96" s="13">
        <v>1</v>
      </c>
      <c r="F96" s="8">
        <f t="shared" si="7"/>
        <v>0</v>
      </c>
      <c r="G96" s="8">
        <f t="shared" si="8"/>
        <v>0</v>
      </c>
      <c r="H96" s="108"/>
      <c r="I96" s="109"/>
      <c r="J96" s="109"/>
      <c r="K96" s="109"/>
      <c r="L96" s="110"/>
    </row>
    <row r="97" spans="2:12" ht="18" customHeight="1" x14ac:dyDescent="0.4">
      <c r="B97" s="132"/>
      <c r="C97" s="13" t="s">
        <v>14</v>
      </c>
      <c r="D97" s="14">
        <f t="shared" si="6"/>
        <v>1.3</v>
      </c>
      <c r="E97" s="13">
        <v>2</v>
      </c>
      <c r="F97" s="8">
        <f t="shared" si="7"/>
        <v>0</v>
      </c>
      <c r="G97" s="8">
        <f t="shared" si="8"/>
        <v>0</v>
      </c>
      <c r="H97" s="111"/>
      <c r="I97" s="112"/>
      <c r="J97" s="112"/>
      <c r="K97" s="112"/>
      <c r="L97" s="113"/>
    </row>
    <row r="98" spans="2:12" ht="18" customHeight="1" thickBot="1" x14ac:dyDescent="0.45">
      <c r="B98" s="155" t="s">
        <v>66</v>
      </c>
      <c r="C98" s="36" t="s">
        <v>67</v>
      </c>
      <c r="D98" s="46">
        <f t="shared" si="6"/>
        <v>13</v>
      </c>
      <c r="E98" s="21">
        <v>20</v>
      </c>
      <c r="F98" s="22">
        <f t="shared" si="7"/>
        <v>0</v>
      </c>
      <c r="G98" s="22">
        <f t="shared" si="8"/>
        <v>0</v>
      </c>
      <c r="H98" s="73" t="s">
        <v>54</v>
      </c>
      <c r="I98" s="74"/>
      <c r="J98" s="74"/>
      <c r="K98" s="74"/>
      <c r="L98" s="75"/>
    </row>
    <row r="99" spans="2:12" ht="80.099999999999994" customHeight="1" thickTop="1" x14ac:dyDescent="0.4">
      <c r="B99" s="84"/>
      <c r="C99" s="84"/>
      <c r="D99" s="84"/>
      <c r="E99" s="84"/>
      <c r="F99" s="84"/>
      <c r="G99" s="84"/>
      <c r="H99" s="84"/>
      <c r="I99" s="84"/>
      <c r="J99" s="84"/>
      <c r="K99" s="84"/>
      <c r="L99" s="84"/>
    </row>
    <row r="100" spans="2:12" x14ac:dyDescent="0.4">
      <c r="B100" s="164"/>
      <c r="C100" s="164"/>
      <c r="D100" s="161"/>
      <c r="E100" s="24"/>
      <c r="F100" s="25"/>
      <c r="G100" s="25"/>
      <c r="H100" s="45"/>
      <c r="I100" s="45"/>
      <c r="J100" s="45"/>
      <c r="K100" s="45"/>
      <c r="L100" s="45"/>
    </row>
  </sheetData>
  <mergeCells count="49">
    <mergeCell ref="B71:L71"/>
    <mergeCell ref="B72:B73"/>
    <mergeCell ref="C72:C73"/>
    <mergeCell ref="D72:E72"/>
    <mergeCell ref="F72:G72"/>
    <mergeCell ref="H72:L73"/>
    <mergeCell ref="H8:L9"/>
    <mergeCell ref="H10:L11"/>
    <mergeCell ref="B12:B18"/>
    <mergeCell ref="H12:L18"/>
    <mergeCell ref="B19:B25"/>
    <mergeCell ref="H19:L25"/>
    <mergeCell ref="B82:B90"/>
    <mergeCell ref="H82:L90"/>
    <mergeCell ref="B91:B97"/>
    <mergeCell ref="H91:L97"/>
    <mergeCell ref="H98:L98"/>
    <mergeCell ref="B99:L99"/>
    <mergeCell ref="B74:B75"/>
    <mergeCell ref="H74:L75"/>
    <mergeCell ref="B76:B81"/>
    <mergeCell ref="H76:L81"/>
    <mergeCell ref="B39:B52"/>
    <mergeCell ref="H39:L52"/>
    <mergeCell ref="B53:B60"/>
    <mergeCell ref="H53:L60"/>
    <mergeCell ref="B61:B67"/>
    <mergeCell ref="H61:L67"/>
    <mergeCell ref="H68:L68"/>
    <mergeCell ref="B69:L69"/>
    <mergeCell ref="B37:B38"/>
    <mergeCell ref="C37:C38"/>
    <mergeCell ref="D37:E37"/>
    <mergeCell ref="F37:G37"/>
    <mergeCell ref="H37:L38"/>
    <mergeCell ref="B10:B11"/>
    <mergeCell ref="B26:B32"/>
    <mergeCell ref="H26:L32"/>
    <mergeCell ref="H33:L33"/>
    <mergeCell ref="B34:L34"/>
    <mergeCell ref="B36:L36"/>
    <mergeCell ref="B8:B9"/>
    <mergeCell ref="C8:C9"/>
    <mergeCell ref="B2:B3"/>
    <mergeCell ref="E2:L3"/>
    <mergeCell ref="B4:L6"/>
    <mergeCell ref="B7:L7"/>
    <mergeCell ref="D8:E8"/>
    <mergeCell ref="F8:G8"/>
  </mergeCells>
  <phoneticPr fontId="2" type="noConversion"/>
  <pageMargins left="0.25" right="0.25" top="0.75" bottom="0.75" header="0.3" footer="0.3"/>
  <rowBreaks count="5" manualBreakCount="5">
    <brk id="41" min="1" max="12" man="1"/>
    <brk id="83" min="1" max="12" man="1"/>
    <brk id="116" min="1" max="12" man="1"/>
    <brk id="152" min="1" max="12" man="1"/>
    <brk id="186" min="1" max="12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25. 12 첫째주</vt:lpstr>
      <vt:lpstr>25. 12 둘째주</vt:lpstr>
      <vt:lpstr>25. 12 셋째주</vt:lpstr>
      <vt:lpstr>25. 12 넷째주</vt:lpstr>
      <vt:lpstr>25. 12 다섯째주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cp:lastPrinted>2016-04-20T08:32:20Z</cp:lastPrinted>
  <dcterms:created xsi:type="dcterms:W3CDTF">2014-02-26T03:58:18Z</dcterms:created>
  <dcterms:modified xsi:type="dcterms:W3CDTF">2025-12-19T02:05:52Z</dcterms:modified>
</cp:coreProperties>
</file>