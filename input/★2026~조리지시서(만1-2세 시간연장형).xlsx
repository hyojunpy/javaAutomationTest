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IdeaProjects\javaAutomaionTest-master\input\"/>
    </mc:Choice>
  </mc:AlternateContent>
  <xr:revisionPtr revIDLastSave="0" documentId="13_ncr:1_{2301AB02-1A5D-4A2C-8D7F-AE999FF0BF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5. 12 첫째주" sheetId="1" r:id="rId1"/>
    <sheet name="25. 12 둘째주" sheetId="2" r:id="rId2"/>
    <sheet name="25. 12 셋째주" sheetId="3" r:id="rId3"/>
    <sheet name="25. 12 넷째주" sheetId="4" r:id="rId4"/>
    <sheet name="25. 12 다섯째주" sheetId="5" r:id="rId5"/>
  </sheets>
  <calcPr calcId="191029"/>
</workbook>
</file>

<file path=xl/calcChain.xml><?xml version="1.0" encoding="utf-8"?>
<calcChain xmlns="http://schemas.openxmlformats.org/spreadsheetml/2006/main">
  <c r="E97" i="5" l="1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<sst xmlns="http://schemas.openxmlformats.org/spreadsheetml/2006/main" count="1123" uniqueCount="286">
  <si>
    <t>원아수</t>
  </si>
  <si>
    <t>1~2세</t>
  </si>
  <si>
    <t>메뉴명</t>
  </si>
  <si>
    <t>식재료명</t>
  </si>
  <si>
    <t>1인 제공량(g)</t>
  </si>
  <si>
    <t>총 발주량</t>
  </si>
  <si>
    <t>만드는방법</t>
  </si>
  <si>
    <t>백미</t>
  </si>
  <si>
    <t>① 쌀과 흑미를 씻은 후, 물에 불린다.
② 적당량의 물을 부어 밥을 짓는다.</t>
  </si>
  <si>
    <t>양파</t>
  </si>
  <si>
    <t>다시마</t>
  </si>
  <si>
    <t>다진마늘</t>
  </si>
  <si>
    <t>멸치</t>
  </si>
  <si>
    <t>간장</t>
  </si>
  <si>
    <t>참기름</t>
  </si>
  <si>
    <t>파</t>
  </si>
  <si>
    <t>쇠고기</t>
  </si>
  <si>
    <t>당근</t>
  </si>
  <si>
    <t>후추</t>
  </si>
  <si>
    <t>콩기름</t>
  </si>
  <si>
    <t>애호박</t>
  </si>
  <si>
    <t>소금</t>
  </si>
  <si>
    <t>깨</t>
  </si>
  <si>
    <t>① 배추김치는 1x1cm 이하 크기로 작게 잘라 제공한다.</t>
  </si>
  <si>
    <t>설탕</t>
  </si>
  <si>
    <t>느타리버섯</t>
  </si>
  <si>
    <t>된장</t>
  </si>
  <si>
    <t>마늘</t>
  </si>
  <si>
    <t>훈제오리</t>
  </si>
  <si>
    <t>양배추</t>
  </si>
  <si>
    <t>콩나물</t>
  </si>
  <si>
    <t>돼지고기</t>
  </si>
  <si>
    <t>시금치</t>
  </si>
  <si>
    <t>① 깍두기는 1x1cm 이하 크기로 작게 잘라 제공한다.</t>
  </si>
  <si>
    <t>김가루</t>
  </si>
  <si>
    <t>오이</t>
  </si>
  <si>
    <t>달걀</t>
  </si>
  <si>
    <t>건미역</t>
  </si>
  <si>
    <t>들깨가루</t>
  </si>
  <si>
    <t>두부</t>
  </si>
  <si>
    <t>고등어</t>
  </si>
  <si>
    <t>무</t>
  </si>
  <si>
    <t>파래김</t>
  </si>
  <si>
    <t>① 쌀을 씻어 물에 불린 후, 적당량의 물을 부어 밥을 짓는다.</t>
  </si>
  <si>
    <t>들기름</t>
  </si>
  <si>
    <t>밀가루</t>
  </si>
  <si>
    <t>배추</t>
  </si>
  <si>
    <t>감자</t>
  </si>
  <si>
    <t>동태살</t>
  </si>
  <si>
    <t>고사리</t>
  </si>
  <si>
    <t>닭살</t>
  </si>
  <si>
    <t>물엿</t>
  </si>
  <si>
    <t>메추리알</t>
  </si>
  <si>
    <t>청경채</t>
  </si>
  <si>
    <t>2025년 12월 1일 (월)</t>
  </si>
  <si>
    <t>당근</t>
    <phoneticPr fontId="7" type="noConversion"/>
  </si>
  <si>
    <t>쌀밥</t>
    <phoneticPr fontId="7" type="noConversion"/>
  </si>
  <si>
    <t>백미</t>
    <phoneticPr fontId="7" type="noConversion"/>
  </si>
  <si>
    <t>① 쌀을 씻어 물에 불린 후, 적당량의 물을 부어 밥을 짓는다.</t>
    <phoneticPr fontId="7" type="noConversion"/>
  </si>
  <si>
    <t>들깨미역국⑤⑥</t>
    <phoneticPr fontId="7" type="noConversion"/>
  </si>
  <si>
    <t>다진마늘</t>
    <phoneticPr fontId="7" type="noConversion"/>
  </si>
  <si>
    <t>쇠고기</t>
    <phoneticPr fontId="7" type="noConversion"/>
  </si>
  <si>
    <t>청경채나물⑤⑥</t>
    <phoneticPr fontId="7" type="noConversion"/>
  </si>
  <si>
    <t>간장</t>
    <phoneticPr fontId="7" type="noConversion"/>
  </si>
  <si>
    <t>깨</t>
    <phoneticPr fontId="7" type="noConversion"/>
  </si>
  <si>
    <t>배추김치⑨</t>
    <phoneticPr fontId="7" type="noConversion"/>
  </si>
  <si>
    <t>배추김치</t>
    <phoneticPr fontId="7" type="noConversion"/>
  </si>
  <si>
    <t>흑미밥</t>
    <phoneticPr fontId="7" type="noConversion"/>
  </si>
  <si>
    <t>흑미</t>
    <phoneticPr fontId="7" type="noConversion"/>
  </si>
  <si>
    <t>애호박새우젓국⑨</t>
    <phoneticPr fontId="7" type="noConversion"/>
  </si>
  <si>
    <t>새우젓</t>
  </si>
  <si>
    <t>양파</t>
    <phoneticPr fontId="7" type="noConversion"/>
  </si>
  <si>
    <t>파</t>
    <phoneticPr fontId="7" type="noConversion"/>
  </si>
  <si>
    <t>소금</t>
    <phoneticPr fontId="7" type="noConversion"/>
  </si>
  <si>
    <t>후추</t>
    <phoneticPr fontId="7" type="noConversion"/>
  </si>
  <si>
    <t>콩기름</t>
    <phoneticPr fontId="7" type="noConversion"/>
  </si>
  <si>
    <t>무</t>
    <phoneticPr fontId="7" type="noConversion"/>
  </si>
  <si>
    <t>식초</t>
    <phoneticPr fontId="7" type="noConversion"/>
  </si>
  <si>
    <t>설탕</t>
    <phoneticPr fontId="7" type="noConversion"/>
  </si>
  <si>
    <t>2025년 12월 3일 (수)</t>
  </si>
  <si>
    <t>다시마</t>
    <phoneticPr fontId="7" type="noConversion"/>
  </si>
  <si>
    <t>멸치</t>
    <phoneticPr fontId="7" type="noConversion"/>
  </si>
  <si>
    <t>참기름</t>
    <phoneticPr fontId="7" type="noConversion"/>
  </si>
  <si>
    <t>2025년 12월 4일 (목)</t>
  </si>
  <si>
    <t>연근</t>
    <phoneticPr fontId="7" type="noConversion"/>
  </si>
  <si>
    <t>2025년 12월 5일 (금)</t>
  </si>
  <si>
    <t>수수밥</t>
    <phoneticPr fontId="7" type="noConversion"/>
  </si>
  <si>
    <t>닭고기</t>
    <phoneticPr fontId="7" type="noConversion"/>
  </si>
  <si>
    <t>두부조림⑤⑥</t>
    <phoneticPr fontId="7" type="noConversion"/>
  </si>
  <si>
    <t>브로콜리</t>
    <phoneticPr fontId="7" type="noConversion"/>
  </si>
  <si>
    <t>참깨</t>
    <phoneticPr fontId="7" type="noConversion"/>
  </si>
  <si>
    <t>돼지고기</t>
    <phoneticPr fontId="7" type="noConversion"/>
  </si>
  <si>
    <t>감자</t>
    <phoneticPr fontId="7" type="noConversion"/>
  </si>
  <si>
    <t>감자국⑤⑥</t>
    <phoneticPr fontId="7" type="noConversion"/>
  </si>
  <si>
    <t>2025년 12월 8일 (월)</t>
  </si>
  <si>
    <t>물엿</t>
    <phoneticPr fontId="7" type="noConversion"/>
  </si>
  <si>
    <t>2025년 12월 9일 (화)</t>
  </si>
  <si>
    <t>기장밥</t>
    <phoneticPr fontId="7" type="noConversion"/>
  </si>
  <si>
    <t>① 쌀과 기장을 씻은 후, 물에 불린다.
② 적당량의 물을 부어 밥을 짓는다.</t>
    <phoneticPr fontId="7" type="noConversion"/>
  </si>
  <si>
    <t>기장</t>
    <phoneticPr fontId="7" type="noConversion"/>
  </si>
  <si>
    <t>2025년 12월 10일 (수)</t>
  </si>
  <si>
    <t>무채국⑤⑥</t>
    <phoneticPr fontId="7" type="noConversion"/>
  </si>
  <si>
    <t>피망</t>
    <phoneticPr fontId="7" type="noConversion"/>
  </si>
  <si>
    <t>2025년 12월 11일 (목)</t>
  </si>
  <si>
    <t>팽이버섯</t>
    <phoneticPr fontId="7" type="noConversion"/>
  </si>
  <si>
    <t>표고버섯</t>
    <phoneticPr fontId="7" type="noConversion"/>
  </si>
  <si>
    <t>청포묵</t>
  </si>
  <si>
    <t>2025년 12월 12일 (금)</t>
  </si>
  <si>
    <t>맑은두부국⑤⑥</t>
    <phoneticPr fontId="7" type="noConversion"/>
  </si>
  <si>
    <t>청경채</t>
    <phoneticPr fontId="7" type="noConversion"/>
  </si>
  <si>
    <t>2025년 12월 15일 (월)</t>
  </si>
  <si>
    <t>미역국⑤⑥</t>
    <phoneticPr fontId="7" type="noConversion"/>
  </si>
  <si>
    <t>애호박나물⑤</t>
    <phoneticPr fontId="7" type="noConversion"/>
  </si>
  <si>
    <t>달걀</t>
    <phoneticPr fontId="7" type="noConversion"/>
  </si>
  <si>
    <t>2025년 12월 16일 (화)</t>
  </si>
  <si>
    <t>새송이버섯</t>
    <phoneticPr fontId="7" type="noConversion"/>
  </si>
  <si>
    <t>콩나물무침⑤</t>
    <phoneticPr fontId="7" type="noConversion"/>
  </si>
  <si>
    <t>깍두기⑨</t>
    <phoneticPr fontId="7" type="noConversion"/>
  </si>
  <si>
    <t>깍두기</t>
    <phoneticPr fontId="7" type="noConversion"/>
  </si>
  <si>
    <t>2025년 12월 17일 (수)</t>
  </si>
  <si>
    <t>콩나물</t>
    <phoneticPr fontId="7" type="noConversion"/>
  </si>
  <si>
    <t>어묵</t>
  </si>
  <si>
    <t>2025년 12월 18일 (목)</t>
  </si>
  <si>
    <t>김자반⑤</t>
    <phoneticPr fontId="7" type="noConversion"/>
  </si>
  <si>
    <t>① 참기름을 두른 팬에 파래김을 볶는다.
② 소금, 설탕, 깨를 넣어 버무린다.</t>
    <phoneticPr fontId="7" type="noConversion"/>
  </si>
  <si>
    <t>2025년 12월 19일 (금)</t>
  </si>
  <si>
    <t>2025년 12월 22일 (월)</t>
  </si>
  <si>
    <t>브로콜리나물</t>
    <phoneticPr fontId="7" type="noConversion"/>
  </si>
  <si>
    <t>2025년 12월 23일 (화)</t>
  </si>
  <si>
    <t>① 쌀과 흑미를 씻은 후, 물에 불린다.
② 적당량의 물을 부어 밥을 짓는다.</t>
    <phoneticPr fontId="7" type="noConversion"/>
  </si>
  <si>
    <t>닭가슴살</t>
    <phoneticPr fontId="7" type="noConversion"/>
  </si>
  <si>
    <t>두부구이⑤&amp;양념장⑤⑥</t>
    <phoneticPr fontId="7" type="noConversion"/>
  </si>
  <si>
    <t>① 두부를 1cm 두께로 편썰어 소금을 뿌려 물기를 제거한다.
② 기름을 두른 팬에 두부를 앞뒤로 익힌다.
③ 양념장을 만들어 곁들인다.</t>
    <phoneticPr fontId="7" type="noConversion"/>
  </si>
  <si>
    <t>쑥갓</t>
    <phoneticPr fontId="7" type="noConversion"/>
  </si>
  <si>
    <t>2025년 12월 24일 (수)</t>
  </si>
  <si>
    <t>2025년 12월 26일 (금)</t>
  </si>
  <si>
    <t>두부</t>
    <phoneticPr fontId="7" type="noConversion"/>
  </si>
  <si>
    <t>2025년 12월 29일 (월)</t>
  </si>
  <si>
    <t>배추</t>
    <phoneticPr fontId="7" type="noConversion"/>
  </si>
  <si>
    <t>된장</t>
    <phoneticPr fontId="7" type="noConversion"/>
  </si>
  <si>
    <t>순살닭갈비⑤⑥⑮</t>
    <phoneticPr fontId="7" type="noConversion"/>
  </si>
  <si>
    <t>미역</t>
    <phoneticPr fontId="7" type="noConversion"/>
  </si>
  <si>
    <t>2025년 12월 30일 (화)</t>
  </si>
  <si>
    <t>2025년 12월 31일 (수)</t>
    <phoneticPr fontId="7" type="noConversion"/>
  </si>
  <si>
    <t>달걀파국①</t>
    <phoneticPr fontId="7" type="noConversion"/>
  </si>
  <si>
    <t xml:space="preserve">→ 이곳에 급식인원을 입력해주세요. 레시피에 자동으로 발주량이 계산됩니다. </t>
    <phoneticPr fontId="7" type="noConversion"/>
  </si>
  <si>
    <t>&lt;조리지시서 - 시간연장형&gt;</t>
    <phoneticPr fontId="7" type="noConversion"/>
  </si>
  <si>
    <t>① 쌀과 수수를 씻은 후, 물에 불린다.
② 적당량의 물을 부어 밥을 짓는다.</t>
    <phoneticPr fontId="7" type="noConversion"/>
  </si>
  <si>
    <t>수수</t>
    <phoneticPr fontId="7" type="noConversion"/>
  </si>
  <si>
    <r>
      <t>쇠고기감자국⑤⑥</t>
    </r>
    <r>
      <rPr>
        <sz val="10"/>
        <color theme="1"/>
        <rFont val="Segoe UI Symbol"/>
        <family val="3"/>
      </rPr>
      <t>⑯</t>
    </r>
    <phoneticPr fontId="7" type="noConversion"/>
  </si>
  <si>
    <t>① 쇠고기와 감자는 1x1cm 크기로 썰고 파는 송송 썬다.
② 냄비에 참기름을 두르고 쇠고기, 다진마늘, 간장을 넣고 볶다가 감자와  물을 
     넣어 끓인다.
③ 쇠고기와 감자가 익으면 ‘②’에 파를 넣고 소금, 후추로 간한다.</t>
    <phoneticPr fontId="7" type="noConversion"/>
  </si>
  <si>
    <t>채소달걀찜①</t>
    <phoneticPr fontId="7" type="noConversion"/>
  </si>
  <si>
    <t>① 당근, 양파, 파는 0.3cm로 잘게 다진다.
② 볼에 달걀을 풀고 '①', 소금, 참기름을 넣고 섞어 찜기를 이용하거나 
     또는 냄비에 중탕하여 찐다.</t>
    <phoneticPr fontId="7" type="noConversion"/>
  </si>
  <si>
    <t>미역나물⑤⑥</t>
    <phoneticPr fontId="7" type="noConversion"/>
  </si>
  <si>
    <t>① 건미역은 물에 불린 후 먹기 좋게 잘라 물기를 제거한 후, 2cm 길이로 자른다.
② 팬에 미역과 간장, 참기름, 깨를 넣어 볶는다.</t>
    <phoneticPr fontId="7" type="noConversion"/>
  </si>
  <si>
    <t/>
  </si>
  <si>
    <t>2025년 12월 2일 (화)</t>
  </si>
  <si>
    <t>차조밥</t>
    <phoneticPr fontId="7" type="noConversion"/>
  </si>
  <si>
    <t>① 쌀과 차조를 씻은 후, 물에 불린다.
② 적당량의 물을 부어 밥을 짓는다.</t>
    <phoneticPr fontId="7" type="noConversion"/>
  </si>
  <si>
    <t>차조</t>
    <phoneticPr fontId="7" type="noConversion"/>
  </si>
  <si>
    <t>① 다시마로 육수를 낸다.
② 무는 0.5cm 두께로 채 썬다.
③ 들기름을 두른 냄비에 다진마늘과 '②'를 넣고 볶다가 '①'을 부어 끓인 후, 
 간장으로 간한다.</t>
  </si>
  <si>
    <t>들기름</t>
    <phoneticPr fontId="7" type="noConversion"/>
  </si>
  <si>
    <t>돈육당근조림⑤⑥⑩</t>
    <phoneticPr fontId="7" type="noConversion"/>
  </si>
  <si>
    <t>① 당근은 사방 1cm로 썰고, 돼지고기는1.5x1.5cm 크기로 썬다.
② 분량의 양념을 섞어 양념장을 만든다.
③ 냄비에 '①', '②'와 물을 넣고 양념이 배어들도록 푹 조린다.</t>
    <phoneticPr fontId="7" type="noConversion"/>
  </si>
  <si>
    <t>청경채무침⑤⑥</t>
    <phoneticPr fontId="7" type="noConversion"/>
  </si>
  <si>
    <t>① 청경채는 끓는물에 소금을 넣고 데친 후 찬물에 헹궈 2cm 길이로 자른다.
② ‘①’에 분량의 양념을 넣어 무친다.</t>
    <phoneticPr fontId="7" type="noConversion"/>
  </si>
  <si>
    <t>① 쌀과 기장을 씻은 후, 물에 불린다.
② 적당량의 물을 부어 밥을 짓는다.</t>
  </si>
  <si>
    <t>기장</t>
  </si>
  <si>
    <t>북엇국⑤⑥</t>
    <phoneticPr fontId="7" type="noConversion"/>
  </si>
  <si>
    <t>북어채</t>
  </si>
  <si>
    <t>① 무는 0.5cm 두께로 편썰고, 북어채는 1cm로 잘게 썰어 물에 적신다.
② 참기름을 두른 냄비에 북어채를 볶다가 무를 넣어 볶는다.
③ '②'에 물을 넣고 끓이다가 다진 파, 마늘과 간장으로 간한다.</t>
    <phoneticPr fontId="7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</si>
  <si>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넣어 더 
 볶는다.</t>
  </si>
  <si>
    <t>팽이버섯나물⑤</t>
    <phoneticPr fontId="7" type="noConversion"/>
  </si>
  <si>
    <t>① 팽이버섯은 2cm 길이로 썰고 끓는물에 살짝 데친 후, 물기를 짠다.
② 양파와 당근은 0.5cm 두께로 채썰어 기름을 두른 팬에 볶는다.
③ 당근이 살짝 익으면 ‘②’에 ‘①’을 넣어 한번 더 볶는다.
④ 다진마늘, 소금으로 간하고 깨를 뿌린다.</t>
    <phoneticPr fontId="7" type="noConversion"/>
  </si>
  <si>
    <t>① 다시마와 멸치로 육수를 낸다.
② 달걀은 풀고 파는 송송 썬다.
③ '①'에 다진마늘과 소금을 넣고 끓인다.
④ 중불로 낮추어 달걀물을 천천히 붓고 가볍게 저어준 후, 파를 넣어 끓인다.</t>
  </si>
  <si>
    <r>
      <t>무른쇠고기연근조림
⑤⑥</t>
    </r>
    <r>
      <rPr>
        <sz val="10"/>
        <rFont val="MS Gothic"/>
        <family val="3"/>
        <charset val="128"/>
      </rPr>
      <t>⑯</t>
    </r>
    <phoneticPr fontId="7" type="noConversion"/>
  </si>
  <si>
    <t>① 핏물을 제거한 쇠고기와 연근은 1.5x1.5cm 크기로 썰고 파는 다진다.
② 연근은 식촛물에 끓인 후 건져낸다.
③ 분량의 양념으로 양념장을 만든다.
④ 냄비에 돼지고기, ‘②, ③’, 물을 넣어 조린다.</t>
  </si>
  <si>
    <t>청주</t>
    <phoneticPr fontId="7" type="noConversion"/>
  </si>
  <si>
    <t>무나물</t>
    <phoneticPr fontId="7" type="noConversion"/>
  </si>
  <si>
    <t>① 무는 껍질을 벗겨 0.5cm 두께로 채썬다.
② 들기름을 두른 팬에 '①', 다진 마늘, 소금을 넣고 볶는다.
③ 깨를 뿌려 담아낸다.</t>
    <phoneticPr fontId="7" type="noConversion"/>
  </si>
  <si>
    <t>두부된장국⑤⑥</t>
    <phoneticPr fontId="7" type="noConversion"/>
  </si>
  <si>
    <t>① 멸치와 다시마로 육수를 낸다.
② 두부는 사방 1.5cm, 양파는 2cm 크기로 썰고 파는 송송 썬다.
③ '①'에 된장을 풀어 끓이다가 '②'와 다진 마늘을 넣어 끓인다.</t>
  </si>
  <si>
    <t>닭살브로콜리볶음⑤⑥⑮</t>
    <phoneticPr fontId="7" type="noConversion"/>
  </si>
  <si>
    <t>① 닭가슴살과 브로콜리, 양파는 1.5x1.5cm 크기로 썬다.
② 파는 송송 썬다.
③ 그릇에 닭가슴살을 담고 간장, 참기름, 후춧가루를 넣어 골고루 버무린다.
④ 콩기름을 두른 팬에 다진 마늘과 '③'을 넣어 볶다가 파와 양파, 브로콜리를 
     넣고 함께 볶는다.</t>
    <phoneticPr fontId="7" type="noConversion"/>
  </si>
  <si>
    <t>느타리버섯국⑤⑥</t>
    <phoneticPr fontId="7" type="noConversion"/>
  </si>
  <si>
    <t>① 멸치와 다시마로 육수를 낸다.
② 느타리버섯, 양파는 2cm 길이로 썰고, 파는 송송 썬다.
③ '①'에 '②'를 넣고 끓이다가 다진 파, 다진 마늘, 간장을 넣어 간한다.</t>
  </si>
  <si>
    <t>돈육케첩조림
⑤⑥⑩⑫</t>
    <phoneticPr fontId="7" type="noConversion"/>
  </si>
  <si>
    <t>① 돼지고기는 1.5x1.5cm, 피망과 양파는 1cm 크기로 썬다. 
② 다진 마늘, 토마토 케첩, 간장, 물엿을 넣고 섞어 양념장을 만든다.
③ 팬에 분량의 양념과 물을 넣고 끓이다가 돼지고기와 피망, 양파를 넣어 
 골고루 섞으며 조린다.</t>
  </si>
  <si>
    <t>케첩</t>
    <phoneticPr fontId="7" type="noConversion"/>
  </si>
  <si>
    <t>① 콩나물은 끓는물에 데친 후 찬물에 헹궈 물기를 빼고 2cm 길이로 썬다.
② '①'에 분량의 양념을 넣어 무친다.</t>
    <phoneticPr fontId="7" type="noConversion"/>
  </si>
  <si>
    <t>흰살생선국</t>
    <phoneticPr fontId="7" type="noConversion"/>
  </si>
  <si>
    <t>① 다시마와 멸치로 육수를 낸다.
② 동태살은  2x2cm 크기로 썰고 양파는 0.5cm 두께로 채 썰고, 파는 송송 썬다.
③ '①'에 '②'를 넣어 끓인다.
④ 소금, 다진 마늘, 파를 넣어 간을 한다.</t>
    <phoneticPr fontId="7" type="noConversion"/>
  </si>
  <si>
    <r>
      <t>쇠고기양파볶음⑤⑥</t>
    </r>
    <r>
      <rPr>
        <sz val="9"/>
        <color theme="1"/>
        <rFont val="맑은 고딕"/>
        <family val="3"/>
        <charset val="128"/>
      </rPr>
      <t>⑯</t>
    </r>
    <phoneticPr fontId="7" type="noConversion"/>
  </si>
  <si>
    <t>① 쇠고기는 핏물을 제거한 후 1.5x1.5cm 크기로 썰어 소금, 후추로 밑간한다.
② 양파는 1x1cm 크기로 썬다.
③ 분량의 양념을 섞어 양념장을 만든다.
④ 기름을 두른 팬에 '①'을 볶다가 '②'와 '③'을 넣어 더 볶는다.</t>
    <phoneticPr fontId="7" type="noConversion"/>
  </si>
  <si>
    <t>감자조림⑤⑥</t>
    <phoneticPr fontId="7" type="noConversion"/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</si>
  <si>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</si>
  <si>
    <t>올리고당</t>
    <phoneticPr fontId="7" type="noConversion"/>
  </si>
  <si>
    <t>감자된장국⑤⑥</t>
    <phoneticPr fontId="7" type="noConversion"/>
  </si>
  <si>
    <t>① 다시마와 멸치로 육수를 낸다.
② 감자는 1x1cm 크기로 썰고, 파는 송송 썬다.
③ '①'에 된장을 풀고 '②'를 넣고 끓이다가 다진 마늘로 간한다.</t>
    <phoneticPr fontId="7" type="noConversion"/>
  </si>
  <si>
    <t>돈육무조림⑤⑥⑩</t>
    <phoneticPr fontId="7" type="noConversion"/>
  </si>
  <si>
    <t>① 무와 돼지고기는 1x1cm 크기로 썬다.
② 분량의 양념을 섞어 양념장을 만든다.
③ 냄비에 '①', '②'와 물을 넣고 양념이 배어들도록 푹 조린다.</t>
    <phoneticPr fontId="7" type="noConversion"/>
  </si>
  <si>
    <t>① 애호박은 4등분하여 0.5cm 두께로 편 썰고, 파는 다진다.
② 기름을 두른 팬에 애호박을 넣어 볶다가 다진 파, 다진마늘을
     넣고 소금으로 간하여 볶는다.
③ 깨를 뿌려낸다.</t>
    <phoneticPr fontId="7" type="noConversion"/>
  </si>
  <si>
    <t>청포묵국⑤⑥</t>
    <phoneticPr fontId="7" type="noConversion"/>
  </si>
  <si>
    <t>① 멸치와 다시마로 육수를 낸다.
② 청포묵은 0.5cm 두께로 채썰고, 양파는 0.3cm 두께로 얇게 채썬 다음, 파는 
 송송 썬다.
③ '①'에 '②'와 파를 넣고 간장, 참기름으로 간하여 끓이다가 김가루를 넣고 
 더 끓인다.
Tip. 양념한 다진 쇠고기를 볶아 물을 부어 끓인 쇠고기 육수도 활용 가능하다.</t>
  </si>
  <si>
    <t>고등어조림⑤⑥⑦</t>
    <phoneticPr fontId="7" type="noConversion"/>
  </si>
  <si>
    <t>① 고등어는 깨끗이 씻어 핏물을 제거한 후, 물기를 뺀다.
② 양파는 0.5cm 두께로 채 썰고, 파는 다진다.
③ 분량의 양념을 섞어 양념장을 만든다.
④ 냄비에 '②'를 깔고 '①'을 올린 뒤 양념장을 부어 조린다.
⑤ 고등어살을 발라내어 제공한다.</t>
  </si>
  <si>
    <t>버섯나물⑤</t>
    <phoneticPr fontId="7" type="noConversion"/>
  </si>
  <si>
    <t>① 느타리버섯은 1.5cm 길이로 찢고 끓는물에 살짝 데친 후, 물기를 짠다.
② 양파와 당근은 0.5cm 두께로 채썰어 기름을 두른 팬에 볶는다.
③ 당근이 살짝 익으면 ‘②’에 ‘①’을 넣어 한번 더 볶는다.
④ 다진 마늘, 소금으로 간하고 깨를 뿌린다.</t>
    <phoneticPr fontId="7" type="noConversion"/>
  </si>
  <si>
    <t>안매운닭개장⑤⑥⑮</t>
    <phoneticPr fontId="7" type="noConversion"/>
  </si>
  <si>
    <t xml:space="preserve">① 물에 닭가슴살, 파, 통 마늘을 넣고 끓여 국물은 육수로 사용한다.
② 삶은 닭가슴살은 찢고,  숙주는 다듬어 2cm 길이로 썬다.
③ 무는 0.5cm 두께로 나박썰기하고, 고사리는 2cm 길이로 썬다.
④ 육수에 '②', '③'과 파를 넣고 맛이 어우러질 때까지 끓인다.
⑤ 간장, 다진 마늘, 참기름으로 간한다.  </t>
    <phoneticPr fontId="7" type="noConversion"/>
  </si>
  <si>
    <t>숙주</t>
    <phoneticPr fontId="7" type="noConversion"/>
  </si>
  <si>
    <t>① 청경채는 끓는물에 소금을 넣고 데친 후 찬물에 헹궈 2cm 길이로 자른다.
② ‘①’에 분량의 양념을 넣어 무친다.</t>
  </si>
  <si>
    <t>애호박된장국⑤⑥</t>
    <phoneticPr fontId="7" type="noConversion"/>
  </si>
  <si>
    <t>① 다시마와 멸치로 육수를 낸다.
② 애호박과 양파는 0.5cm 두께로 썬다.
③ 파는 송송 썬다.
④ '①'에 된장을 풀고 '②'를 넣고 끓인다.
⑤ '④'에 다진 마늘과 '③'을 넣어 완성한다.</t>
  </si>
  <si>
    <t>닭갈비⑤⑥⑮</t>
    <phoneticPr fontId="7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</si>
  <si>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넣어 더 
     볶는다.</t>
    <phoneticPr fontId="7" type="noConversion"/>
  </si>
  <si>
    <t>미역무침</t>
    <phoneticPr fontId="7" type="noConversion"/>
  </si>
  <si>
    <t>미역</t>
  </si>
  <si>
    <t>① 건미역은 미지근한 물에 불린다.
② 불린 미역은 끓는 물에 살짝 데쳐 물기를 뺀 후 1.5cm 길이로 썬다.
③ 볼에 미역, 다진 마늘, 식초, 소금, 깨, 참기름을 넣고 무친다.</t>
    <phoneticPr fontId="7" type="noConversion"/>
  </si>
  <si>
    <r>
      <t>훈제오리볶음밥
①②⑤⑥⑫</t>
    </r>
    <r>
      <rPr>
        <sz val="10"/>
        <color theme="1"/>
        <rFont val="Segoe UI Symbol"/>
        <family val="3"/>
      </rPr>
      <t>⑯</t>
    </r>
    <phoneticPr fontId="7" type="noConversion"/>
  </si>
  <si>
    <t>① 쌀은 불린 후 적당량의 물을 부어 밥을 짓는다.
② 훈제오리, 양파, 당근은 1.5x1.5cm 크기로 썬다.
③ 그릇에 간장, 참기름, 후춧가루를 넣고 섞어 양념를 만든다.
④ 팬에 기름을 두르고 다진 마늘을 볶다가 양파, 당근을 넣어 더 볶는다.
⑤ '④'에 훈제오리를 넣어 볶다가 '①'과 '③'을 넣은 후 더 볶는다.</t>
  </si>
  <si>
    <r>
      <t>가쓰오장국⑤⑥⑦⑨</t>
    </r>
    <r>
      <rPr>
        <sz val="11"/>
        <color theme="1"/>
        <rFont val="Segoe UI Symbol"/>
        <family val="3"/>
      </rPr>
      <t>⑯⑱</t>
    </r>
    <phoneticPr fontId="7" type="noConversion"/>
  </si>
  <si>
    <t>① 멸치, 다시마, 가다랑어포로 육수를 낸다. 
 (국수장국과 물을 1:3으로 섞어 활용 가능하다.)
② 파는 송송 썰고 쑥갓은 2cm 크기로 썬다
③ '①'에 다진 마늘과 간장을 넣고 끓이다가 '②'를 넣어 함께 끓인다.</t>
  </si>
  <si>
    <t>가다랑어포</t>
    <phoneticPr fontId="7" type="noConversion"/>
  </si>
  <si>
    <t>새송이버섯조림⑤⑥</t>
    <phoneticPr fontId="7" type="noConversion"/>
  </si>
  <si>
    <t>① 새송이버섯은 1.5x1.5cm 크기로 썬다.
② 분량의 양념을 섞어 양념장을 만든다.
③ 냄비에 ‘①’과 ‘②’, 물을 넣어 조린다.
④ 마지막에 참기름과 깨를 넣고 잘 섞는다.</t>
    <phoneticPr fontId="7" type="noConversion"/>
  </si>
  <si>
    <t>① 미역은 물에 불려 염분기를 빼고, 2cm 길이로 자른다.
② 냄비에 참기름을 두르고 '①'과 다진마늘을 넣어 볶는다.
③ '②'에 물을 넣고 끓이다가 간장, 소금으로 간을 한다.</t>
    <phoneticPr fontId="7" type="noConversion"/>
  </si>
  <si>
    <r>
      <t>쇠고기청경채볶음⑤⑥</t>
    </r>
    <r>
      <rPr>
        <sz val="11"/>
        <rFont val="Segoe UI Symbol"/>
        <family val="3"/>
      </rPr>
      <t>⑯</t>
    </r>
    <phoneticPr fontId="7" type="noConversion"/>
  </si>
  <si>
    <t>① 쇠고기와 청경채 1.5x1.5cm 크기로 썰고, 양파는 0.5cm 두께로 채썬다.
② 기름을 두른 팬에 다진 마늘, 쇠고기를 넣어 볶는다.
③ ‘②’에 양파, 청경채를 넣어 볶다가 분량의 양념을 넣고 다시 볶아 깨를 뿌려 
 마무리한다.</t>
  </si>
  <si>
    <t>① 콩나물은 끓는물에 데친 후 찬물에 헹궈 물기를 빼고 2cm 길이로 썬다.
② '①'에 분량의 양념을 넣어 무친다.</t>
  </si>
  <si>
    <r>
      <t>떡갈비조림
②⑤⑥⑩⑫</t>
    </r>
    <r>
      <rPr>
        <sz val="11"/>
        <rFont val="Segoe UI Symbol"/>
        <family val="3"/>
      </rPr>
      <t>⑯</t>
    </r>
    <phoneticPr fontId="7" type="noConversion"/>
  </si>
  <si>
    <t>떡갈비</t>
  </si>
  <si>
    <t>① 분량의 양념과 물을 섞는다.
② 냄비에 떡갈비와 '①'을 넣어 조린다.
③ '②'를 1.5x1.5cm 크기로 잘라 제공한다.</t>
  </si>
  <si>
    <t>시금치나물⑤⑥</t>
    <phoneticPr fontId="7" type="noConversion"/>
  </si>
  <si>
    <t>① 시금치는 소금물에 데친 후 찬물에 헹궈 물기를 빼고 2cm 길이로 썬다.
② '①'에 분량의 양념을 넣고 무친다.</t>
  </si>
  <si>
    <t>맑은배추국</t>
    <phoneticPr fontId="7" type="noConversion"/>
  </si>
  <si>
    <t>① 멸치와 다시마로 육수를 낸다.
② 배추는 2cm 길이로 채 썰고 파는 송송 썬다. 
③ '①'에 '②', 다진 마늘, 파를 넣고 끓이다가 간장으로 간한다.</t>
  </si>
  <si>
    <t>돈육양파구이⑤⑩</t>
    <phoneticPr fontId="7" type="noConversion"/>
  </si>
  <si>
    <t>① 돼지고기와 양파는 1.5x1.5cm 크기로 썬다.
② 청주에 돼지고기를 재운다.
③ 기름을 두른 팬에 '②'를 넣고 굽다가 소금, 후추로 간하고 양파를 넣고 더 굽는다.</t>
    <phoneticPr fontId="7" type="noConversion"/>
  </si>
  <si>
    <t>오이나물</t>
    <phoneticPr fontId="7" type="noConversion"/>
  </si>
  <si>
    <t>① 오이는  0.5cm 두께로 반달모양으로 얇게 썰어 소금에 절였다가 물기를 짠다.
② 참기름을 두른 팬에 '①'을 볶다가 분량의 양념으로 간한다.</t>
    <phoneticPr fontId="7" type="noConversion"/>
  </si>
  <si>
    <r>
      <t>쇠고기당면국⑤⑥</t>
    </r>
    <r>
      <rPr>
        <sz val="11"/>
        <color theme="1"/>
        <rFont val="Segoe UI Symbol"/>
        <family val="3"/>
      </rPr>
      <t>⑯</t>
    </r>
    <phoneticPr fontId="7" type="noConversion"/>
  </si>
  <si>
    <t>① 쇠고기로 육수를 낸 후, 고기는 건져 잘게 찢는다.
② 당면은 물에 불려 2cm 길이로 짧게 자르고, 무는 1x1cm 크기로 나박썬다.
③ 육수에 찢은 쇠고기, 무를 넣고 끓이다가 당면을 넣어 더 끓인다.
④ 송송 썬 파와 소금, 간장을 넣어 간한다.</t>
  </si>
  <si>
    <t>당면</t>
  </si>
  <si>
    <t>① 당근, 양파, 파는 0.3cm 크기로 잘게 다진다.
② 볼에 달걀을 풀고 '①', 소금, 참기름을 넣고 섞어 찜기를 이용
     하거나 또는 냄비에 중탕하여 찐다.</t>
    <phoneticPr fontId="7" type="noConversion"/>
  </si>
  <si>
    <t>① 다시마와 멸치로 육수를 낸다.
② 두부와 양파를 1.5x1.5cm 크기로 썰고, 파는 송송 썬다.
③ '①'에 '②'를 넣고 끓이다가 간장, 소금, 다진 마늘로 간한다.</t>
    <phoneticPr fontId="7" type="noConversion"/>
  </si>
  <si>
    <r>
      <t>닭살데리야끼조림
⑤⑥⑫⑮</t>
    </r>
    <r>
      <rPr>
        <sz val="11"/>
        <color theme="1"/>
        <rFont val="Segoe UI Symbol"/>
        <family val="3"/>
      </rPr>
      <t>⑯⑱</t>
    </r>
    <phoneticPr fontId="7" type="noConversion"/>
  </si>
  <si>
    <t>① 냄비에 마늘, 다시마, 물을 넣고 끓이다가 다시마는 건져 내고 간장, 맛술, 청주, 
 흑설탕, 다진 마늘을 넣고 졸여 데리야끼소스를 만든다.
② 닭살과 양파는 1.5x1.5cm 크기로 썬다. 
③ 기름을 두른 팬에 '②'를 넣고 볶는다.
④ '③'에 '①'을 넣고 조린다.</t>
  </si>
  <si>
    <t>데리야끼소스</t>
  </si>
  <si>
    <t>맛술</t>
  </si>
  <si>
    <t>청주</t>
  </si>
  <si>
    <t>흑설탕</t>
  </si>
  <si>
    <t>김구이</t>
    <phoneticPr fontId="7" type="noConversion"/>
  </si>
  <si>
    <t>김</t>
  </si>
  <si>
    <t>① 김에 참기름과 소금을 발라 구워준다.
② 3x3cm 로 잘라 제공한다.</t>
  </si>
  <si>
    <t>흑미</t>
  </si>
  <si>
    <t>① 멸치와 다시마로 육수를 낸다.
② 애호박과 양파는 0.5cm 두께로 채썬다.
③ '①'에 '②'를 넣고 다진마늘과 새우젓으로 간한다.</t>
  </si>
  <si>
    <t>돈육콩나물볶음⑤⑥⑩</t>
    <phoneticPr fontId="7" type="noConversion"/>
  </si>
  <si>
    <t>① 돼지고기, 양파, 당근은  1.5x1.5cm 크기로 썰고 콩나물은 2cm 길이로 자른다.
② 파는 2cm 길이로 채 썬다.
③ 그릇에 돼지고기를 담고 다진 마늘, 간장, 설탕, 참기름, 
     후춧가루를 넣어 골고루 버무린다.
④ 기름을 두른 팬에 '③'을 넣어 볶다가 당근, 양파, 파, 콩나물을
     넣고 볶는다.</t>
    <phoneticPr fontId="7" type="noConversion"/>
  </si>
  <si>
    <t>상추무침⑤⑥</t>
    <phoneticPr fontId="7" type="noConversion"/>
  </si>
  <si>
    <t>상추</t>
    <phoneticPr fontId="7" type="noConversion"/>
  </si>
  <si>
    <t>① 상추는 2cm 크기로 썰어 찬물에 담가둔 다음 체에
     밭쳐 물기를 뺀다.
② 분량의 양념을 섞어 양념장을 만들고 '①'을 넣어 무친다.</t>
    <phoneticPr fontId="7" type="noConversion"/>
  </si>
  <si>
    <t>메뉴명</t>
    <phoneticPr fontId="7" type="noConversion"/>
  </si>
  <si>
    <t>① 다시마와 멸치로 육수를 낸다.
② 감자는 1x1cm 크기로 썰고, 파는 송송 썬다.
③ '①'에 '②'를 넣고 끓이다가 간장, 소금, 다진 마늘, 파로 간한다.</t>
  </si>
  <si>
    <r>
      <t>쇠고기무장조림⑤⑥</t>
    </r>
    <r>
      <rPr>
        <sz val="10"/>
        <rFont val="MS Gothic"/>
        <family val="3"/>
        <charset val="128"/>
      </rPr>
      <t>⑯</t>
    </r>
    <phoneticPr fontId="7" type="noConversion"/>
  </si>
  <si>
    <t>① 쇠고기는1.5x1.5cm 크기로 썰고 끓는 물에 양파, 통후추, 
     청주를 넣어 함께 삶아 기름을 제거한다.
② 무는0.5cm 두께로 편썬다.
③ ‘①’이 익으면 찬물에 씻어 식힌 후, 결대로 찢는다.
④ 냄비에 물과 다시마를 넣고 육수를 낸 후, 끓어오르면 다시마를
     건지고 분량의 양념과 ‘②’, ‘③’을 넣어 조린다.</t>
    <phoneticPr fontId="7" type="noConversion"/>
  </si>
  <si>
    <t>① 브로콜리는 끓는 물에 데친 후 1x1cm 크기로 자른다.
② ‘①’에 소금, 참기름, 깨를 넣어 무친다.</t>
  </si>
  <si>
    <t>닭곰탕⑮</t>
    <phoneticPr fontId="7" type="noConversion"/>
  </si>
  <si>
    <t>① 냄비에 물을 붓고 닭으로 육수를 우려낸 후, 닭이 익으면 건져
     살을 바른다.
② 파는 송송 썰고 무는 1x1cm 크기로 썰고 양파는 0.5cm 두께로 채 썬다.
③ 육수에 살을 발라 둔 닭고기와 '②', 다진마늘을 넣고 끓이다가
     소금, 후추로 간한다.</t>
    <phoneticPr fontId="7" type="noConversion"/>
  </si>
  <si>
    <r>
      <t>돈육완자전
①②⑤⑥⑩⑮</t>
    </r>
    <r>
      <rPr>
        <sz val="11"/>
        <color theme="1"/>
        <rFont val="Segoe UI Symbol"/>
        <family val="3"/>
      </rPr>
      <t>⑯⑱</t>
    </r>
    <phoneticPr fontId="7" type="noConversion"/>
  </si>
  <si>
    <t>다진돼지고기</t>
  </si>
  <si>
    <t>① 다진 돼지고기는 핏물을 제거한다.
② 당근, 양파는 0.3cm로 잘게 다진다.
③ '①'에 '②'와 달걀, 밀가루, 소금을 넣고 섞는다.
④ 기름을 두른 팬에 '③'을 한 수저씩 떠 넣어 부친다.
⑤ 1.5x1.5cm 크기로 썰어 제공한다.</t>
  </si>
  <si>
    <t>배추된장무침⑤⑥</t>
    <phoneticPr fontId="7" type="noConversion"/>
  </si>
  <si>
    <t>① 배추는 끓는 물에 소금을 넣어 데쳐 물기를 제거한 후 2cm 길이로 썰고
 파는 다진다.
② 그릇에 ‘①’과 분량의 양념을 넣어 무친다.</t>
  </si>
  <si>
    <r>
      <t>달걀표고버섯덮밥
①⑤⑥⑨</t>
    </r>
    <r>
      <rPr>
        <sz val="10"/>
        <rFont val="Segoe UI Symbol"/>
        <family val="3"/>
      </rPr>
      <t>⑱</t>
    </r>
    <phoneticPr fontId="7" type="noConversion"/>
  </si>
  <si>
    <t>① 쌀은 씻어 밥을 짓고, 달걀은 그릇에 풀어둔다.
② 표고버섯과 당근 등 채소를 0.3cm로 잘게 다진다.
③ 기름을 두른 팬에 양파를 볶다가 당근, 표고버섯을 넣고 볶는다.
④ ‘③’에 분량의 양념을 넣고 볶은 후 파와 물을 넣어 끓이다가,
     달걀물을 풀고 전분물로 농도를 맞춘다.
⑤ 밥 위에 ‘④’를 부은 후 깨를 뿌려 마무리한다.</t>
    <phoneticPr fontId="7" type="noConversion"/>
  </si>
  <si>
    <t>굴소스</t>
    <phoneticPr fontId="7" type="noConversion"/>
  </si>
  <si>
    <t>전분</t>
    <phoneticPr fontId="7" type="noConversion"/>
  </si>
  <si>
    <t>① 미역은 물에 불려 염분기를 빼고, 2cm 길이로 자른다.
② 멸치와 다시마로 육수를 낸다.
③ 냄비에 참기름을 두르고 '①'과 다진마늘을 넣어 볶는다.
④ '③'에 육수를 넣고 끓이다가 들깨가루, 간장, 소금으로 간한다.</t>
    <phoneticPr fontId="7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</si>
  <si>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1x1cm 크기로 잘라 제공한다.</t>
  </si>
  <si>
    <r>
      <t>어묵국
①②⑤⑥⑧⑨</t>
    </r>
    <r>
      <rPr>
        <sz val="11"/>
        <color theme="1"/>
        <rFont val="Segoe UI Symbol"/>
        <family val="3"/>
      </rPr>
      <t>⑱</t>
    </r>
    <phoneticPr fontId="7" type="noConversion"/>
  </si>
  <si>
    <t>① 멸치와 다시마로 육수를 낸다.
② 어묵은 1x1cm 크기로 썰고, 파는 송송 썬다.
③ '①'에 '②'를 넣고 끓인 후 다진 마늘, 간장으로 간한다.</t>
  </si>
  <si>
    <t>돈육메추리알장조림
①⑤⑥⑩</t>
    <phoneticPr fontId="7" type="noConversion"/>
  </si>
  <si>
    <t>① 돼지고기는 1.5x1.5cm 크기로 썰고, 메추리알은 삶아서 껍질을 벗긴다.
② 분량의 양념으로 양념장을 만든다.
③ 냄비에 '①'의 재료가 잠기도록 물을 붓고 '②'를 넣어 조린다.
④ 메추리알은 ¼ 로 잘라 제공한다.</t>
    <phoneticPr fontId="7" type="noConversion"/>
  </si>
  <si>
    <t>감자볶음⑤</t>
    <phoneticPr fontId="7" type="noConversion"/>
  </si>
  <si>
    <t>① 감자, 양파는 1x1cm 크기로 썰고  파는 다진다.
② 기름을 두른 팬에 '①'을 볶는다.
③ 다진 마늘, 소금, 참기름으로 간하고 살짝 더 볶는다.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</si>
</sst>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);[Red]\(0.0\)"/>
    <numFmt numFmtId="178" formatCode="0_);[Red]\(0\)"/>
    <numFmt numFmtId="179" formatCode="0.0_ "/>
    <numFmt numFmtId="180" formatCode="0.0"/>
  </numFmts>
  <fonts count="2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sz val="12"/>
      <color rgb="FFFF0000"/>
      <name val="한컴산뜻돋움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10"/>
      <name val="한컴산뜻돋움"/>
      <family val="3"/>
      <charset val="129"/>
    </font>
    <font>
      <sz val="9"/>
      <name val="Arial"/>
      <family val="2"/>
    </font>
    <font>
      <sz val="9"/>
      <name val="한컴산뜻돋움"/>
      <family val="3"/>
      <charset val="129"/>
    </font>
    <font>
      <sz val="10"/>
      <color indexed="8"/>
      <name val="한컴산뜻돋움"/>
      <family val="3"/>
      <charset val="129"/>
    </font>
    <font>
      <sz val="10"/>
      <name val="Segoe UI Symbol"/>
      <family val="3"/>
    </font>
    <font>
      <sz val="10"/>
      <color theme="1"/>
      <name val="Segoe UI Symbol"/>
      <family val="3"/>
    </font>
    <font>
      <sz val="11"/>
      <color theme="1"/>
      <name val="Segoe UI Symbol"/>
      <family val="3"/>
    </font>
    <font>
      <sz val="11"/>
      <color theme="1"/>
      <name val="맑은 고딕"/>
      <family val="3"/>
      <charset val="129"/>
      <scheme val="minor"/>
    </font>
    <font>
      <sz val="11"/>
      <name val="Segoe UI Symbol"/>
      <family val="3"/>
    </font>
    <font>
      <sz val="10"/>
      <name val="MS Gothic"/>
      <family val="3"/>
      <charset val="128"/>
    </font>
    <font>
      <b/>
      <sz val="28"/>
      <name val="한컴산뜻돋움"/>
      <family val="3"/>
      <charset val="129"/>
    </font>
    <font>
      <sz val="9"/>
      <color theme="1"/>
      <name val="맑은 고딕"/>
      <family val="3"/>
      <charset val="128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5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11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17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17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1" fillId="2" borderId="0">
      <alignment vertical="center"/>
    </xf>
  </cellStyleXfs>
  <cellXfs count="181">
    <xf numFmtId="0" fontId="0" fillId="0" borderId="0" xfId="0">
      <alignment vertical="center"/>
    </xf>
    <xf numFmtId="0" fontId="12" fillId="2" borderId="0" xfId="6" applyFont="1">
      <alignment vertical="center"/>
    </xf>
    <xf numFmtId="0" fontId="9" fillId="2" borderId="6" xfId="11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77" fontId="5" fillId="4" borderId="6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shrinkToFit="1"/>
    </xf>
    <xf numFmtId="177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78" fontId="9" fillId="0" borderId="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shrinkToFit="1"/>
    </xf>
    <xf numFmtId="0" fontId="9" fillId="2" borderId="32" xfId="44" applyFont="1" applyBorder="1" applyAlignment="1">
      <alignment horizontal="center" vertical="center" shrinkToFit="1"/>
    </xf>
    <xf numFmtId="0" fontId="9" fillId="2" borderId="23" xfId="44" applyFont="1" applyBorder="1" applyAlignment="1">
      <alignment horizontal="center" vertical="center" wrapText="1" shrinkToFit="1"/>
    </xf>
    <xf numFmtId="178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shrinkToFit="1"/>
    </xf>
    <xf numFmtId="0" fontId="9" fillId="2" borderId="6" xfId="44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2" borderId="12" xfId="11" applyFont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0" xfId="44" applyFont="1" applyAlignment="1">
      <alignment vertical="center" wrapText="1"/>
    </xf>
    <xf numFmtId="0" fontId="9" fillId="2" borderId="9" xfId="44" applyFont="1" applyBorder="1" applyAlignment="1">
      <alignment horizontal="center" vertical="center" shrinkToFit="1"/>
    </xf>
    <xf numFmtId="179" fontId="9" fillId="0" borderId="9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shrinkToFit="1"/>
    </xf>
    <xf numFmtId="0" fontId="9" fillId="2" borderId="23" xfId="44" applyFont="1" applyBorder="1" applyAlignment="1">
      <alignment horizontal="center" vertical="center" shrinkToFit="1"/>
    </xf>
    <xf numFmtId="0" fontId="9" fillId="2" borderId="0" xfId="44" applyFont="1" applyAlignment="1">
      <alignment vertical="center" wrapText="1" shrinkToFit="1"/>
    </xf>
    <xf numFmtId="0" fontId="9" fillId="0" borderId="0" xfId="0" applyFont="1" applyAlignment="1">
      <alignment horizontal="center" vertical="center" shrinkToFit="1"/>
    </xf>
    <xf numFmtId="178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 shrinkToFit="1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2" borderId="0" xfId="44" applyFont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6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0" fontId="10" fillId="2" borderId="6" xfId="11" applyFont="1" applyBorder="1" applyAlignment="1">
      <alignment horizontal="center" vertical="center" shrinkToFit="1"/>
    </xf>
    <xf numFmtId="0" fontId="10" fillId="2" borderId="16" xfId="11" applyFont="1" applyBorder="1" applyAlignment="1">
      <alignment horizontal="center" vertical="center" shrinkToFit="1"/>
    </xf>
    <xf numFmtId="176" fontId="9" fillId="0" borderId="23" xfId="0" applyNumberFormat="1" applyFont="1" applyBorder="1" applyAlignment="1">
      <alignment horizontal="center" vertical="center"/>
    </xf>
    <xf numFmtId="0" fontId="12" fillId="2" borderId="26" xfId="6" applyFont="1" applyBorder="1">
      <alignment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2" borderId="8" xfId="44" applyFont="1" applyBorder="1" applyAlignment="1">
      <alignment horizontal="center" vertical="center" shrinkToFit="1"/>
    </xf>
    <xf numFmtId="0" fontId="9" fillId="2" borderId="24" xfId="44" applyFont="1" applyBorder="1" applyAlignment="1">
      <alignment horizontal="center" vertical="center" shrinkToFit="1"/>
    </xf>
    <xf numFmtId="0" fontId="9" fillId="2" borderId="11" xfId="44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center" vertical="center" shrinkToFit="1"/>
    </xf>
    <xf numFmtId="0" fontId="9" fillId="2" borderId="13" xfId="44" applyFont="1" applyBorder="1" applyAlignment="1">
      <alignment horizontal="left" vertical="center" wrapText="1"/>
    </xf>
    <xf numFmtId="0" fontId="9" fillId="2" borderId="14" xfId="44" applyFont="1" applyBorder="1" applyAlignment="1">
      <alignment horizontal="left" vertical="center" wrapText="1"/>
    </xf>
    <xf numFmtId="0" fontId="9" fillId="2" borderId="15" xfId="44" applyFont="1" applyBorder="1" applyAlignment="1">
      <alignment horizontal="left" vertical="center" wrapText="1"/>
    </xf>
    <xf numFmtId="0" fontId="9" fillId="2" borderId="17" xfId="44" applyFont="1" applyBorder="1" applyAlignment="1">
      <alignment horizontal="left" vertical="center" wrapText="1"/>
    </xf>
    <xf numFmtId="0" fontId="9" fillId="2" borderId="0" xfId="44" applyFont="1" applyAlignment="1">
      <alignment horizontal="left" vertical="center" wrapText="1"/>
    </xf>
    <xf numFmtId="0" fontId="9" fillId="2" borderId="18" xfId="44" applyFont="1" applyBorder="1" applyAlignment="1">
      <alignment horizontal="left" vertical="center" wrapText="1"/>
    </xf>
    <xf numFmtId="0" fontId="9" fillId="2" borderId="19" xfId="44" applyFont="1" applyBorder="1" applyAlignment="1">
      <alignment horizontal="left" vertical="center" wrapText="1"/>
    </xf>
    <xf numFmtId="0" fontId="9" fillId="2" borderId="20" xfId="44" applyFont="1" applyBorder="1" applyAlignment="1">
      <alignment horizontal="left" vertical="center" wrapText="1"/>
    </xf>
    <xf numFmtId="0" fontId="9" fillId="2" borderId="21" xfId="44" applyFont="1" applyBorder="1" applyAlignment="1">
      <alignment horizontal="left" vertical="center" wrapText="1"/>
    </xf>
    <xf numFmtId="0" fontId="9" fillId="2" borderId="8" xfId="44" applyFont="1" applyBorder="1" applyAlignment="1">
      <alignment horizontal="center" vertical="center" wrapText="1" shrinkToFit="1"/>
    </xf>
    <xf numFmtId="0" fontId="9" fillId="2" borderId="24" xfId="44" applyFont="1" applyBorder="1" applyAlignment="1">
      <alignment horizontal="center" vertical="center" wrapText="1" shrinkToFit="1"/>
    </xf>
    <xf numFmtId="0" fontId="9" fillId="2" borderId="11" xfId="44" applyFont="1" applyBorder="1" applyAlignment="1">
      <alignment horizontal="center" vertical="center" wrapText="1" shrinkToFit="1"/>
    </xf>
    <xf numFmtId="0" fontId="9" fillId="2" borderId="5" xfId="44" applyFont="1" applyBorder="1" applyAlignment="1">
      <alignment horizontal="center" vertical="center" shrinkToFit="1"/>
    </xf>
    <xf numFmtId="0" fontId="9" fillId="2" borderId="6" xfId="44" applyFont="1" applyBorder="1" applyAlignment="1">
      <alignment horizontal="left" vertical="center" wrapText="1"/>
    </xf>
    <xf numFmtId="0" fontId="9" fillId="2" borderId="7" xfId="44" applyFont="1" applyBorder="1" applyAlignment="1">
      <alignment horizontal="left" vertical="center" wrapText="1"/>
    </xf>
    <xf numFmtId="0" fontId="9" fillId="2" borderId="33" xfId="11" applyFont="1" applyBorder="1" applyAlignment="1">
      <alignment horizontal="left" vertical="center" wrapText="1"/>
    </xf>
    <xf numFmtId="0" fontId="9" fillId="2" borderId="34" xfId="11" applyFont="1" applyBorder="1" applyAlignment="1">
      <alignment horizontal="left" vertical="center" wrapText="1"/>
    </xf>
    <xf numFmtId="0" fontId="9" fillId="2" borderId="35" xfId="11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 shrinkToFit="1"/>
    </xf>
    <xf numFmtId="0" fontId="9" fillId="0" borderId="24" xfId="0" applyFont="1" applyBorder="1" applyAlignment="1">
      <alignment horizontal="center" vertical="center" wrapText="1" shrinkToFit="1"/>
    </xf>
    <xf numFmtId="0" fontId="9" fillId="2" borderId="13" xfId="11" applyFont="1" applyBorder="1" applyAlignment="1">
      <alignment horizontal="left" vertical="center" wrapText="1"/>
    </xf>
    <xf numFmtId="0" fontId="9" fillId="2" borderId="14" xfId="11" applyFont="1" applyBorder="1" applyAlignment="1">
      <alignment horizontal="left" vertical="center" wrapText="1"/>
    </xf>
    <xf numFmtId="0" fontId="9" fillId="2" borderId="15" xfId="11" applyFont="1" applyBorder="1" applyAlignment="1">
      <alignment horizontal="left" vertical="center" wrapText="1"/>
    </xf>
    <xf numFmtId="0" fontId="9" fillId="2" borderId="17" xfId="11" applyFont="1" applyBorder="1" applyAlignment="1">
      <alignment horizontal="left" vertical="center" wrapText="1"/>
    </xf>
    <xf numFmtId="0" fontId="9" fillId="2" borderId="0" xfId="11" applyFont="1" applyAlignment="1">
      <alignment horizontal="left" vertical="center" wrapText="1"/>
    </xf>
    <xf numFmtId="0" fontId="9" fillId="2" borderId="18" xfId="11" applyFont="1" applyBorder="1" applyAlignment="1">
      <alignment horizontal="left" vertical="center" wrapText="1"/>
    </xf>
    <xf numFmtId="0" fontId="9" fillId="2" borderId="19" xfId="11" applyFont="1" applyBorder="1" applyAlignment="1">
      <alignment horizontal="left" vertical="center" wrapText="1"/>
    </xf>
    <xf numFmtId="0" fontId="9" fillId="2" borderId="20" xfId="11" applyFont="1" applyBorder="1" applyAlignment="1">
      <alignment horizontal="left" vertical="center" wrapText="1"/>
    </xf>
    <xf numFmtId="0" fontId="9" fillId="2" borderId="21" xfId="11" applyFont="1" applyBorder="1" applyAlignment="1">
      <alignment horizontal="left" vertical="center" wrapText="1"/>
    </xf>
    <xf numFmtId="0" fontId="12" fillId="2" borderId="0" xfId="6" applyFont="1">
      <alignment vertical="center"/>
    </xf>
    <xf numFmtId="0" fontId="10" fillId="0" borderId="8" xfId="0" applyFont="1" applyBorder="1" applyAlignment="1">
      <alignment horizontal="center" vertical="center" wrapText="1" shrinkToFit="1"/>
    </xf>
    <xf numFmtId="0" fontId="10" fillId="0" borderId="24" xfId="0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10" fillId="2" borderId="5" xfId="44" applyFont="1" applyBorder="1" applyAlignment="1">
      <alignment horizontal="center" vertical="center" wrapText="1" shrinkToFit="1"/>
    </xf>
    <xf numFmtId="0" fontId="9" fillId="0" borderId="5" xfId="0" applyFont="1" applyBorder="1" applyAlignment="1">
      <alignment horizontal="center" vertical="center" wrapText="1" shrinkToFit="1"/>
    </xf>
    <xf numFmtId="0" fontId="9" fillId="2" borderId="5" xfId="44" applyFont="1" applyBorder="1" applyAlignment="1">
      <alignment horizontal="center" vertical="center" wrapText="1" shrinkToFi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 shrinkToFit="1"/>
    </xf>
    <xf numFmtId="0" fontId="9" fillId="2" borderId="13" xfId="44" applyFont="1" applyBorder="1" applyAlignment="1">
      <alignment vertical="center" wrapText="1"/>
    </xf>
    <xf numFmtId="0" fontId="9" fillId="2" borderId="14" xfId="44" applyFont="1" applyBorder="1" applyAlignment="1">
      <alignment vertical="center" wrapText="1"/>
    </xf>
    <xf numFmtId="0" fontId="9" fillId="2" borderId="15" xfId="44" applyFont="1" applyBorder="1" applyAlignment="1">
      <alignment vertical="center" wrapText="1"/>
    </xf>
    <xf numFmtId="0" fontId="9" fillId="2" borderId="17" xfId="44" applyFont="1" applyBorder="1" applyAlignment="1">
      <alignment vertical="center" wrapText="1"/>
    </xf>
    <xf numFmtId="0" fontId="9" fillId="2" borderId="0" xfId="44" applyFont="1" applyAlignment="1">
      <alignment vertical="center" wrapText="1"/>
    </xf>
    <xf numFmtId="0" fontId="9" fillId="2" borderId="18" xfId="44" applyFont="1" applyBorder="1" applyAlignment="1">
      <alignment vertical="center" wrapText="1"/>
    </xf>
    <xf numFmtId="0" fontId="9" fillId="2" borderId="19" xfId="44" applyFont="1" applyBorder="1" applyAlignment="1">
      <alignment vertical="center" wrapText="1"/>
    </xf>
    <xf numFmtId="0" fontId="9" fillId="2" borderId="20" xfId="44" applyFont="1" applyBorder="1" applyAlignment="1">
      <alignment vertical="center" wrapText="1"/>
    </xf>
    <xf numFmtId="0" fontId="9" fillId="2" borderId="21" xfId="44" applyFont="1" applyBorder="1" applyAlignment="1">
      <alignment vertical="center" wrapText="1"/>
    </xf>
    <xf numFmtId="0" fontId="10" fillId="2" borderId="8" xfId="44" applyFont="1" applyBorder="1" applyAlignment="1">
      <alignment horizontal="center" vertical="center" wrapText="1" shrinkToFit="1"/>
    </xf>
    <xf numFmtId="0" fontId="10" fillId="2" borderId="24" xfId="44" applyFont="1" applyBorder="1" applyAlignment="1">
      <alignment horizontal="center" vertical="center" wrapText="1" shrinkToFit="1"/>
    </xf>
    <xf numFmtId="0" fontId="10" fillId="2" borderId="11" xfId="44" applyFont="1" applyBorder="1" applyAlignment="1">
      <alignment horizontal="center" vertical="center" wrapText="1" shrinkToFit="1"/>
    </xf>
    <xf numFmtId="0" fontId="9" fillId="2" borderId="26" xfId="44" applyFont="1" applyBorder="1" applyAlignment="1">
      <alignment horizontal="center" vertical="center" shrinkToFit="1"/>
    </xf>
    <xf numFmtId="0" fontId="9" fillId="2" borderId="23" xfId="11" applyFont="1" applyBorder="1" applyAlignment="1">
      <alignment horizontal="left" vertical="center" wrapText="1"/>
    </xf>
    <xf numFmtId="0" fontId="9" fillId="2" borderId="25" xfId="11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 shrinkToFit="1"/>
    </xf>
    <xf numFmtId="0" fontId="9" fillId="0" borderId="1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0" fillId="2" borderId="13" xfId="11" applyFont="1" applyBorder="1" applyAlignment="1">
      <alignment vertical="center" wrapText="1"/>
    </xf>
    <xf numFmtId="0" fontId="10" fillId="2" borderId="14" xfId="11" applyFont="1" applyBorder="1" applyAlignment="1">
      <alignment vertical="center" wrapText="1"/>
    </xf>
    <xf numFmtId="0" fontId="10" fillId="2" borderId="15" xfId="11" applyFont="1" applyBorder="1" applyAlignment="1">
      <alignment vertical="center" wrapText="1"/>
    </xf>
    <xf numFmtId="0" fontId="10" fillId="2" borderId="17" xfId="11" applyFont="1" applyBorder="1" applyAlignment="1">
      <alignment vertical="center" wrapText="1"/>
    </xf>
    <xf numFmtId="0" fontId="10" fillId="2" borderId="0" xfId="11" applyFont="1" applyAlignment="1">
      <alignment vertical="center" wrapText="1"/>
    </xf>
    <xf numFmtId="0" fontId="10" fillId="2" borderId="18" xfId="11" applyFont="1" applyBorder="1" applyAlignment="1">
      <alignment vertical="center" wrapText="1"/>
    </xf>
    <xf numFmtId="0" fontId="10" fillId="2" borderId="19" xfId="11" applyFont="1" applyBorder="1" applyAlignment="1">
      <alignment vertical="center" wrapText="1"/>
    </xf>
    <xf numFmtId="0" fontId="10" fillId="2" borderId="20" xfId="11" applyFont="1" applyBorder="1" applyAlignment="1">
      <alignment vertical="center" wrapText="1"/>
    </xf>
    <xf numFmtId="0" fontId="10" fillId="2" borderId="21" xfId="11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2" borderId="13" xfId="44" applyFont="1" applyBorder="1" applyAlignment="1">
      <alignment horizontal="left" vertical="center" wrapText="1"/>
    </xf>
    <xf numFmtId="0" fontId="10" fillId="2" borderId="14" xfId="44" applyFont="1" applyBorder="1" applyAlignment="1">
      <alignment horizontal="left" vertical="center" wrapText="1"/>
    </xf>
    <xf numFmtId="0" fontId="10" fillId="2" borderId="15" xfId="44" applyFont="1" applyBorder="1" applyAlignment="1">
      <alignment horizontal="left" vertical="center" wrapText="1"/>
    </xf>
    <xf numFmtId="0" fontId="10" fillId="2" borderId="17" xfId="44" applyFont="1" applyBorder="1" applyAlignment="1">
      <alignment horizontal="left" vertical="center" wrapText="1"/>
    </xf>
    <xf numFmtId="0" fontId="10" fillId="2" borderId="0" xfId="44" applyFont="1" applyAlignment="1">
      <alignment horizontal="left" vertical="center" wrapText="1"/>
    </xf>
    <xf numFmtId="0" fontId="10" fillId="2" borderId="18" xfId="44" applyFont="1" applyBorder="1" applyAlignment="1">
      <alignment horizontal="left" vertical="center" wrapText="1"/>
    </xf>
    <xf numFmtId="0" fontId="10" fillId="2" borderId="19" xfId="44" applyFont="1" applyBorder="1" applyAlignment="1">
      <alignment horizontal="left" vertical="center" wrapText="1"/>
    </xf>
    <xf numFmtId="0" fontId="10" fillId="2" borderId="20" xfId="44" applyFont="1" applyBorder="1" applyAlignment="1">
      <alignment horizontal="left" vertical="center" wrapText="1"/>
    </xf>
    <xf numFmtId="0" fontId="10" fillId="2" borderId="21" xfId="44" applyFont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</cellXfs>
  <cellStyles count="45">
    <cellStyle name="표준" xfId="0" builtinId="0"/>
    <cellStyle name="표준 10 2 2 2 2 2 2 2 2 2 2 2 2 2 2 2 2 2 2 2 2 2 2 2 2 2 2 2 2 2 2 2 2 2 2 2 2 2 2 2 2 2 2 2 2 2 2 2 2 2 2 2 2" xfId="10" xr:uid="{061AB8A8-22ED-4C77-9292-AB16235BBE32}"/>
    <cellStyle name="표준 10 2 2 2 2 2 2 2 2 2 2 2 2 2 2 2 2 2 2 2 2 2 2 2 2 2 2 2 2 2 2 2 2 2 2 2 2 2 2 2 2 2 2 3 2 2 2" xfId="23" xr:uid="{70F44EF3-E74B-4331-A212-9B943B5E12B3}"/>
    <cellStyle name="표준 10 2 2 2 2 2 2 2 2 2 2 2 2 2 2 2 2 2 2 2 2 2 2 2 2 2 2 4 2 2 2 3 2 2 2 2 2 2 2 2 2 2 2 2" xfId="41" xr:uid="{4A9E3A8E-3398-4AA6-A49E-92CD742CBB86}"/>
    <cellStyle name="표준 10 2 2 2 2 2 2 2 2 2 2 2 2 2 2 2 2 2 2 2 2 2 2 2 3 2 2 2 2 3 2 2 2 2 2 3 2 2" xfId="25" xr:uid="{EAA3F0F3-2C53-470A-89D2-A41B49E94B3C}"/>
    <cellStyle name="표준 10 2 2 2 2 2 2 2 2 2 2 2 2 2 2 2 2 2 2 2 2 2 2 2 3 2 2 2 2 3 2 2 2 2 2 3 3 2" xfId="36" xr:uid="{3032D40D-0BE5-4A57-B6D8-F39D274CF29B}"/>
    <cellStyle name="표준 10 2 2 2 2 2 2 2 2 2 2 2 2 2 2 2 2 2 2 2 2 2 2 2 3 2 2 2 2 3 2 2 2 2 3 2 2 2 2" xfId="26" xr:uid="{82B215FA-2E30-482A-806E-F90937C3690A}"/>
    <cellStyle name="표준 10 2 2 2 2 2 2 2 2 2 2 2 2 2 2 2 2 2 2 2 2 2 2 2 3 2 2 2 2 3 2 2 2 2 3 3 2 2" xfId="30" xr:uid="{F0F5CF8A-D914-4D74-980B-392A2AADF93C}"/>
    <cellStyle name="표준 10 2 2 2 2 2 2 2 2 2 2 2 2 2 2 2 2 2 2 2 2 2 2 2 3 2 2 2 3 2 2 2 2" xfId="4" xr:uid="{0B45B595-AC80-46A8-8F5D-4A63A667F27E}"/>
    <cellStyle name="표준 10 2 2 2 2 2 2 2 2 2 2 2 2 2 2 2 2 2 2 2 2 2 3 7 2 2" xfId="33" xr:uid="{7FA6AAFB-4F35-4C47-93F6-3B57C658A5BB}"/>
    <cellStyle name="표준 10 2 2 2 2 2 2 2 2 2 2 2 2 2 2 2 2 2 2 2 2 2 3 7 3" xfId="17" xr:uid="{7AD27AFB-5D6C-48D1-BB6F-498F1CBF8B3A}"/>
    <cellStyle name="표준 10 2 2 2 2 2 2 2 2 2 3 2 2 2 2 2 5" xfId="42" xr:uid="{E91C7997-D533-4012-9BAF-0D5DCE62700B}"/>
    <cellStyle name="표준 16 3 2 2 2 2 3 2" xfId="13" xr:uid="{EE72B118-2A94-4988-8841-91BBA48E0DDA}"/>
    <cellStyle name="표준 16 3 2 3 2 2 2 2 2" xfId="20" xr:uid="{D30BFB5D-5498-4B8E-AFBD-3670A5A6C805}"/>
    <cellStyle name="표준 2" xfId="6" xr:uid="{909E132D-14D1-4A1F-9B2C-2D0E141AD1C5}"/>
    <cellStyle name="표준 22 2 2 2" xfId="16" xr:uid="{D5B957CD-EEFD-4EBD-8561-69B2B8991EEF}"/>
    <cellStyle name="표준 26 2 2" xfId="24" xr:uid="{F662ABDD-7F3D-45A5-A3C1-58C13E146F6E}"/>
    <cellStyle name="표준 37 2 2 2 2 2 2 2" xfId="19" xr:uid="{BEB17DA3-AC96-4789-B631-5A42547CB61D}"/>
    <cellStyle name="표준 4" xfId="44" xr:uid="{0E5BE0FA-3840-42E9-8A5C-E032F345585C}"/>
    <cellStyle name="표준 4 10 2 2 5 2 2 2 2 2 2 2 2 2 2 2 2 2 2 2 2 2 2 2 2 2 2 2 2 2 2 2 2 2 2 2 2 2 2 2 2 2 2 2 2" xfId="7" xr:uid="{BB248F90-56B2-4D45-8A2D-F6A7DAEFA432}"/>
    <cellStyle name="표준 4 10 2 2 5 2 2 2 2 2 2 2 2 2 2 2 2 2 2 2 2 2 2 2 2 2 2 2 2 2 2 2 2 2 2 2 2 2 2 2 3 2 2 2" xfId="3" xr:uid="{C65C1220-24AD-4107-A085-5E7A5C7B97FB}"/>
    <cellStyle name="표준 4 10 2 2 5 2 2 2 2 2 2 2 2 2 2 2 2 2 2 2 2 2 2 2 2 2 2 2 2 2 2 2 2 2 2 3 2 3 2 2 2 2" xfId="14" xr:uid="{2EAADF39-96C8-4EE7-B651-94EEA14ADEB0}"/>
    <cellStyle name="표준 4 10 2 2 5 2 2 2 2 2 2 2 2 2 2 2 2 2 2 2 2 2 2 2 2 2 2 2 2 2 2 2 2 2 2 3 4 3 2 2 2 2" xfId="15" xr:uid="{9E466A68-9EE4-4857-9CBB-B8F2E0B75C70}"/>
    <cellStyle name="표준 4 10 2 2 5 2 2 2 2 2 2 2 2 2 2 2 2 2 2 2 2 2 2 2 2 2 2 2 2 2 2 2 2 3 2 2 2 2 2" xfId="31" xr:uid="{56C18AB3-D747-40A7-987D-53410518A438}"/>
    <cellStyle name="표준 4 10 2 2 5 2 2 2 2 2 2 2 2 2 2 2 2 2 2 2 2 2 2 2 2 2 2 2 2 2 2 2 2 3 3 2 2 2 2 2 2" xfId="5" xr:uid="{8C114F7B-2CDC-456F-95DB-4859D77770BB}"/>
    <cellStyle name="표준 4 10 2 2 5 2 2 2 2 2 2 2 2 2 2 2 2 2 2 2 2 2 2 2 2 2 2 2 3 2 2 2 2 2 2 2 4 2 2" xfId="40" xr:uid="{001035FC-3D3C-4AF5-A79F-0EF9C2A0F77D}"/>
    <cellStyle name="표준 4 10 2 2 5 2 2 2 2 2 2 2 2 2 2 2 2 2 2 2 2 2 2 2 2 2 2 2 3 2 2 2 2 3 2 2 2" xfId="27" xr:uid="{1CDFE00F-A754-4E27-A9EA-79528EB8A183}"/>
    <cellStyle name="표준 4 10 2 2 5 2 2 2 2 2 2 2 2 2 2 2 2 2 2 2 2 2 2 2 2 2 2 2 3 2 2 3 2 2 2 3 2 2 2" xfId="22" xr:uid="{16D2D723-D214-4EA2-B8D0-CC660213B3C3}"/>
    <cellStyle name="표준 4 10 2 2 5 2 2 2 2 2 2 2 2 2 2 2 2 2 2 2 2 2 2 2 2 2 2 2 5 2 2 2" xfId="18" xr:uid="{36B5BB04-86C5-4981-B49C-04A0B281A16E}"/>
    <cellStyle name="표준 4 10 2 2 5 2 2 2 2 2 2 2 2 2 2 2 2 2 2 2 2 2 3 2 3 2 3 2 2 2 2" xfId="12" xr:uid="{A8E59705-F630-401F-85B8-2BABBFE44B31}"/>
    <cellStyle name="표준 4 10 2 2 5 2 2 2 2 2 2 2 2 2 2 2 2 2 2 6 2 2 2 2" xfId="21" xr:uid="{630C14BA-9CCE-4FE3-895E-2433DA4CB473}"/>
    <cellStyle name="표준 4 10 2 2 5 2 2 2 2 2 2 2 2 2 2 2 2 2 3 9 2 2" xfId="29" xr:uid="{484AB410-70DB-439D-AC76-C2D023F989E4}"/>
    <cellStyle name="표준 4 10 2 2 5 2 2 2 2 2 2 2 2 2 2 2 2 3 3 2 2 2" xfId="8" xr:uid="{3F470CAB-CBF5-4C22-8829-80286DA30641}"/>
    <cellStyle name="표준 4 25 2 2 2 2 2 2 2 3 2 2 2 2 2 2 3 2 2 3" xfId="43" xr:uid="{B5E204A5-F27E-46A4-A394-20F9C2D158AD}"/>
    <cellStyle name="표준 4 3" xfId="11" xr:uid="{2E29559E-E229-4C8C-B49E-047023255EC5}"/>
    <cellStyle name="표준 4 4 2 2 2 2 2 2 2 2 2 2 2 2 2 2 2 2 2 2 2 2 2 2 2 2 2 2 2 2 2 3 2 2 2 2" xfId="34" xr:uid="{B7342F55-5BE6-4AC7-A5C4-C8A9CF9BCA95}"/>
    <cellStyle name="표준 4 42 3 2 2 2 2 2 2 2" xfId="32" xr:uid="{BAED6C14-DED3-43B4-89BD-E0AD6CE97432}"/>
    <cellStyle name="표준 4 52 4 2 2" xfId="35" xr:uid="{B1BD1EBC-CC5F-447E-8FC2-32239E43267E}"/>
    <cellStyle name="표준 4 57" xfId="2" xr:uid="{1D7918E1-004A-4DAA-86FB-47B29EF5449E}"/>
    <cellStyle name="표준 44 4 2" xfId="9" xr:uid="{6D6F445C-5B57-43AC-8D02-065FF0460550}"/>
    <cellStyle name="표준 49 2 2" xfId="37" xr:uid="{C4DD9AC1-0FB9-4BD7-B381-BFF9696BF7D7}"/>
    <cellStyle name="표준 5" xfId="38" xr:uid="{65E3BF78-CBBD-43E2-BFDD-8CDE964CC2D4}"/>
    <cellStyle name="표준 50 2 2 2" xfId="28" xr:uid="{40939E86-1EF1-4F1E-9979-F6BDC600A094}"/>
    <cellStyle name="표준 52 2" xfId="39" xr:uid="{BB44EFED-AD2A-43E1-8125-0251FE911D5D}"/>
    <cellStyle name="표준 53" xfId="1" xr:uid="{76B7EC93-C102-49A0-9B59-2E083A75F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CE42DC-326E-4DF8-98EC-36EC905A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227</xdr:row>
      <xdr:rowOff>0</xdr:rowOff>
    </xdr:from>
    <xdr:ext cx="9179938" cy="943200"/>
    <xdr:pic>
      <xdr:nvPicPr>
        <xdr:cNvPr id="7" name="그림 6">
          <a:extLst>
            <a:ext uri="{FF2B5EF4-FFF2-40B4-BE49-F238E27FC236}">
              <a16:creationId xmlns:a16="http://schemas.microsoft.com/office/drawing/2014/main" id="{91583DAF-22E1-4690-87AE-B2260B959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67118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3</xdr:rowOff>
    </xdr:from>
    <xdr:ext cx="8514429" cy="869229"/>
    <xdr:pic>
      <xdr:nvPicPr>
        <xdr:cNvPr id="11" name="그림 10">
          <a:extLst>
            <a:ext uri="{FF2B5EF4-FFF2-40B4-BE49-F238E27FC236}">
              <a16:creationId xmlns:a16="http://schemas.microsoft.com/office/drawing/2014/main" id="{DF658F45-5428-4A23-9DD3-3F5DAA30B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38953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1</xdr:rowOff>
    </xdr:from>
    <xdr:ext cx="8514429" cy="869229"/>
    <xdr:pic>
      <xdr:nvPicPr>
        <xdr:cNvPr id="12" name="그림 11">
          <a:extLst>
            <a:ext uri="{FF2B5EF4-FFF2-40B4-BE49-F238E27FC236}">
              <a16:creationId xmlns:a16="http://schemas.microsoft.com/office/drawing/2014/main" id="{2323C536-975F-4FC0-A82D-2FF352568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83030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1</xdr:rowOff>
    </xdr:from>
    <xdr:ext cx="8514429" cy="869229"/>
    <xdr:pic>
      <xdr:nvPicPr>
        <xdr:cNvPr id="13" name="그림 12">
          <a:extLst>
            <a:ext uri="{FF2B5EF4-FFF2-40B4-BE49-F238E27FC236}">
              <a16:creationId xmlns:a16="http://schemas.microsoft.com/office/drawing/2014/main" id="{8EA37F1A-74DB-48E8-804E-82FA66334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96465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1</xdr:rowOff>
    </xdr:from>
    <xdr:ext cx="8514429" cy="869229"/>
    <xdr:pic>
      <xdr:nvPicPr>
        <xdr:cNvPr id="14" name="그림 13">
          <a:extLst>
            <a:ext uri="{FF2B5EF4-FFF2-40B4-BE49-F238E27FC236}">
              <a16:creationId xmlns:a16="http://schemas.microsoft.com/office/drawing/2014/main" id="{F484B3D9-6A4E-45FF-A0FF-6F2BE6B99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18460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1</xdr:rowOff>
    </xdr:from>
    <xdr:ext cx="8460000" cy="869229"/>
    <xdr:pic>
      <xdr:nvPicPr>
        <xdr:cNvPr id="15" name="그림 14">
          <a:extLst>
            <a:ext uri="{FF2B5EF4-FFF2-40B4-BE49-F238E27FC236}">
              <a16:creationId xmlns:a16="http://schemas.microsoft.com/office/drawing/2014/main" id="{C9384196-74EB-4CAD-8A31-0116C4092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6404551"/>
          <a:ext cx="8460000" cy="869229"/>
        </a:xfrm>
        <a:prstGeom prst="rect">
          <a:avLst/>
        </a:prstGeom>
      </xdr:spPr>
    </xdr:pic>
    <xdr:clientData/>
  </xdr:oneCellAnchor>
  <xdr:oneCellAnchor>
    <xdr:from>
      <xdr:col>7</xdr:col>
      <xdr:colOff>662940</xdr:colOff>
      <xdr:row>2</xdr:row>
      <xdr:rowOff>288286</xdr:rowOff>
    </xdr:from>
    <xdr:ext cx="1819275" cy="267974"/>
    <xdr:pic>
      <xdr:nvPicPr>
        <xdr:cNvPr id="16" name="그림 15">
          <a:extLst>
            <a:ext uri="{FF2B5EF4-FFF2-40B4-BE49-F238E27FC236}">
              <a16:creationId xmlns:a16="http://schemas.microsoft.com/office/drawing/2014/main" id="{0B98EFE2-381C-4887-920F-A7E5B7BA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3240" y="745486"/>
          <a:ext cx="1819275" cy="26797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2A9D31F9-3D56-4448-98DD-E9CC3E865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8453650" cy="868913"/>
    <xdr:pic>
      <xdr:nvPicPr>
        <xdr:cNvPr id="11" name="그림 10">
          <a:extLst>
            <a:ext uri="{FF2B5EF4-FFF2-40B4-BE49-F238E27FC236}">
              <a16:creationId xmlns:a16="http://schemas.microsoft.com/office/drawing/2014/main" id="{2F4D580B-C34C-4A22-9B4C-00D212A9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2580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453650" cy="868913"/>
    <xdr:pic>
      <xdr:nvPicPr>
        <xdr:cNvPr id="12" name="그림 11">
          <a:extLst>
            <a:ext uri="{FF2B5EF4-FFF2-40B4-BE49-F238E27FC236}">
              <a16:creationId xmlns:a16="http://schemas.microsoft.com/office/drawing/2014/main" id="{8AF796EB-32C1-45ED-8892-48E5348B3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1638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453650" cy="868913"/>
    <xdr:pic>
      <xdr:nvPicPr>
        <xdr:cNvPr id="13" name="그림 12">
          <a:extLst>
            <a:ext uri="{FF2B5EF4-FFF2-40B4-BE49-F238E27FC236}">
              <a16:creationId xmlns:a16="http://schemas.microsoft.com/office/drawing/2014/main" id="{E847E331-7F7F-4143-9109-3EED3BDA2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8323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8453650" cy="868913"/>
    <xdr:pic>
      <xdr:nvPicPr>
        <xdr:cNvPr id="14" name="그림 13">
          <a:extLst>
            <a:ext uri="{FF2B5EF4-FFF2-40B4-BE49-F238E27FC236}">
              <a16:creationId xmlns:a16="http://schemas.microsoft.com/office/drawing/2014/main" id="{CAD14E98-FD70-4575-982D-5B50373EC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70522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8453650" cy="868913"/>
    <xdr:pic>
      <xdr:nvPicPr>
        <xdr:cNvPr id="15" name="그림 14">
          <a:extLst>
            <a:ext uri="{FF2B5EF4-FFF2-40B4-BE49-F238E27FC236}">
              <a16:creationId xmlns:a16="http://schemas.microsoft.com/office/drawing/2014/main" id="{76849738-1243-4036-8DFC-64617375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383750"/>
          <a:ext cx="8453650" cy="868913"/>
        </a:xfrm>
        <a:prstGeom prst="rect">
          <a:avLst/>
        </a:prstGeom>
      </xdr:spPr>
    </xdr:pic>
    <xdr:clientData/>
  </xdr:oneCellAnchor>
  <xdr:oneCellAnchor>
    <xdr:from>
      <xdr:col>7</xdr:col>
      <xdr:colOff>617220</xdr:colOff>
      <xdr:row>2</xdr:row>
      <xdr:rowOff>318766</xdr:rowOff>
    </xdr:from>
    <xdr:ext cx="1819275" cy="267974"/>
    <xdr:pic>
      <xdr:nvPicPr>
        <xdr:cNvPr id="16" name="그림 15">
          <a:extLst>
            <a:ext uri="{FF2B5EF4-FFF2-40B4-BE49-F238E27FC236}">
              <a16:creationId xmlns:a16="http://schemas.microsoft.com/office/drawing/2014/main" id="{D73903E9-90AE-44B4-8AA1-25F69083F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7520" y="737866"/>
          <a:ext cx="1819275" cy="26797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17661681-9088-402D-A9D7-62990FB46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8453650" cy="869229"/>
    <xdr:pic>
      <xdr:nvPicPr>
        <xdr:cNvPr id="26" name="그림 25">
          <a:extLst>
            <a:ext uri="{FF2B5EF4-FFF2-40B4-BE49-F238E27FC236}">
              <a16:creationId xmlns:a16="http://schemas.microsoft.com/office/drawing/2014/main" id="{8D5FBADF-AE32-41DD-8356-FE95B420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9438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453650" cy="869229"/>
    <xdr:pic>
      <xdr:nvPicPr>
        <xdr:cNvPr id="27" name="그림 26">
          <a:extLst>
            <a:ext uri="{FF2B5EF4-FFF2-40B4-BE49-F238E27FC236}">
              <a16:creationId xmlns:a16="http://schemas.microsoft.com/office/drawing/2014/main" id="{E15DDBAB-C016-4AAE-A95E-254CD578E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9352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453650" cy="869229"/>
    <xdr:pic>
      <xdr:nvPicPr>
        <xdr:cNvPr id="28" name="그림 27">
          <a:extLst>
            <a:ext uri="{FF2B5EF4-FFF2-40B4-BE49-F238E27FC236}">
              <a16:creationId xmlns:a16="http://schemas.microsoft.com/office/drawing/2014/main" id="{7E7A3052-E7FA-4991-9509-CAC57C560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6123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8453650" cy="869229"/>
    <xdr:pic>
      <xdr:nvPicPr>
        <xdr:cNvPr id="29" name="그림 28">
          <a:extLst>
            <a:ext uri="{FF2B5EF4-FFF2-40B4-BE49-F238E27FC236}">
              <a16:creationId xmlns:a16="http://schemas.microsoft.com/office/drawing/2014/main" id="{F10B1B48-0CF9-4D97-A728-81D19EBE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6893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453650" cy="869229"/>
    <xdr:pic>
      <xdr:nvPicPr>
        <xdr:cNvPr id="30" name="그림 29">
          <a:extLst>
            <a:ext uri="{FF2B5EF4-FFF2-40B4-BE49-F238E27FC236}">
              <a16:creationId xmlns:a16="http://schemas.microsoft.com/office/drawing/2014/main" id="{D8C1EE20-31E7-4168-8325-D5954DD8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452050"/>
          <a:ext cx="8453650" cy="869229"/>
        </a:xfrm>
        <a:prstGeom prst="rect">
          <a:avLst/>
        </a:prstGeom>
      </xdr:spPr>
    </xdr:pic>
    <xdr:clientData/>
  </xdr:oneCellAnchor>
  <xdr:oneCellAnchor>
    <xdr:from>
      <xdr:col>7</xdr:col>
      <xdr:colOff>655320</xdr:colOff>
      <xdr:row>2</xdr:row>
      <xdr:rowOff>295906</xdr:rowOff>
    </xdr:from>
    <xdr:ext cx="1819275" cy="267974"/>
    <xdr:pic>
      <xdr:nvPicPr>
        <xdr:cNvPr id="31" name="그림 30">
          <a:extLst>
            <a:ext uri="{FF2B5EF4-FFF2-40B4-BE49-F238E27FC236}">
              <a16:creationId xmlns:a16="http://schemas.microsoft.com/office/drawing/2014/main" id="{0C0D8B2D-9E22-4CF7-A781-27CEDA381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5620" y="715006"/>
          <a:ext cx="1819275" cy="26797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A56CC147-E153-47F6-8D3C-74AF347F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8453650" cy="869229"/>
    <xdr:pic>
      <xdr:nvPicPr>
        <xdr:cNvPr id="10" name="그림 9">
          <a:extLst>
            <a:ext uri="{FF2B5EF4-FFF2-40B4-BE49-F238E27FC236}">
              <a16:creationId xmlns:a16="http://schemas.microsoft.com/office/drawing/2014/main" id="{C2CF4BCD-3FE7-4BB4-B88C-F580F13A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5722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8453650" cy="869229"/>
    <xdr:pic>
      <xdr:nvPicPr>
        <xdr:cNvPr id="11" name="그림 10">
          <a:extLst>
            <a:ext uri="{FF2B5EF4-FFF2-40B4-BE49-F238E27FC236}">
              <a16:creationId xmlns:a16="http://schemas.microsoft.com/office/drawing/2014/main" id="{03A47DDE-AD49-4F06-A33E-D472064EB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0208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453650" cy="869229"/>
    <xdr:pic>
      <xdr:nvPicPr>
        <xdr:cNvPr id="12" name="그림 11">
          <a:extLst>
            <a:ext uri="{FF2B5EF4-FFF2-40B4-BE49-F238E27FC236}">
              <a16:creationId xmlns:a16="http://schemas.microsoft.com/office/drawing/2014/main" id="{D0FF2D9E-77FA-4F08-B253-565D78620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9265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453650" cy="869229"/>
    <xdr:pic>
      <xdr:nvPicPr>
        <xdr:cNvPr id="13" name="그림 12">
          <a:extLst>
            <a:ext uri="{FF2B5EF4-FFF2-40B4-BE49-F238E27FC236}">
              <a16:creationId xmlns:a16="http://schemas.microsoft.com/office/drawing/2014/main" id="{5027ADE3-A159-4ACE-ACC1-1E1B03F6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375100"/>
          <a:ext cx="8453650" cy="869229"/>
        </a:xfrm>
        <a:prstGeom prst="rect">
          <a:avLst/>
        </a:prstGeom>
      </xdr:spPr>
    </xdr:pic>
    <xdr:clientData/>
  </xdr:oneCellAnchor>
  <xdr:oneCellAnchor>
    <xdr:from>
      <xdr:col>7</xdr:col>
      <xdr:colOff>640080</xdr:colOff>
      <xdr:row>2</xdr:row>
      <xdr:rowOff>288286</xdr:rowOff>
    </xdr:from>
    <xdr:ext cx="1819275" cy="267974"/>
    <xdr:pic>
      <xdr:nvPicPr>
        <xdr:cNvPr id="14" name="그림 13">
          <a:extLst>
            <a:ext uri="{FF2B5EF4-FFF2-40B4-BE49-F238E27FC236}">
              <a16:creationId xmlns:a16="http://schemas.microsoft.com/office/drawing/2014/main" id="{96EF064B-F21A-42BC-82CC-84A4A443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0380" y="707386"/>
          <a:ext cx="1819275" cy="2679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5D03F2AA-63D4-4E54-91CB-C820F29EB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8453650" cy="869229"/>
    <xdr:pic>
      <xdr:nvPicPr>
        <xdr:cNvPr id="8" name="그림 7">
          <a:extLst>
            <a:ext uri="{FF2B5EF4-FFF2-40B4-BE49-F238E27FC236}">
              <a16:creationId xmlns:a16="http://schemas.microsoft.com/office/drawing/2014/main" id="{ED2C8ED0-0BF1-49E5-BB05-EC29642A4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4866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23600</xdr:colOff>
      <xdr:row>67</xdr:row>
      <xdr:rowOff>0</xdr:rowOff>
    </xdr:from>
    <xdr:ext cx="8453650" cy="869229"/>
    <xdr:pic>
      <xdr:nvPicPr>
        <xdr:cNvPr id="9" name="그림 8">
          <a:extLst>
            <a:ext uri="{FF2B5EF4-FFF2-40B4-BE49-F238E27FC236}">
              <a16:creationId xmlns:a16="http://schemas.microsoft.com/office/drawing/2014/main" id="{DAA6CDC0-B868-4006-8FE3-78BBF40CC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265" y="16268700"/>
          <a:ext cx="8453650" cy="869229"/>
        </a:xfrm>
        <a:prstGeom prst="rect">
          <a:avLst/>
        </a:prstGeom>
      </xdr:spPr>
    </xdr:pic>
    <xdr:clientData/>
  </xdr:oneCellAnchor>
  <xdr:oneCellAnchor>
    <xdr:from>
      <xdr:col>7</xdr:col>
      <xdr:colOff>655320</xdr:colOff>
      <xdr:row>2</xdr:row>
      <xdr:rowOff>334006</xdr:rowOff>
    </xdr:from>
    <xdr:ext cx="1819275" cy="267974"/>
    <xdr:pic>
      <xdr:nvPicPr>
        <xdr:cNvPr id="10" name="그림 9">
          <a:extLst>
            <a:ext uri="{FF2B5EF4-FFF2-40B4-BE49-F238E27FC236}">
              <a16:creationId xmlns:a16="http://schemas.microsoft.com/office/drawing/2014/main" id="{6E68FA6C-7233-4F38-A91E-C988A8607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5620" y="753106"/>
          <a:ext cx="1819275" cy="2679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460000" cy="869229"/>
    <xdr:pic>
      <xdr:nvPicPr>
        <xdr:cNvPr id="11" name="그림 10">
          <a:extLst>
            <a:ext uri="{FF2B5EF4-FFF2-40B4-BE49-F238E27FC236}">
              <a16:creationId xmlns:a16="http://schemas.microsoft.com/office/drawing/2014/main" id="{9C5B93F0-5CEB-40D2-9114-4F8C7D7FB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3907750"/>
          <a:ext cx="8460000" cy="869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workbookViewId="0">
      <selection activeCell="N4" sqref="N4"/>
    </sheetView>
  </sheetViews>
  <sheetFormatPr defaultRowHeight="17.399999999999999" x14ac:dyDescent="0.4"/>
  <cols>
    <col min="1" max="1" width="4.8984375" style="3" customWidth="1"/>
    <col min="2" max="2" width="18.59765625" style="3" customWidth="1"/>
    <col min="3" max="3" width="11.59765625" style="3" customWidth="1"/>
    <col min="4" max="4" width="11.59765625" style="4" customWidth="1"/>
    <col min="5" max="10" width="11.59765625" style="3" customWidth="1"/>
    <col min="11" max="11" width="4.8984375" style="3" customWidth="1"/>
  </cols>
  <sheetData>
    <row r="1" spans="2:10" ht="18" thickBot="1" x14ac:dyDescent="0.45"/>
    <row r="2" spans="2:10" ht="18" customHeight="1" thickTop="1" thickBot="1" x14ac:dyDescent="0.45">
      <c r="B2" s="5" t="s">
        <v>0</v>
      </c>
      <c r="C2" s="5" t="s">
        <v>1</v>
      </c>
      <c r="D2" s="6"/>
      <c r="E2" s="121" t="s">
        <v>145</v>
      </c>
      <c r="F2" s="121"/>
      <c r="G2" s="121"/>
      <c r="H2" s="121"/>
      <c r="I2" s="121"/>
      <c r="J2" s="121"/>
    </row>
    <row r="3" spans="2:10" ht="34.5" customHeight="1" thickTop="1" x14ac:dyDescent="0.4">
      <c r="B3" s="122" t="s">
        <v>146</v>
      </c>
      <c r="C3" s="122"/>
      <c r="D3" s="122"/>
      <c r="E3" s="122"/>
      <c r="F3" s="122"/>
      <c r="G3" s="122"/>
      <c r="H3" s="122"/>
      <c r="I3" s="122"/>
      <c r="J3" s="122"/>
    </row>
    <row r="4" spans="2:10" ht="16.5" customHeight="1" x14ac:dyDescent="0.4">
      <c r="B4" s="122"/>
      <c r="C4" s="122"/>
      <c r="D4" s="122"/>
      <c r="E4" s="122"/>
      <c r="F4" s="122"/>
      <c r="G4" s="122"/>
      <c r="H4" s="122"/>
      <c r="I4" s="122"/>
      <c r="J4" s="122"/>
    </row>
    <row r="5" spans="2:10" ht="16.5" customHeight="1" thickBot="1" x14ac:dyDescent="0.45">
      <c r="B5" s="122"/>
      <c r="C5" s="122"/>
      <c r="D5" s="122"/>
      <c r="E5" s="122"/>
      <c r="F5" s="122"/>
      <c r="G5" s="122"/>
      <c r="H5" s="122"/>
      <c r="I5" s="122"/>
      <c r="J5" s="122"/>
    </row>
    <row r="6" spans="2:10" ht="21" customHeight="1" thickTop="1" x14ac:dyDescent="0.4">
      <c r="B6" s="58" t="s">
        <v>54</v>
      </c>
      <c r="C6" s="59"/>
      <c r="D6" s="59"/>
      <c r="E6" s="59"/>
      <c r="F6" s="59"/>
      <c r="G6" s="59"/>
      <c r="H6" s="59"/>
      <c r="I6" s="59"/>
      <c r="J6" s="60"/>
    </row>
    <row r="7" spans="2:10" ht="18" customHeight="1" x14ac:dyDescent="0.4">
      <c r="B7" s="61" t="s">
        <v>2</v>
      </c>
      <c r="C7" s="63" t="s">
        <v>3</v>
      </c>
      <c r="D7" s="7" t="s">
        <v>4</v>
      </c>
      <c r="E7" s="7" t="s">
        <v>5</v>
      </c>
      <c r="F7" s="65" t="s">
        <v>6</v>
      </c>
      <c r="G7" s="66"/>
      <c r="H7" s="66"/>
      <c r="I7" s="66"/>
      <c r="J7" s="67"/>
    </row>
    <row r="8" spans="2:10" ht="18" customHeight="1" x14ac:dyDescent="0.4">
      <c r="B8" s="62"/>
      <c r="C8" s="64"/>
      <c r="D8" s="8" t="s">
        <v>1</v>
      </c>
      <c r="E8" s="9" t="s">
        <v>1</v>
      </c>
      <c r="F8" s="68"/>
      <c r="G8" s="69"/>
      <c r="H8" s="69"/>
      <c r="I8" s="69"/>
      <c r="J8" s="70"/>
    </row>
    <row r="9" spans="2:10" ht="18" customHeight="1" x14ac:dyDescent="0.4">
      <c r="B9" s="79" t="s">
        <v>86</v>
      </c>
      <c r="C9" s="10" t="s">
        <v>57</v>
      </c>
      <c r="D9" s="11">
        <v>32.5</v>
      </c>
      <c r="E9" s="12">
        <f t="shared" ref="E9:E29" si="0">D9*D$2</f>
        <v>0</v>
      </c>
      <c r="F9" s="81" t="s">
        <v>147</v>
      </c>
      <c r="G9" s="82"/>
      <c r="H9" s="82"/>
      <c r="I9" s="82"/>
      <c r="J9" s="83"/>
    </row>
    <row r="10" spans="2:10" ht="18" customHeight="1" x14ac:dyDescent="0.4">
      <c r="B10" s="80"/>
      <c r="C10" s="10" t="s">
        <v>148</v>
      </c>
      <c r="D10" s="11">
        <v>1.625</v>
      </c>
      <c r="E10" s="12">
        <f t="shared" si="0"/>
        <v>0</v>
      </c>
      <c r="F10" s="84"/>
      <c r="G10" s="85"/>
      <c r="H10" s="85"/>
      <c r="I10" s="85"/>
      <c r="J10" s="86"/>
    </row>
    <row r="11" spans="2:10" ht="18" customHeight="1" x14ac:dyDescent="0.4">
      <c r="B11" s="106" t="s">
        <v>149</v>
      </c>
      <c r="C11" s="10" t="s">
        <v>61</v>
      </c>
      <c r="D11" s="13">
        <v>13</v>
      </c>
      <c r="E11" s="12">
        <f t="shared" si="0"/>
        <v>0</v>
      </c>
      <c r="F11" s="88" t="s">
        <v>150</v>
      </c>
      <c r="G11" s="89"/>
      <c r="H11" s="89"/>
      <c r="I11" s="89"/>
      <c r="J11" s="90"/>
    </row>
    <row r="12" spans="2:10" ht="18" customHeight="1" x14ac:dyDescent="0.4">
      <c r="B12" s="107"/>
      <c r="C12" s="14" t="s">
        <v>92</v>
      </c>
      <c r="D12" s="11">
        <v>9.75</v>
      </c>
      <c r="E12" s="12">
        <f t="shared" si="0"/>
        <v>0</v>
      </c>
      <c r="F12" s="91"/>
      <c r="G12" s="92"/>
      <c r="H12" s="92"/>
      <c r="I12" s="92"/>
      <c r="J12" s="93"/>
    </row>
    <row r="13" spans="2:10" ht="18" customHeight="1" x14ac:dyDescent="0.4">
      <c r="B13" s="107"/>
      <c r="C13" s="14" t="s">
        <v>72</v>
      </c>
      <c r="D13" s="11">
        <v>1.3</v>
      </c>
      <c r="E13" s="12">
        <f t="shared" si="0"/>
        <v>0</v>
      </c>
      <c r="F13" s="91"/>
      <c r="G13" s="92"/>
      <c r="H13" s="92"/>
      <c r="I13" s="92"/>
      <c r="J13" s="93"/>
    </row>
    <row r="14" spans="2:10" ht="18" customHeight="1" x14ac:dyDescent="0.4">
      <c r="B14" s="107"/>
      <c r="C14" s="14" t="s">
        <v>60</v>
      </c>
      <c r="D14" s="11">
        <v>0.32500000000000001</v>
      </c>
      <c r="E14" s="12">
        <f t="shared" si="0"/>
        <v>0</v>
      </c>
      <c r="F14" s="91"/>
      <c r="G14" s="92"/>
      <c r="H14" s="92"/>
      <c r="I14" s="92"/>
      <c r="J14" s="93"/>
    </row>
    <row r="15" spans="2:10" ht="18" customHeight="1" x14ac:dyDescent="0.4">
      <c r="B15" s="107"/>
      <c r="C15" s="14" t="s">
        <v>82</v>
      </c>
      <c r="D15" s="11">
        <v>1.3</v>
      </c>
      <c r="E15" s="12">
        <f t="shared" si="0"/>
        <v>0</v>
      </c>
      <c r="F15" s="91"/>
      <c r="G15" s="92"/>
      <c r="H15" s="92"/>
      <c r="I15" s="92"/>
      <c r="J15" s="93"/>
    </row>
    <row r="16" spans="2:10" ht="18" customHeight="1" x14ac:dyDescent="0.4">
      <c r="B16" s="107"/>
      <c r="C16" s="14" t="s">
        <v>63</v>
      </c>
      <c r="D16" s="11">
        <v>1.3</v>
      </c>
      <c r="E16" s="12">
        <f t="shared" si="0"/>
        <v>0</v>
      </c>
      <c r="F16" s="91"/>
      <c r="G16" s="92"/>
      <c r="H16" s="92"/>
      <c r="I16" s="92"/>
      <c r="J16" s="93"/>
    </row>
    <row r="17" spans="2:10" ht="18" customHeight="1" x14ac:dyDescent="0.4">
      <c r="B17" s="107"/>
      <c r="C17" s="14" t="s">
        <v>73</v>
      </c>
      <c r="D17" s="11">
        <v>0.32500000000000001</v>
      </c>
      <c r="E17" s="12">
        <f t="shared" si="0"/>
        <v>0</v>
      </c>
      <c r="F17" s="91"/>
      <c r="G17" s="92"/>
      <c r="H17" s="92"/>
      <c r="I17" s="92"/>
      <c r="J17" s="93"/>
    </row>
    <row r="18" spans="2:10" ht="18" customHeight="1" x14ac:dyDescent="0.4">
      <c r="B18" s="107"/>
      <c r="C18" s="14" t="s">
        <v>74</v>
      </c>
      <c r="D18" s="11">
        <v>0.13</v>
      </c>
      <c r="E18" s="12">
        <f t="shared" si="0"/>
        <v>0</v>
      </c>
      <c r="F18" s="94"/>
      <c r="G18" s="95"/>
      <c r="H18" s="95"/>
      <c r="I18" s="95"/>
      <c r="J18" s="96"/>
    </row>
    <row r="19" spans="2:10" ht="18" customHeight="1" x14ac:dyDescent="0.4">
      <c r="B19" s="97" t="s">
        <v>151</v>
      </c>
      <c r="C19" s="2" t="s">
        <v>36</v>
      </c>
      <c r="D19" s="13">
        <v>26</v>
      </c>
      <c r="E19" s="12">
        <f t="shared" si="0"/>
        <v>0</v>
      </c>
      <c r="F19" s="108" t="s">
        <v>152</v>
      </c>
      <c r="G19" s="109"/>
      <c r="H19" s="109"/>
      <c r="I19" s="109"/>
      <c r="J19" s="110"/>
    </row>
    <row r="20" spans="2:10" ht="18" customHeight="1" x14ac:dyDescent="0.4">
      <c r="B20" s="98"/>
      <c r="C20" s="2" t="s">
        <v>17</v>
      </c>
      <c r="D20" s="11">
        <v>3.25</v>
      </c>
      <c r="E20" s="12">
        <f t="shared" si="0"/>
        <v>0</v>
      </c>
      <c r="F20" s="111"/>
      <c r="G20" s="112"/>
      <c r="H20" s="112"/>
      <c r="I20" s="112"/>
      <c r="J20" s="113"/>
    </row>
    <row r="21" spans="2:10" ht="18" customHeight="1" x14ac:dyDescent="0.4">
      <c r="B21" s="98"/>
      <c r="C21" s="2" t="s">
        <v>9</v>
      </c>
      <c r="D21" s="11">
        <v>3.25</v>
      </c>
      <c r="E21" s="12">
        <f t="shared" si="0"/>
        <v>0</v>
      </c>
      <c r="F21" s="111"/>
      <c r="G21" s="112"/>
      <c r="H21" s="112"/>
      <c r="I21" s="112"/>
      <c r="J21" s="113"/>
    </row>
    <row r="22" spans="2:10" ht="18" customHeight="1" x14ac:dyDescent="0.4">
      <c r="B22" s="98"/>
      <c r="C22" s="2" t="s">
        <v>15</v>
      </c>
      <c r="D22" s="13">
        <v>1.9500000000000002</v>
      </c>
      <c r="E22" s="12">
        <f t="shared" si="0"/>
        <v>0</v>
      </c>
      <c r="F22" s="111"/>
      <c r="G22" s="112"/>
      <c r="H22" s="112"/>
      <c r="I22" s="112"/>
      <c r="J22" s="113"/>
    </row>
    <row r="23" spans="2:10" ht="18" customHeight="1" x14ac:dyDescent="0.4">
      <c r="B23" s="98"/>
      <c r="C23" s="2" t="s">
        <v>73</v>
      </c>
      <c r="D23" s="11">
        <v>0.32500000000000001</v>
      </c>
      <c r="E23" s="12">
        <f t="shared" si="0"/>
        <v>0</v>
      </c>
      <c r="F23" s="111"/>
      <c r="G23" s="112"/>
      <c r="H23" s="112"/>
      <c r="I23" s="112"/>
      <c r="J23" s="113"/>
    </row>
    <row r="24" spans="2:10" ht="18" customHeight="1" x14ac:dyDescent="0.4">
      <c r="B24" s="98"/>
      <c r="C24" s="2" t="s">
        <v>14</v>
      </c>
      <c r="D24" s="13">
        <v>0.97500000000000009</v>
      </c>
      <c r="E24" s="12">
        <f t="shared" si="0"/>
        <v>0</v>
      </c>
      <c r="F24" s="114"/>
      <c r="G24" s="115"/>
      <c r="H24" s="115"/>
      <c r="I24" s="115"/>
      <c r="J24" s="116"/>
    </row>
    <row r="25" spans="2:10" ht="18" customHeight="1" x14ac:dyDescent="0.4">
      <c r="B25" s="74" t="s">
        <v>153</v>
      </c>
      <c r="C25" s="10" t="s">
        <v>141</v>
      </c>
      <c r="D25" s="13">
        <v>13</v>
      </c>
      <c r="E25" s="12">
        <f t="shared" si="0"/>
        <v>0</v>
      </c>
      <c r="F25" s="77" t="s">
        <v>154</v>
      </c>
      <c r="G25" s="77"/>
      <c r="H25" s="77"/>
      <c r="I25" s="77"/>
      <c r="J25" s="78"/>
    </row>
    <row r="26" spans="2:10" ht="18" customHeight="1" x14ac:dyDescent="0.4">
      <c r="B26" s="75"/>
      <c r="C26" s="10" t="s">
        <v>82</v>
      </c>
      <c r="D26" s="11">
        <v>0.65</v>
      </c>
      <c r="E26" s="12">
        <f t="shared" si="0"/>
        <v>0</v>
      </c>
      <c r="F26" s="77" t="s">
        <v>155</v>
      </c>
      <c r="G26" s="77"/>
      <c r="H26" s="77"/>
      <c r="I26" s="77"/>
      <c r="J26" s="78"/>
    </row>
    <row r="27" spans="2:10" ht="18" customHeight="1" x14ac:dyDescent="0.4">
      <c r="B27" s="75"/>
      <c r="C27" s="10" t="s">
        <v>63</v>
      </c>
      <c r="D27" s="11">
        <v>0.32500000000000001</v>
      </c>
      <c r="E27" s="12">
        <f t="shared" si="0"/>
        <v>0</v>
      </c>
      <c r="F27" s="77" t="s">
        <v>155</v>
      </c>
      <c r="G27" s="77"/>
      <c r="H27" s="77"/>
      <c r="I27" s="77"/>
      <c r="J27" s="78"/>
    </row>
    <row r="28" spans="2:10" ht="18" customHeight="1" x14ac:dyDescent="0.4">
      <c r="B28" s="76"/>
      <c r="C28" s="10" t="s">
        <v>64</v>
      </c>
      <c r="D28" s="11">
        <v>0.13</v>
      </c>
      <c r="E28" s="12">
        <f t="shared" si="0"/>
        <v>0</v>
      </c>
      <c r="F28" s="77" t="s">
        <v>155</v>
      </c>
      <c r="G28" s="77"/>
      <c r="H28" s="77"/>
      <c r="I28" s="77"/>
      <c r="J28" s="78"/>
    </row>
    <row r="29" spans="2:10" ht="18" customHeight="1" thickBot="1" x14ac:dyDescent="0.45">
      <c r="B29" s="15" t="s">
        <v>65</v>
      </c>
      <c r="C29" s="16" t="s">
        <v>66</v>
      </c>
      <c r="D29" s="17">
        <v>13</v>
      </c>
      <c r="E29" s="18">
        <f t="shared" si="0"/>
        <v>0</v>
      </c>
      <c r="F29" s="103" t="s">
        <v>23</v>
      </c>
      <c r="G29" s="104"/>
      <c r="H29" s="104"/>
      <c r="I29" s="104"/>
      <c r="J29" s="105"/>
    </row>
    <row r="30" spans="2:10" ht="80.099999999999994" customHeight="1" thickTop="1" x14ac:dyDescent="0.4">
      <c r="B30" s="117"/>
      <c r="C30" s="117"/>
      <c r="D30" s="117"/>
      <c r="E30" s="117"/>
      <c r="F30" s="117"/>
      <c r="G30" s="117"/>
      <c r="H30" s="117"/>
      <c r="I30" s="117"/>
      <c r="J30" s="117"/>
    </row>
    <row r="31" spans="2:10" ht="18" thickBot="1" x14ac:dyDescent="0.45"/>
    <row r="32" spans="2:10" ht="21" customHeight="1" thickTop="1" x14ac:dyDescent="0.4">
      <c r="B32" s="58" t="s">
        <v>156</v>
      </c>
      <c r="C32" s="59"/>
      <c r="D32" s="59"/>
      <c r="E32" s="59"/>
      <c r="F32" s="59"/>
      <c r="G32" s="59"/>
      <c r="H32" s="59"/>
      <c r="I32" s="59"/>
      <c r="J32" s="60"/>
    </row>
    <row r="33" spans="2:10" ht="18" customHeight="1" x14ac:dyDescent="0.4">
      <c r="B33" s="61" t="s">
        <v>2</v>
      </c>
      <c r="C33" s="63" t="s">
        <v>3</v>
      </c>
      <c r="D33" s="7" t="s">
        <v>4</v>
      </c>
      <c r="E33" s="7" t="s">
        <v>5</v>
      </c>
      <c r="F33" s="65" t="s">
        <v>6</v>
      </c>
      <c r="G33" s="66"/>
      <c r="H33" s="66"/>
      <c r="I33" s="66"/>
      <c r="J33" s="67"/>
    </row>
    <row r="34" spans="2:10" ht="18" customHeight="1" x14ac:dyDescent="0.4">
      <c r="B34" s="62"/>
      <c r="C34" s="64"/>
      <c r="D34" s="8" t="s">
        <v>1</v>
      </c>
      <c r="E34" s="9" t="s">
        <v>1</v>
      </c>
      <c r="F34" s="68"/>
      <c r="G34" s="69"/>
      <c r="H34" s="69"/>
      <c r="I34" s="69"/>
      <c r="J34" s="70"/>
    </row>
    <row r="35" spans="2:10" ht="18" customHeight="1" x14ac:dyDescent="0.4">
      <c r="B35" s="79" t="s">
        <v>157</v>
      </c>
      <c r="C35" s="10" t="s">
        <v>57</v>
      </c>
      <c r="D35" s="11">
        <v>32.5</v>
      </c>
      <c r="E35" s="12">
        <f t="shared" ref="E35:E56" si="1">D35*D$2</f>
        <v>0</v>
      </c>
      <c r="F35" s="81" t="s">
        <v>158</v>
      </c>
      <c r="G35" s="82"/>
      <c r="H35" s="82"/>
      <c r="I35" s="82"/>
      <c r="J35" s="83"/>
    </row>
    <row r="36" spans="2:10" ht="18" customHeight="1" x14ac:dyDescent="0.4">
      <c r="B36" s="80"/>
      <c r="C36" s="10" t="s">
        <v>159</v>
      </c>
      <c r="D36" s="11">
        <v>1.625</v>
      </c>
      <c r="E36" s="12">
        <f t="shared" si="1"/>
        <v>0</v>
      </c>
      <c r="F36" s="84"/>
      <c r="G36" s="85"/>
      <c r="H36" s="85"/>
      <c r="I36" s="85"/>
      <c r="J36" s="86"/>
    </row>
    <row r="37" spans="2:10" ht="18" customHeight="1" x14ac:dyDescent="0.4">
      <c r="B37" s="97" t="s">
        <v>101</v>
      </c>
      <c r="C37" s="10" t="s">
        <v>41</v>
      </c>
      <c r="D37" s="13">
        <v>13</v>
      </c>
      <c r="E37" s="19">
        <f t="shared" si="1"/>
        <v>0</v>
      </c>
      <c r="F37" s="77" t="s">
        <v>160</v>
      </c>
      <c r="G37" s="77"/>
      <c r="H37" s="77"/>
      <c r="I37" s="77"/>
      <c r="J37" s="78"/>
    </row>
    <row r="38" spans="2:10" ht="18" customHeight="1" x14ac:dyDescent="0.4">
      <c r="B38" s="98"/>
      <c r="C38" s="10" t="s">
        <v>60</v>
      </c>
      <c r="D38" s="11">
        <v>0.32500000000000001</v>
      </c>
      <c r="E38" s="19">
        <f t="shared" si="1"/>
        <v>0</v>
      </c>
      <c r="F38" s="77" t="s">
        <v>155</v>
      </c>
      <c r="G38" s="77"/>
      <c r="H38" s="77"/>
      <c r="I38" s="77"/>
      <c r="J38" s="78"/>
    </row>
    <row r="39" spans="2:10" ht="18" customHeight="1" x14ac:dyDescent="0.4">
      <c r="B39" s="98"/>
      <c r="C39" s="10" t="s">
        <v>63</v>
      </c>
      <c r="D39" s="11">
        <v>0.32500000000000001</v>
      </c>
      <c r="E39" s="19">
        <f t="shared" si="1"/>
        <v>0</v>
      </c>
      <c r="F39" s="77" t="s">
        <v>155</v>
      </c>
      <c r="G39" s="77"/>
      <c r="H39" s="77"/>
      <c r="I39" s="77"/>
      <c r="J39" s="78"/>
    </row>
    <row r="40" spans="2:10" ht="18" customHeight="1" x14ac:dyDescent="0.4">
      <c r="B40" s="98"/>
      <c r="C40" s="10" t="s">
        <v>80</v>
      </c>
      <c r="D40" s="11">
        <v>1.3</v>
      </c>
      <c r="E40" s="19">
        <f t="shared" si="1"/>
        <v>0</v>
      </c>
      <c r="F40" s="77" t="s">
        <v>155</v>
      </c>
      <c r="G40" s="77"/>
      <c r="H40" s="77"/>
      <c r="I40" s="77"/>
      <c r="J40" s="78"/>
    </row>
    <row r="41" spans="2:10" ht="18" customHeight="1" x14ac:dyDescent="0.4">
      <c r="B41" s="98"/>
      <c r="C41" s="10" t="s">
        <v>161</v>
      </c>
      <c r="D41" s="13">
        <v>1.9500000000000002</v>
      </c>
      <c r="E41" s="19">
        <f t="shared" si="1"/>
        <v>0</v>
      </c>
      <c r="F41" s="77" t="s">
        <v>155</v>
      </c>
      <c r="G41" s="77"/>
      <c r="H41" s="77"/>
      <c r="I41" s="77"/>
      <c r="J41" s="78"/>
    </row>
    <row r="42" spans="2:10" ht="18" customHeight="1" x14ac:dyDescent="0.4">
      <c r="B42" s="118" t="s">
        <v>162</v>
      </c>
      <c r="C42" s="10" t="s">
        <v>31</v>
      </c>
      <c r="D42" s="13">
        <v>26</v>
      </c>
      <c r="E42" s="12">
        <f t="shared" si="1"/>
        <v>0</v>
      </c>
      <c r="F42" s="77" t="s">
        <v>163</v>
      </c>
      <c r="G42" s="77"/>
      <c r="H42" s="77"/>
      <c r="I42" s="77"/>
      <c r="J42" s="78"/>
    </row>
    <row r="43" spans="2:10" ht="18" customHeight="1" x14ac:dyDescent="0.4">
      <c r="B43" s="119"/>
      <c r="C43" s="10" t="s">
        <v>55</v>
      </c>
      <c r="D43" s="11">
        <v>9.75</v>
      </c>
      <c r="E43" s="12">
        <f t="shared" si="1"/>
        <v>0</v>
      </c>
      <c r="F43" s="77" t="s">
        <v>155</v>
      </c>
      <c r="G43" s="77"/>
      <c r="H43" s="77"/>
      <c r="I43" s="77"/>
      <c r="J43" s="78"/>
    </row>
    <row r="44" spans="2:10" ht="18" customHeight="1" x14ac:dyDescent="0.4">
      <c r="B44" s="119"/>
      <c r="C44" s="10" t="s">
        <v>13</v>
      </c>
      <c r="D44" s="11">
        <v>2.6</v>
      </c>
      <c r="E44" s="12">
        <f t="shared" si="1"/>
        <v>0</v>
      </c>
      <c r="F44" s="77" t="s">
        <v>155</v>
      </c>
      <c r="G44" s="77"/>
      <c r="H44" s="77"/>
      <c r="I44" s="77"/>
      <c r="J44" s="78"/>
    </row>
    <row r="45" spans="2:10" ht="18" customHeight="1" x14ac:dyDescent="0.4">
      <c r="B45" s="119"/>
      <c r="C45" s="10" t="s">
        <v>24</v>
      </c>
      <c r="D45" s="11">
        <v>1.3</v>
      </c>
      <c r="E45" s="12">
        <f t="shared" si="1"/>
        <v>0</v>
      </c>
      <c r="F45" s="77" t="s">
        <v>155</v>
      </c>
      <c r="G45" s="77"/>
      <c r="H45" s="77"/>
      <c r="I45" s="77"/>
      <c r="J45" s="78"/>
    </row>
    <row r="46" spans="2:10" ht="18" customHeight="1" x14ac:dyDescent="0.4">
      <c r="B46" s="119"/>
      <c r="C46" s="10" t="s">
        <v>14</v>
      </c>
      <c r="D46" s="11">
        <v>0.65</v>
      </c>
      <c r="E46" s="12">
        <f t="shared" si="1"/>
        <v>0</v>
      </c>
      <c r="F46" s="77" t="s">
        <v>155</v>
      </c>
      <c r="G46" s="77"/>
      <c r="H46" s="77"/>
      <c r="I46" s="77"/>
      <c r="J46" s="78"/>
    </row>
    <row r="47" spans="2:10" ht="18" customHeight="1" x14ac:dyDescent="0.4">
      <c r="B47" s="119"/>
      <c r="C47" s="10" t="s">
        <v>22</v>
      </c>
      <c r="D47" s="11">
        <v>0.13</v>
      </c>
      <c r="E47" s="12">
        <f t="shared" si="1"/>
        <v>0</v>
      </c>
      <c r="F47" s="77" t="s">
        <v>155</v>
      </c>
      <c r="G47" s="77"/>
      <c r="H47" s="77"/>
      <c r="I47" s="77"/>
      <c r="J47" s="78"/>
    </row>
    <row r="48" spans="2:10" ht="18" customHeight="1" x14ac:dyDescent="0.4">
      <c r="B48" s="119"/>
      <c r="C48" s="10" t="s">
        <v>72</v>
      </c>
      <c r="D48" s="11">
        <v>0.65</v>
      </c>
      <c r="E48" s="12">
        <f t="shared" si="1"/>
        <v>0</v>
      </c>
      <c r="F48" s="77" t="s">
        <v>155</v>
      </c>
      <c r="G48" s="77"/>
      <c r="H48" s="77"/>
      <c r="I48" s="77"/>
      <c r="J48" s="78"/>
    </row>
    <row r="49" spans="2:10" ht="18" customHeight="1" x14ac:dyDescent="0.4">
      <c r="B49" s="120"/>
      <c r="C49" s="10" t="s">
        <v>60</v>
      </c>
      <c r="D49" s="11">
        <v>0.32500000000000001</v>
      </c>
      <c r="E49" s="12">
        <f t="shared" si="1"/>
        <v>0</v>
      </c>
      <c r="F49" s="77" t="s">
        <v>155</v>
      </c>
      <c r="G49" s="77"/>
      <c r="H49" s="77"/>
      <c r="I49" s="77"/>
      <c r="J49" s="78"/>
    </row>
    <row r="50" spans="2:10" ht="18" customHeight="1" x14ac:dyDescent="0.4">
      <c r="B50" s="74" t="s">
        <v>164</v>
      </c>
      <c r="C50" s="10" t="s">
        <v>53</v>
      </c>
      <c r="D50" s="11">
        <v>19.5</v>
      </c>
      <c r="E50" s="12">
        <f t="shared" si="1"/>
        <v>0</v>
      </c>
      <c r="F50" s="101" t="s">
        <v>165</v>
      </c>
      <c r="G50" s="101"/>
      <c r="H50" s="101"/>
      <c r="I50" s="101"/>
      <c r="J50" s="102"/>
    </row>
    <row r="51" spans="2:10" ht="18" customHeight="1" x14ac:dyDescent="0.4">
      <c r="B51" s="75"/>
      <c r="C51" s="10" t="s">
        <v>60</v>
      </c>
      <c r="D51" s="11">
        <v>0.32500000000000001</v>
      </c>
      <c r="E51" s="12">
        <f t="shared" si="1"/>
        <v>0</v>
      </c>
      <c r="F51" s="101"/>
      <c r="G51" s="101"/>
      <c r="H51" s="101"/>
      <c r="I51" s="101"/>
      <c r="J51" s="102"/>
    </row>
    <row r="52" spans="2:10" ht="18" customHeight="1" x14ac:dyDescent="0.4">
      <c r="B52" s="75"/>
      <c r="C52" s="10" t="s">
        <v>73</v>
      </c>
      <c r="D52" s="11">
        <v>0.65</v>
      </c>
      <c r="E52" s="12">
        <f t="shared" si="1"/>
        <v>0</v>
      </c>
      <c r="F52" s="101"/>
      <c r="G52" s="101"/>
      <c r="H52" s="101"/>
      <c r="I52" s="101"/>
      <c r="J52" s="102"/>
    </row>
    <row r="53" spans="2:10" ht="18" customHeight="1" x14ac:dyDescent="0.4">
      <c r="B53" s="75"/>
      <c r="C53" s="10" t="s">
        <v>63</v>
      </c>
      <c r="D53" s="11">
        <v>0.65</v>
      </c>
      <c r="E53" s="12">
        <f t="shared" si="1"/>
        <v>0</v>
      </c>
      <c r="F53" s="101"/>
      <c r="G53" s="101"/>
      <c r="H53" s="101"/>
      <c r="I53" s="101"/>
      <c r="J53" s="102"/>
    </row>
    <row r="54" spans="2:10" ht="18" customHeight="1" x14ac:dyDescent="0.4">
      <c r="B54" s="75"/>
      <c r="C54" s="10" t="s">
        <v>64</v>
      </c>
      <c r="D54" s="11">
        <v>0.13</v>
      </c>
      <c r="E54" s="12">
        <f t="shared" si="1"/>
        <v>0</v>
      </c>
      <c r="F54" s="101"/>
      <c r="G54" s="101"/>
      <c r="H54" s="101"/>
      <c r="I54" s="101"/>
      <c r="J54" s="102"/>
    </row>
    <row r="55" spans="2:10" ht="18" customHeight="1" x14ac:dyDescent="0.4">
      <c r="B55" s="76"/>
      <c r="C55" s="10" t="s">
        <v>14</v>
      </c>
      <c r="D55" s="11">
        <v>0.32500000000000001</v>
      </c>
      <c r="E55" s="12">
        <f t="shared" si="1"/>
        <v>0</v>
      </c>
      <c r="F55" s="101"/>
      <c r="G55" s="101"/>
      <c r="H55" s="101"/>
      <c r="I55" s="101"/>
      <c r="J55" s="102"/>
    </row>
    <row r="56" spans="2:10" ht="18" customHeight="1" thickBot="1" x14ac:dyDescent="0.45">
      <c r="B56" s="15" t="s">
        <v>65</v>
      </c>
      <c r="C56" s="16" t="s">
        <v>66</v>
      </c>
      <c r="D56" s="17">
        <v>13</v>
      </c>
      <c r="E56" s="18">
        <f t="shared" si="1"/>
        <v>0</v>
      </c>
      <c r="F56" s="103" t="s">
        <v>23</v>
      </c>
      <c r="G56" s="104"/>
      <c r="H56" s="104"/>
      <c r="I56" s="104"/>
      <c r="J56" s="105"/>
    </row>
    <row r="57" spans="2:10" ht="80.099999999999994" customHeight="1" thickTop="1" x14ac:dyDescent="0.4">
      <c r="B57" s="117"/>
      <c r="C57" s="117"/>
      <c r="D57" s="117"/>
      <c r="E57" s="117"/>
      <c r="F57" s="117"/>
      <c r="G57" s="117"/>
      <c r="H57" s="117"/>
      <c r="I57" s="117"/>
      <c r="J57" s="117"/>
    </row>
    <row r="58" spans="2:10" ht="18" thickBot="1" x14ac:dyDescent="0.45"/>
    <row r="59" spans="2:10" ht="21" customHeight="1" thickTop="1" x14ac:dyDescent="0.4">
      <c r="B59" s="58" t="s">
        <v>79</v>
      </c>
      <c r="C59" s="59"/>
      <c r="D59" s="59"/>
      <c r="E59" s="59"/>
      <c r="F59" s="59"/>
      <c r="G59" s="59"/>
      <c r="H59" s="59"/>
      <c r="I59" s="59"/>
      <c r="J59" s="60"/>
    </row>
    <row r="60" spans="2:10" ht="18" customHeight="1" x14ac:dyDescent="0.4">
      <c r="B60" s="61" t="s">
        <v>2</v>
      </c>
      <c r="C60" s="63" t="s">
        <v>3</v>
      </c>
      <c r="D60" s="7" t="s">
        <v>4</v>
      </c>
      <c r="E60" s="7" t="s">
        <v>5</v>
      </c>
      <c r="F60" s="65" t="s">
        <v>6</v>
      </c>
      <c r="G60" s="66"/>
      <c r="H60" s="66"/>
      <c r="I60" s="66"/>
      <c r="J60" s="67"/>
    </row>
    <row r="61" spans="2:10" ht="18" customHeight="1" x14ac:dyDescent="0.4">
      <c r="B61" s="62"/>
      <c r="C61" s="64"/>
      <c r="D61" s="8" t="s">
        <v>1</v>
      </c>
      <c r="E61" s="9" t="s">
        <v>1</v>
      </c>
      <c r="F61" s="68"/>
      <c r="G61" s="69"/>
      <c r="H61" s="69"/>
      <c r="I61" s="69"/>
      <c r="J61" s="70"/>
    </row>
    <row r="62" spans="2:10" ht="18" customHeight="1" x14ac:dyDescent="0.4">
      <c r="B62" s="79" t="s">
        <v>97</v>
      </c>
      <c r="C62" s="20" t="s">
        <v>7</v>
      </c>
      <c r="D62" s="11">
        <v>32.5</v>
      </c>
      <c r="E62" s="12">
        <f t="shared" ref="E62:E88" si="2">D62*D$2</f>
        <v>0</v>
      </c>
      <c r="F62" s="81" t="s">
        <v>166</v>
      </c>
      <c r="G62" s="82"/>
      <c r="H62" s="82"/>
      <c r="I62" s="82"/>
      <c r="J62" s="83"/>
    </row>
    <row r="63" spans="2:10" ht="18" customHeight="1" x14ac:dyDescent="0.4">
      <c r="B63" s="80"/>
      <c r="C63" s="20" t="s">
        <v>167</v>
      </c>
      <c r="D63" s="11">
        <v>1.625</v>
      </c>
      <c r="E63" s="12">
        <f t="shared" si="2"/>
        <v>0</v>
      </c>
      <c r="F63" s="84"/>
      <c r="G63" s="85"/>
      <c r="H63" s="85"/>
      <c r="I63" s="85"/>
      <c r="J63" s="86"/>
    </row>
    <row r="64" spans="2:10" ht="18" customHeight="1" x14ac:dyDescent="0.4">
      <c r="B64" s="79" t="s">
        <v>168</v>
      </c>
      <c r="C64" s="21" t="s">
        <v>169</v>
      </c>
      <c r="D64" s="11">
        <v>4.55</v>
      </c>
      <c r="E64" s="12">
        <f t="shared" si="2"/>
        <v>0</v>
      </c>
      <c r="F64" s="88" t="s">
        <v>170</v>
      </c>
      <c r="G64" s="89"/>
      <c r="H64" s="89"/>
      <c r="I64" s="89"/>
      <c r="J64" s="90"/>
    </row>
    <row r="65" spans="2:10" ht="18" customHeight="1" x14ac:dyDescent="0.4">
      <c r="B65" s="87"/>
      <c r="C65" s="21" t="s">
        <v>41</v>
      </c>
      <c r="D65" s="11">
        <v>6.5</v>
      </c>
      <c r="E65" s="12">
        <f t="shared" si="2"/>
        <v>0</v>
      </c>
      <c r="F65" s="91"/>
      <c r="G65" s="92"/>
      <c r="H65" s="92"/>
      <c r="I65" s="92"/>
      <c r="J65" s="93"/>
    </row>
    <row r="66" spans="2:10" ht="18" customHeight="1" x14ac:dyDescent="0.4">
      <c r="B66" s="87"/>
      <c r="C66" s="21" t="s">
        <v>72</v>
      </c>
      <c r="D66" s="11">
        <v>0.65</v>
      </c>
      <c r="E66" s="12">
        <f t="shared" si="2"/>
        <v>0</v>
      </c>
      <c r="F66" s="91"/>
      <c r="G66" s="92"/>
      <c r="H66" s="92"/>
      <c r="I66" s="92"/>
      <c r="J66" s="93"/>
    </row>
    <row r="67" spans="2:10" ht="18" customHeight="1" x14ac:dyDescent="0.4">
      <c r="B67" s="87"/>
      <c r="C67" s="21" t="s">
        <v>60</v>
      </c>
      <c r="D67" s="11">
        <v>0.32500000000000001</v>
      </c>
      <c r="E67" s="12">
        <f t="shared" si="2"/>
        <v>0</v>
      </c>
      <c r="F67" s="91"/>
      <c r="G67" s="92"/>
      <c r="H67" s="92"/>
      <c r="I67" s="92"/>
      <c r="J67" s="93"/>
    </row>
    <row r="68" spans="2:10" ht="18" customHeight="1" x14ac:dyDescent="0.4">
      <c r="B68" s="87"/>
      <c r="C68" s="21" t="s">
        <v>63</v>
      </c>
      <c r="D68" s="11">
        <v>0.65</v>
      </c>
      <c r="E68" s="12">
        <f t="shared" si="2"/>
        <v>0</v>
      </c>
      <c r="F68" s="91"/>
      <c r="G68" s="92"/>
      <c r="H68" s="92"/>
      <c r="I68" s="92"/>
      <c r="J68" s="93"/>
    </row>
    <row r="69" spans="2:10" ht="18" customHeight="1" x14ac:dyDescent="0.4">
      <c r="B69" s="80"/>
      <c r="C69" s="21" t="s">
        <v>14</v>
      </c>
      <c r="D69" s="11">
        <v>0.65</v>
      </c>
      <c r="E69" s="12">
        <f t="shared" si="2"/>
        <v>0</v>
      </c>
      <c r="F69" s="94"/>
      <c r="G69" s="95"/>
      <c r="H69" s="95"/>
      <c r="I69" s="95"/>
      <c r="J69" s="96"/>
    </row>
    <row r="70" spans="2:10" ht="18" customHeight="1" x14ac:dyDescent="0.4">
      <c r="B70" s="97" t="s">
        <v>140</v>
      </c>
      <c r="C70" s="10" t="s">
        <v>50</v>
      </c>
      <c r="D70" s="13">
        <v>26</v>
      </c>
      <c r="E70" s="12">
        <f t="shared" si="2"/>
        <v>0</v>
      </c>
      <c r="F70" s="77" t="s">
        <v>171</v>
      </c>
      <c r="G70" s="77"/>
      <c r="H70" s="77"/>
      <c r="I70" s="77"/>
      <c r="J70" s="78"/>
    </row>
    <row r="71" spans="2:10" ht="18" customHeight="1" x14ac:dyDescent="0.4">
      <c r="B71" s="98"/>
      <c r="C71" s="21" t="s">
        <v>9</v>
      </c>
      <c r="D71" s="11">
        <v>6.5</v>
      </c>
      <c r="E71" s="12">
        <f t="shared" si="2"/>
        <v>0</v>
      </c>
      <c r="F71" s="77" t="s">
        <v>155</v>
      </c>
      <c r="G71" s="77"/>
      <c r="H71" s="77"/>
      <c r="I71" s="77"/>
      <c r="J71" s="78"/>
    </row>
    <row r="72" spans="2:10" ht="18" customHeight="1" x14ac:dyDescent="0.4">
      <c r="B72" s="98"/>
      <c r="C72" s="21" t="s">
        <v>29</v>
      </c>
      <c r="D72" s="11">
        <v>6.5</v>
      </c>
      <c r="E72" s="12">
        <f t="shared" si="2"/>
        <v>0</v>
      </c>
      <c r="F72" s="77" t="s">
        <v>155</v>
      </c>
      <c r="G72" s="77"/>
      <c r="H72" s="77"/>
      <c r="I72" s="77"/>
      <c r="J72" s="78"/>
    </row>
    <row r="73" spans="2:10" ht="18" customHeight="1" x14ac:dyDescent="0.4">
      <c r="B73" s="98"/>
      <c r="C73" s="21" t="s">
        <v>15</v>
      </c>
      <c r="D73" s="11">
        <v>1.3</v>
      </c>
      <c r="E73" s="12">
        <f t="shared" si="2"/>
        <v>0</v>
      </c>
      <c r="F73" s="77" t="s">
        <v>155</v>
      </c>
      <c r="G73" s="77"/>
      <c r="H73" s="77"/>
      <c r="I73" s="77"/>
      <c r="J73" s="78"/>
    </row>
    <row r="74" spans="2:10" ht="18" customHeight="1" x14ac:dyDescent="0.4">
      <c r="B74" s="98"/>
      <c r="C74" s="21" t="s">
        <v>13</v>
      </c>
      <c r="D74" s="11">
        <v>3.25</v>
      </c>
      <c r="E74" s="12">
        <f t="shared" si="2"/>
        <v>0</v>
      </c>
      <c r="F74" s="77" t="s">
        <v>155</v>
      </c>
      <c r="G74" s="77"/>
      <c r="H74" s="77"/>
      <c r="I74" s="77"/>
      <c r="J74" s="78"/>
    </row>
    <row r="75" spans="2:10" ht="18" customHeight="1" x14ac:dyDescent="0.4">
      <c r="B75" s="98"/>
      <c r="C75" s="21" t="s">
        <v>51</v>
      </c>
      <c r="D75" s="13">
        <v>1.9500000000000002</v>
      </c>
      <c r="E75" s="12">
        <f t="shared" si="2"/>
        <v>0</v>
      </c>
      <c r="F75" s="77" t="s">
        <v>155</v>
      </c>
      <c r="G75" s="77"/>
      <c r="H75" s="77"/>
      <c r="I75" s="77"/>
      <c r="J75" s="78"/>
    </row>
    <row r="76" spans="2:10" ht="18" customHeight="1" x14ac:dyDescent="0.4">
      <c r="B76" s="98"/>
      <c r="C76" s="21" t="s">
        <v>60</v>
      </c>
      <c r="D76" s="11">
        <v>0.65</v>
      </c>
      <c r="E76" s="12">
        <f t="shared" si="2"/>
        <v>0</v>
      </c>
      <c r="F76" s="77" t="s">
        <v>155</v>
      </c>
      <c r="G76" s="77"/>
      <c r="H76" s="77"/>
      <c r="I76" s="77"/>
      <c r="J76" s="78"/>
    </row>
    <row r="77" spans="2:10" ht="18" customHeight="1" x14ac:dyDescent="0.4">
      <c r="B77" s="98"/>
      <c r="C77" s="21" t="s">
        <v>14</v>
      </c>
      <c r="D77" s="11">
        <v>0.32500000000000001</v>
      </c>
      <c r="E77" s="12">
        <f t="shared" si="2"/>
        <v>0</v>
      </c>
      <c r="F77" s="77" t="s">
        <v>155</v>
      </c>
      <c r="G77" s="77"/>
      <c r="H77" s="77"/>
      <c r="I77" s="77"/>
      <c r="J77" s="78"/>
    </row>
    <row r="78" spans="2:10" ht="18" customHeight="1" x14ac:dyDescent="0.4">
      <c r="B78" s="98"/>
      <c r="C78" s="21" t="s">
        <v>21</v>
      </c>
      <c r="D78" s="11">
        <v>0.32500000000000001</v>
      </c>
      <c r="E78" s="12">
        <f t="shared" si="2"/>
        <v>0</v>
      </c>
      <c r="F78" s="77" t="s">
        <v>155</v>
      </c>
      <c r="G78" s="77"/>
      <c r="H78" s="77"/>
      <c r="I78" s="77"/>
      <c r="J78" s="78"/>
    </row>
    <row r="79" spans="2:10" ht="18" customHeight="1" x14ac:dyDescent="0.4">
      <c r="B79" s="98"/>
      <c r="C79" s="21" t="s">
        <v>18</v>
      </c>
      <c r="D79" s="11">
        <v>0.13</v>
      </c>
      <c r="E79" s="12">
        <f t="shared" si="2"/>
        <v>0</v>
      </c>
      <c r="F79" s="77" t="s">
        <v>155</v>
      </c>
      <c r="G79" s="77"/>
      <c r="H79" s="77"/>
      <c r="I79" s="77"/>
      <c r="J79" s="78"/>
    </row>
    <row r="80" spans="2:10" ht="18" customHeight="1" x14ac:dyDescent="0.4">
      <c r="B80" s="99"/>
      <c r="C80" s="21" t="s">
        <v>19</v>
      </c>
      <c r="D80" s="11">
        <v>1.3</v>
      </c>
      <c r="E80" s="12">
        <f t="shared" si="2"/>
        <v>0</v>
      </c>
      <c r="F80" s="77" t="s">
        <v>155</v>
      </c>
      <c r="G80" s="77"/>
      <c r="H80" s="77"/>
      <c r="I80" s="77"/>
      <c r="J80" s="78"/>
    </row>
    <row r="81" spans="2:10" ht="18" customHeight="1" x14ac:dyDescent="0.4">
      <c r="B81" s="100" t="s">
        <v>172</v>
      </c>
      <c r="C81" s="10" t="s">
        <v>104</v>
      </c>
      <c r="D81" s="11">
        <v>16.25</v>
      </c>
      <c r="E81" s="12">
        <f t="shared" si="2"/>
        <v>0</v>
      </c>
      <c r="F81" s="101" t="s">
        <v>173</v>
      </c>
      <c r="G81" s="101"/>
      <c r="H81" s="101"/>
      <c r="I81" s="101"/>
      <c r="J81" s="102"/>
    </row>
    <row r="82" spans="2:10" ht="18" customHeight="1" x14ac:dyDescent="0.4">
      <c r="B82" s="100"/>
      <c r="C82" s="10" t="s">
        <v>17</v>
      </c>
      <c r="D82" s="11">
        <v>6.5</v>
      </c>
      <c r="E82" s="12">
        <f t="shared" si="2"/>
        <v>0</v>
      </c>
      <c r="F82" s="101"/>
      <c r="G82" s="101"/>
      <c r="H82" s="101"/>
      <c r="I82" s="101"/>
      <c r="J82" s="102"/>
    </row>
    <row r="83" spans="2:10" ht="18" customHeight="1" x14ac:dyDescent="0.4">
      <c r="B83" s="100"/>
      <c r="C83" s="10" t="s">
        <v>9</v>
      </c>
      <c r="D83" s="11">
        <v>3.25</v>
      </c>
      <c r="E83" s="12">
        <f t="shared" si="2"/>
        <v>0</v>
      </c>
      <c r="F83" s="101"/>
      <c r="G83" s="101"/>
      <c r="H83" s="101"/>
      <c r="I83" s="101"/>
      <c r="J83" s="102"/>
    </row>
    <row r="84" spans="2:10" ht="18" customHeight="1" x14ac:dyDescent="0.4">
      <c r="B84" s="100"/>
      <c r="C84" s="10" t="s">
        <v>11</v>
      </c>
      <c r="D84" s="11">
        <v>0.32500000000000001</v>
      </c>
      <c r="E84" s="12">
        <f t="shared" si="2"/>
        <v>0</v>
      </c>
      <c r="F84" s="101"/>
      <c r="G84" s="101"/>
      <c r="H84" s="101"/>
      <c r="I84" s="101"/>
      <c r="J84" s="102"/>
    </row>
    <row r="85" spans="2:10" ht="18" customHeight="1" x14ac:dyDescent="0.4">
      <c r="B85" s="100"/>
      <c r="C85" s="10" t="s">
        <v>21</v>
      </c>
      <c r="D85" s="11">
        <v>0.32500000000000001</v>
      </c>
      <c r="E85" s="12">
        <f t="shared" si="2"/>
        <v>0</v>
      </c>
      <c r="F85" s="101"/>
      <c r="G85" s="101"/>
      <c r="H85" s="101"/>
      <c r="I85" s="101"/>
      <c r="J85" s="102"/>
    </row>
    <row r="86" spans="2:10" ht="18" customHeight="1" x14ac:dyDescent="0.4">
      <c r="B86" s="100"/>
      <c r="C86" s="10" t="s">
        <v>22</v>
      </c>
      <c r="D86" s="11">
        <v>0.32500000000000001</v>
      </c>
      <c r="E86" s="12">
        <f t="shared" si="2"/>
        <v>0</v>
      </c>
      <c r="F86" s="101"/>
      <c r="G86" s="101"/>
      <c r="H86" s="101"/>
      <c r="I86" s="101"/>
      <c r="J86" s="102"/>
    </row>
    <row r="87" spans="2:10" ht="18" customHeight="1" x14ac:dyDescent="0.4">
      <c r="B87" s="100"/>
      <c r="C87" s="10" t="s">
        <v>19</v>
      </c>
      <c r="D87" s="11">
        <v>0.65</v>
      </c>
      <c r="E87" s="12">
        <f t="shared" si="2"/>
        <v>0</v>
      </c>
      <c r="F87" s="101"/>
      <c r="G87" s="101"/>
      <c r="H87" s="101"/>
      <c r="I87" s="101"/>
      <c r="J87" s="102"/>
    </row>
    <row r="88" spans="2:10" ht="18" customHeight="1" thickBot="1" x14ac:dyDescent="0.45">
      <c r="B88" s="15" t="s">
        <v>65</v>
      </c>
      <c r="C88" s="16" t="s">
        <v>66</v>
      </c>
      <c r="D88" s="17">
        <v>13</v>
      </c>
      <c r="E88" s="18">
        <f t="shared" si="2"/>
        <v>0</v>
      </c>
      <c r="F88" s="103" t="s">
        <v>23</v>
      </c>
      <c r="G88" s="104"/>
      <c r="H88" s="104"/>
      <c r="I88" s="104"/>
      <c r="J88" s="105"/>
    </row>
    <row r="89" spans="2:10" ht="80.099999999999994" customHeight="1" thickTop="1" x14ac:dyDescent="0.4">
      <c r="B89" s="57"/>
      <c r="C89" s="57"/>
      <c r="D89" s="57"/>
      <c r="E89" s="57"/>
      <c r="F89" s="57"/>
      <c r="G89" s="57"/>
      <c r="H89" s="57"/>
      <c r="I89" s="57"/>
      <c r="J89" s="57"/>
    </row>
    <row r="90" spans="2:10" ht="18" thickBot="1" x14ac:dyDescent="0.45"/>
    <row r="91" spans="2:10" ht="21" customHeight="1" thickTop="1" x14ac:dyDescent="0.4">
      <c r="B91" s="58" t="s">
        <v>83</v>
      </c>
      <c r="C91" s="59"/>
      <c r="D91" s="59"/>
      <c r="E91" s="59"/>
      <c r="F91" s="59"/>
      <c r="G91" s="59"/>
      <c r="H91" s="59"/>
      <c r="I91" s="59"/>
      <c r="J91" s="60"/>
    </row>
    <row r="92" spans="2:10" ht="18" customHeight="1" x14ac:dyDescent="0.4">
      <c r="B92" s="61" t="s">
        <v>2</v>
      </c>
      <c r="C92" s="63" t="s">
        <v>3</v>
      </c>
      <c r="D92" s="7" t="s">
        <v>4</v>
      </c>
      <c r="E92" s="7" t="s">
        <v>5</v>
      </c>
      <c r="F92" s="65" t="s">
        <v>6</v>
      </c>
      <c r="G92" s="66"/>
      <c r="H92" s="66"/>
      <c r="I92" s="66"/>
      <c r="J92" s="67"/>
    </row>
    <row r="93" spans="2:10" ht="18" customHeight="1" x14ac:dyDescent="0.4">
      <c r="B93" s="62"/>
      <c r="C93" s="64"/>
      <c r="D93" s="8" t="s">
        <v>1</v>
      </c>
      <c r="E93" s="9" t="s">
        <v>1</v>
      </c>
      <c r="F93" s="68"/>
      <c r="G93" s="69"/>
      <c r="H93" s="69"/>
      <c r="I93" s="69"/>
      <c r="J93" s="70"/>
    </row>
    <row r="94" spans="2:10" ht="18" customHeight="1" x14ac:dyDescent="0.4">
      <c r="B94" s="71" t="s">
        <v>67</v>
      </c>
      <c r="C94" s="10" t="s">
        <v>7</v>
      </c>
      <c r="D94" s="11">
        <v>32.5</v>
      </c>
      <c r="E94" s="12">
        <f t="shared" ref="E94:E116" si="3">D94*D$2</f>
        <v>0</v>
      </c>
      <c r="F94" s="72" t="s">
        <v>129</v>
      </c>
      <c r="G94" s="72"/>
      <c r="H94" s="72"/>
      <c r="I94" s="72"/>
      <c r="J94" s="73"/>
    </row>
    <row r="95" spans="2:10" ht="18" customHeight="1" x14ac:dyDescent="0.4">
      <c r="B95" s="71"/>
      <c r="C95" s="10" t="s">
        <v>68</v>
      </c>
      <c r="D95" s="11">
        <v>1.625</v>
      </c>
      <c r="E95" s="12">
        <f t="shared" si="3"/>
        <v>0</v>
      </c>
      <c r="F95" s="72"/>
      <c r="G95" s="72"/>
      <c r="H95" s="72"/>
      <c r="I95" s="72"/>
      <c r="J95" s="73"/>
    </row>
    <row r="96" spans="2:10" ht="18" customHeight="1" x14ac:dyDescent="0.4">
      <c r="B96" s="74" t="s">
        <v>144</v>
      </c>
      <c r="C96" s="10" t="s">
        <v>36</v>
      </c>
      <c r="D96" s="13">
        <v>13</v>
      </c>
      <c r="E96" s="12">
        <f t="shared" si="3"/>
        <v>0</v>
      </c>
      <c r="F96" s="77" t="s">
        <v>174</v>
      </c>
      <c r="G96" s="77"/>
      <c r="H96" s="77"/>
      <c r="I96" s="77"/>
      <c r="J96" s="78"/>
    </row>
    <row r="97" spans="2:10" ht="18" customHeight="1" x14ac:dyDescent="0.4">
      <c r="B97" s="75"/>
      <c r="C97" s="10" t="s">
        <v>15</v>
      </c>
      <c r="D97" s="11">
        <v>3.25</v>
      </c>
      <c r="E97" s="12">
        <f t="shared" si="3"/>
        <v>0</v>
      </c>
      <c r="F97" s="77" t="s">
        <v>155</v>
      </c>
      <c r="G97" s="77"/>
      <c r="H97" s="77"/>
      <c r="I97" s="77"/>
      <c r="J97" s="78"/>
    </row>
    <row r="98" spans="2:10" ht="18" customHeight="1" x14ac:dyDescent="0.4">
      <c r="B98" s="75"/>
      <c r="C98" s="10" t="s">
        <v>10</v>
      </c>
      <c r="D98" s="11">
        <v>1.3</v>
      </c>
      <c r="E98" s="12">
        <f t="shared" si="3"/>
        <v>0</v>
      </c>
      <c r="F98" s="77" t="s">
        <v>155</v>
      </c>
      <c r="G98" s="77"/>
      <c r="H98" s="77"/>
      <c r="I98" s="77"/>
      <c r="J98" s="78"/>
    </row>
    <row r="99" spans="2:10" ht="18" customHeight="1" x14ac:dyDescent="0.4">
      <c r="B99" s="75"/>
      <c r="C99" s="10" t="s">
        <v>12</v>
      </c>
      <c r="D99" s="11">
        <v>1.3</v>
      </c>
      <c r="E99" s="12">
        <f t="shared" si="3"/>
        <v>0</v>
      </c>
      <c r="F99" s="77" t="s">
        <v>155</v>
      </c>
      <c r="G99" s="77"/>
      <c r="H99" s="77"/>
      <c r="I99" s="77"/>
      <c r="J99" s="78"/>
    </row>
    <row r="100" spans="2:10" ht="18" customHeight="1" x14ac:dyDescent="0.4">
      <c r="B100" s="75"/>
      <c r="C100" s="10" t="s">
        <v>60</v>
      </c>
      <c r="D100" s="11">
        <v>0.32500000000000001</v>
      </c>
      <c r="E100" s="12">
        <f t="shared" si="3"/>
        <v>0</v>
      </c>
      <c r="F100" s="77" t="s">
        <v>155</v>
      </c>
      <c r="G100" s="77"/>
      <c r="H100" s="77"/>
      <c r="I100" s="77"/>
      <c r="J100" s="78"/>
    </row>
    <row r="101" spans="2:10" ht="18" customHeight="1" x14ac:dyDescent="0.4">
      <c r="B101" s="76"/>
      <c r="C101" s="10" t="s">
        <v>21</v>
      </c>
      <c r="D101" s="11">
        <v>0.32500000000000001</v>
      </c>
      <c r="E101" s="12">
        <f t="shared" si="3"/>
        <v>0</v>
      </c>
      <c r="F101" s="77" t="s">
        <v>155</v>
      </c>
      <c r="G101" s="77"/>
      <c r="H101" s="77"/>
      <c r="I101" s="77"/>
      <c r="J101" s="78"/>
    </row>
    <row r="102" spans="2:10" ht="18" customHeight="1" x14ac:dyDescent="0.4">
      <c r="B102" s="118" t="s">
        <v>175</v>
      </c>
      <c r="C102" s="2" t="s">
        <v>61</v>
      </c>
      <c r="D102" s="13">
        <v>26</v>
      </c>
      <c r="E102" s="12">
        <f t="shared" si="3"/>
        <v>0</v>
      </c>
      <c r="F102" s="77" t="s">
        <v>176</v>
      </c>
      <c r="G102" s="77"/>
      <c r="H102" s="77"/>
      <c r="I102" s="77"/>
      <c r="J102" s="78"/>
    </row>
    <row r="103" spans="2:10" ht="18" customHeight="1" x14ac:dyDescent="0.4">
      <c r="B103" s="119"/>
      <c r="C103" s="2" t="s">
        <v>84</v>
      </c>
      <c r="D103" s="11">
        <v>9.75</v>
      </c>
      <c r="E103" s="12">
        <f t="shared" si="3"/>
        <v>0</v>
      </c>
      <c r="F103" s="77" t="s">
        <v>155</v>
      </c>
      <c r="G103" s="77"/>
      <c r="H103" s="77"/>
      <c r="I103" s="77"/>
      <c r="J103" s="78"/>
    </row>
    <row r="104" spans="2:10" ht="18" customHeight="1" x14ac:dyDescent="0.4">
      <c r="B104" s="119"/>
      <c r="C104" s="2" t="s">
        <v>72</v>
      </c>
      <c r="D104" s="11">
        <v>1.3</v>
      </c>
      <c r="E104" s="12">
        <f t="shared" si="3"/>
        <v>0</v>
      </c>
      <c r="F104" s="77" t="s">
        <v>155</v>
      </c>
      <c r="G104" s="77"/>
      <c r="H104" s="77"/>
      <c r="I104" s="77"/>
      <c r="J104" s="78"/>
    </row>
    <row r="105" spans="2:10" ht="18" customHeight="1" x14ac:dyDescent="0.4">
      <c r="B105" s="119"/>
      <c r="C105" s="2" t="s">
        <v>60</v>
      </c>
      <c r="D105" s="11">
        <v>0.65</v>
      </c>
      <c r="E105" s="12">
        <f t="shared" si="3"/>
        <v>0</v>
      </c>
      <c r="F105" s="77" t="s">
        <v>155</v>
      </c>
      <c r="G105" s="77"/>
      <c r="H105" s="77"/>
      <c r="I105" s="77"/>
      <c r="J105" s="78"/>
    </row>
    <row r="106" spans="2:10" ht="18" customHeight="1" x14ac:dyDescent="0.4">
      <c r="B106" s="119"/>
      <c r="C106" s="2" t="s">
        <v>63</v>
      </c>
      <c r="D106" s="11">
        <v>3.25</v>
      </c>
      <c r="E106" s="12">
        <f t="shared" si="3"/>
        <v>0</v>
      </c>
      <c r="F106" s="77" t="s">
        <v>155</v>
      </c>
      <c r="G106" s="77"/>
      <c r="H106" s="77"/>
      <c r="I106" s="77"/>
      <c r="J106" s="78"/>
    </row>
    <row r="107" spans="2:10" ht="18" customHeight="1" x14ac:dyDescent="0.4">
      <c r="B107" s="119"/>
      <c r="C107" s="23" t="s">
        <v>78</v>
      </c>
      <c r="D107" s="11">
        <v>1.3</v>
      </c>
      <c r="E107" s="12">
        <f t="shared" si="3"/>
        <v>0</v>
      </c>
      <c r="F107" s="77" t="s">
        <v>155</v>
      </c>
      <c r="G107" s="77"/>
      <c r="H107" s="77"/>
      <c r="I107" s="77"/>
      <c r="J107" s="78"/>
    </row>
    <row r="108" spans="2:10" ht="18" customHeight="1" x14ac:dyDescent="0.4">
      <c r="B108" s="119"/>
      <c r="C108" s="23" t="s">
        <v>95</v>
      </c>
      <c r="D108" s="11">
        <v>1.3</v>
      </c>
      <c r="E108" s="12">
        <f t="shared" si="3"/>
        <v>0</v>
      </c>
      <c r="F108" s="77" t="s">
        <v>155</v>
      </c>
      <c r="G108" s="77"/>
      <c r="H108" s="77"/>
      <c r="I108" s="77"/>
      <c r="J108" s="78"/>
    </row>
    <row r="109" spans="2:10" ht="18" customHeight="1" x14ac:dyDescent="0.4">
      <c r="B109" s="119"/>
      <c r="C109" s="23" t="s">
        <v>177</v>
      </c>
      <c r="D109" s="13">
        <v>1.9500000000000002</v>
      </c>
      <c r="E109" s="12">
        <f t="shared" si="3"/>
        <v>0</v>
      </c>
      <c r="F109" s="77" t="s">
        <v>155</v>
      </c>
      <c r="G109" s="77"/>
      <c r="H109" s="77"/>
      <c r="I109" s="77"/>
      <c r="J109" s="78"/>
    </row>
    <row r="110" spans="2:10" ht="18" customHeight="1" x14ac:dyDescent="0.4">
      <c r="B110" s="120"/>
      <c r="C110" s="23" t="s">
        <v>77</v>
      </c>
      <c r="D110" s="13">
        <v>1.9500000000000002</v>
      </c>
      <c r="E110" s="12">
        <f t="shared" si="3"/>
        <v>0</v>
      </c>
      <c r="F110" s="77" t="s">
        <v>155</v>
      </c>
      <c r="G110" s="77"/>
      <c r="H110" s="77"/>
      <c r="I110" s="77"/>
      <c r="J110" s="78"/>
    </row>
    <row r="111" spans="2:10" ht="18" customHeight="1" x14ac:dyDescent="0.4">
      <c r="B111" s="74" t="s">
        <v>178</v>
      </c>
      <c r="C111" s="10" t="s">
        <v>41</v>
      </c>
      <c r="D111" s="11">
        <v>19.5</v>
      </c>
      <c r="E111" s="12">
        <f t="shared" si="3"/>
        <v>0</v>
      </c>
      <c r="F111" s="88" t="s">
        <v>179</v>
      </c>
      <c r="G111" s="89"/>
      <c r="H111" s="89"/>
      <c r="I111" s="89"/>
      <c r="J111" s="90"/>
    </row>
    <row r="112" spans="2:10" ht="18" customHeight="1" x14ac:dyDescent="0.4">
      <c r="B112" s="75"/>
      <c r="C112" s="10" t="s">
        <v>60</v>
      </c>
      <c r="D112" s="11">
        <v>0.65</v>
      </c>
      <c r="E112" s="12">
        <f t="shared" si="3"/>
        <v>0</v>
      </c>
      <c r="F112" s="91"/>
      <c r="G112" s="92"/>
      <c r="H112" s="92"/>
      <c r="I112" s="92"/>
      <c r="J112" s="93"/>
    </row>
    <row r="113" spans="2:10" ht="18" customHeight="1" x14ac:dyDescent="0.4">
      <c r="B113" s="75"/>
      <c r="C113" s="10" t="s">
        <v>21</v>
      </c>
      <c r="D113" s="11">
        <v>0.32500000000000001</v>
      </c>
      <c r="E113" s="12">
        <f t="shared" si="3"/>
        <v>0</v>
      </c>
      <c r="F113" s="91"/>
      <c r="G113" s="92"/>
      <c r="H113" s="92"/>
      <c r="I113" s="92"/>
      <c r="J113" s="93"/>
    </row>
    <row r="114" spans="2:10" ht="18" customHeight="1" x14ac:dyDescent="0.4">
      <c r="B114" s="75"/>
      <c r="C114" s="10" t="s">
        <v>44</v>
      </c>
      <c r="D114" s="11">
        <v>1.3</v>
      </c>
      <c r="E114" s="12">
        <f t="shared" si="3"/>
        <v>0</v>
      </c>
      <c r="F114" s="91"/>
      <c r="G114" s="92"/>
      <c r="H114" s="92"/>
      <c r="I114" s="92"/>
      <c r="J114" s="93"/>
    </row>
    <row r="115" spans="2:10" ht="18" customHeight="1" x14ac:dyDescent="0.4">
      <c r="B115" s="76"/>
      <c r="C115" s="10" t="s">
        <v>22</v>
      </c>
      <c r="D115" s="11">
        <v>0.13</v>
      </c>
      <c r="E115" s="12">
        <f t="shared" si="3"/>
        <v>0</v>
      </c>
      <c r="F115" s="94"/>
      <c r="G115" s="95"/>
      <c r="H115" s="95"/>
      <c r="I115" s="95"/>
      <c r="J115" s="96"/>
    </row>
    <row r="116" spans="2:10" ht="18" customHeight="1" thickBot="1" x14ac:dyDescent="0.45">
      <c r="B116" s="15" t="s">
        <v>65</v>
      </c>
      <c r="C116" s="16" t="s">
        <v>66</v>
      </c>
      <c r="D116" s="17">
        <v>13</v>
      </c>
      <c r="E116" s="18">
        <f t="shared" si="3"/>
        <v>0</v>
      </c>
      <c r="F116" s="103" t="s">
        <v>23</v>
      </c>
      <c r="G116" s="104"/>
      <c r="H116" s="104"/>
      <c r="I116" s="104"/>
      <c r="J116" s="105"/>
    </row>
    <row r="117" spans="2:10" ht="80.099999999999994" customHeight="1" thickTop="1" x14ac:dyDescent="0.4">
      <c r="B117" s="57"/>
      <c r="C117" s="57"/>
      <c r="D117" s="57"/>
      <c r="E117" s="57"/>
      <c r="F117" s="57"/>
      <c r="G117" s="57"/>
      <c r="H117" s="57"/>
      <c r="I117" s="57"/>
      <c r="J117" s="57"/>
    </row>
    <row r="118" spans="2:10" ht="18" thickBot="1" x14ac:dyDescent="0.45"/>
    <row r="119" spans="2:10" ht="21" customHeight="1" thickTop="1" x14ac:dyDescent="0.4">
      <c r="B119" s="58" t="s">
        <v>85</v>
      </c>
      <c r="C119" s="59"/>
      <c r="D119" s="59"/>
      <c r="E119" s="59"/>
      <c r="F119" s="59"/>
      <c r="G119" s="59"/>
      <c r="H119" s="59"/>
      <c r="I119" s="59"/>
      <c r="J119" s="60"/>
    </row>
    <row r="120" spans="2:10" ht="18" customHeight="1" x14ac:dyDescent="0.4">
      <c r="B120" s="123" t="s">
        <v>2</v>
      </c>
      <c r="C120" s="124" t="s">
        <v>3</v>
      </c>
      <c r="D120" s="24" t="s">
        <v>4</v>
      </c>
      <c r="E120" s="24" t="s">
        <v>5</v>
      </c>
      <c r="F120" s="65" t="s">
        <v>6</v>
      </c>
      <c r="G120" s="66"/>
      <c r="H120" s="66"/>
      <c r="I120" s="66"/>
      <c r="J120" s="67"/>
    </row>
    <row r="121" spans="2:10" ht="18" customHeight="1" x14ac:dyDescent="0.4">
      <c r="B121" s="123"/>
      <c r="C121" s="124"/>
      <c r="D121" s="8" t="s">
        <v>1</v>
      </c>
      <c r="E121" s="25" t="s">
        <v>1</v>
      </c>
      <c r="F121" s="68"/>
      <c r="G121" s="69"/>
      <c r="H121" s="69"/>
      <c r="I121" s="69"/>
      <c r="J121" s="70"/>
    </row>
    <row r="122" spans="2:10" ht="18" customHeight="1" x14ac:dyDescent="0.4">
      <c r="B122" s="22" t="s">
        <v>56</v>
      </c>
      <c r="C122" s="10" t="s">
        <v>7</v>
      </c>
      <c r="D122" s="11">
        <v>35.75</v>
      </c>
      <c r="E122" s="12">
        <f t="shared" ref="E122:E144" si="4">D122*D$2</f>
        <v>0</v>
      </c>
      <c r="F122" s="125" t="s">
        <v>43</v>
      </c>
      <c r="G122" s="125"/>
      <c r="H122" s="125"/>
      <c r="I122" s="125"/>
      <c r="J122" s="126"/>
    </row>
    <row r="123" spans="2:10" ht="18" customHeight="1" x14ac:dyDescent="0.4">
      <c r="B123" s="79" t="s">
        <v>180</v>
      </c>
      <c r="C123" s="10" t="s">
        <v>136</v>
      </c>
      <c r="D123" s="13">
        <v>13</v>
      </c>
      <c r="E123" s="12">
        <f t="shared" si="4"/>
        <v>0</v>
      </c>
      <c r="F123" s="77" t="s">
        <v>181</v>
      </c>
      <c r="G123" s="77"/>
      <c r="H123" s="77"/>
      <c r="I123" s="77"/>
      <c r="J123" s="78"/>
    </row>
    <row r="124" spans="2:10" ht="18" customHeight="1" x14ac:dyDescent="0.4">
      <c r="B124" s="87"/>
      <c r="C124" s="10" t="s">
        <v>71</v>
      </c>
      <c r="D124" s="11">
        <v>3.25</v>
      </c>
      <c r="E124" s="12">
        <f t="shared" si="4"/>
        <v>0</v>
      </c>
      <c r="F124" s="77" t="s">
        <v>155</v>
      </c>
      <c r="G124" s="77"/>
      <c r="H124" s="77"/>
      <c r="I124" s="77"/>
      <c r="J124" s="78"/>
    </row>
    <row r="125" spans="2:10" ht="18" customHeight="1" x14ac:dyDescent="0.4">
      <c r="B125" s="87"/>
      <c r="C125" s="10" t="s">
        <v>139</v>
      </c>
      <c r="D125" s="13">
        <v>1.9500000000000002</v>
      </c>
      <c r="E125" s="12">
        <f t="shared" si="4"/>
        <v>0</v>
      </c>
      <c r="F125" s="77" t="s">
        <v>155</v>
      </c>
      <c r="G125" s="77"/>
      <c r="H125" s="77"/>
      <c r="I125" s="77"/>
      <c r="J125" s="78"/>
    </row>
    <row r="126" spans="2:10" ht="18" customHeight="1" x14ac:dyDescent="0.4">
      <c r="B126" s="87"/>
      <c r="C126" s="10" t="s">
        <v>12</v>
      </c>
      <c r="D126" s="11">
        <v>1.3</v>
      </c>
      <c r="E126" s="12">
        <f t="shared" si="4"/>
        <v>0</v>
      </c>
      <c r="F126" s="77" t="s">
        <v>155</v>
      </c>
      <c r="G126" s="77"/>
      <c r="H126" s="77"/>
      <c r="I126" s="77"/>
      <c r="J126" s="78"/>
    </row>
    <row r="127" spans="2:10" ht="18" customHeight="1" x14ac:dyDescent="0.4">
      <c r="B127" s="87"/>
      <c r="C127" s="10" t="s">
        <v>80</v>
      </c>
      <c r="D127" s="11">
        <v>1.3</v>
      </c>
      <c r="E127" s="12">
        <f t="shared" si="4"/>
        <v>0</v>
      </c>
      <c r="F127" s="77" t="s">
        <v>155</v>
      </c>
      <c r="G127" s="77"/>
      <c r="H127" s="77"/>
      <c r="I127" s="77"/>
      <c r="J127" s="78"/>
    </row>
    <row r="128" spans="2:10" ht="18" customHeight="1" x14ac:dyDescent="0.4">
      <c r="B128" s="87"/>
      <c r="C128" s="10" t="s">
        <v>72</v>
      </c>
      <c r="D128" s="11">
        <v>1.3</v>
      </c>
      <c r="E128" s="12">
        <f t="shared" si="4"/>
        <v>0</v>
      </c>
      <c r="F128" s="77" t="s">
        <v>155</v>
      </c>
      <c r="G128" s="77"/>
      <c r="H128" s="77"/>
      <c r="I128" s="77"/>
      <c r="J128" s="78"/>
    </row>
    <row r="129" spans="2:10" ht="18" customHeight="1" x14ac:dyDescent="0.4">
      <c r="B129" s="80"/>
      <c r="C129" s="10" t="s">
        <v>60</v>
      </c>
      <c r="D129" s="11">
        <v>0.65</v>
      </c>
      <c r="E129" s="12">
        <f t="shared" si="4"/>
        <v>0</v>
      </c>
      <c r="F129" s="77" t="s">
        <v>155</v>
      </c>
      <c r="G129" s="77"/>
      <c r="H129" s="77"/>
      <c r="I129" s="77"/>
      <c r="J129" s="78"/>
    </row>
    <row r="130" spans="2:10" ht="18" customHeight="1" x14ac:dyDescent="0.4">
      <c r="B130" s="71" t="s">
        <v>182</v>
      </c>
      <c r="C130" s="10" t="s">
        <v>50</v>
      </c>
      <c r="D130" s="13">
        <v>26</v>
      </c>
      <c r="E130" s="12">
        <f t="shared" si="4"/>
        <v>0</v>
      </c>
      <c r="F130" s="88" t="s">
        <v>183</v>
      </c>
      <c r="G130" s="89"/>
      <c r="H130" s="89"/>
      <c r="I130" s="89"/>
      <c r="J130" s="90"/>
    </row>
    <row r="131" spans="2:10" ht="18" customHeight="1" x14ac:dyDescent="0.4">
      <c r="B131" s="71"/>
      <c r="C131" s="10" t="s">
        <v>89</v>
      </c>
      <c r="D131" s="11">
        <v>6.5</v>
      </c>
      <c r="E131" s="12">
        <f t="shared" si="4"/>
        <v>0</v>
      </c>
      <c r="F131" s="91"/>
      <c r="G131" s="92"/>
      <c r="H131" s="92"/>
      <c r="I131" s="92"/>
      <c r="J131" s="93"/>
    </row>
    <row r="132" spans="2:10" ht="18" customHeight="1" x14ac:dyDescent="0.4">
      <c r="B132" s="71"/>
      <c r="C132" s="10" t="s">
        <v>71</v>
      </c>
      <c r="D132" s="11">
        <v>3.25</v>
      </c>
      <c r="E132" s="12">
        <f t="shared" si="4"/>
        <v>0</v>
      </c>
      <c r="F132" s="91"/>
      <c r="G132" s="92"/>
      <c r="H132" s="92"/>
      <c r="I132" s="92"/>
      <c r="J132" s="93"/>
    </row>
    <row r="133" spans="2:10" ht="18" customHeight="1" x14ac:dyDescent="0.4">
      <c r="B133" s="71"/>
      <c r="C133" s="10" t="s">
        <v>72</v>
      </c>
      <c r="D133" s="11">
        <v>0.65</v>
      </c>
      <c r="E133" s="12">
        <f t="shared" si="4"/>
        <v>0</v>
      </c>
      <c r="F133" s="91"/>
      <c r="G133" s="92"/>
      <c r="H133" s="92"/>
      <c r="I133" s="92"/>
      <c r="J133" s="93"/>
    </row>
    <row r="134" spans="2:10" ht="18" customHeight="1" x14ac:dyDescent="0.4">
      <c r="B134" s="71"/>
      <c r="C134" s="10" t="s">
        <v>63</v>
      </c>
      <c r="D134" s="11">
        <v>2.6</v>
      </c>
      <c r="E134" s="12">
        <f t="shared" si="4"/>
        <v>0</v>
      </c>
      <c r="F134" s="91"/>
      <c r="G134" s="92"/>
      <c r="H134" s="92"/>
      <c r="I134" s="92"/>
      <c r="J134" s="93"/>
    </row>
    <row r="135" spans="2:10" ht="18" customHeight="1" x14ac:dyDescent="0.4">
      <c r="B135" s="71"/>
      <c r="C135" s="10" t="s">
        <v>82</v>
      </c>
      <c r="D135" s="11">
        <v>1.3</v>
      </c>
      <c r="E135" s="12">
        <f t="shared" si="4"/>
        <v>0</v>
      </c>
      <c r="F135" s="91"/>
      <c r="G135" s="92"/>
      <c r="H135" s="92"/>
      <c r="I135" s="92"/>
      <c r="J135" s="93"/>
    </row>
    <row r="136" spans="2:10" ht="18" customHeight="1" x14ac:dyDescent="0.4">
      <c r="B136" s="71"/>
      <c r="C136" s="10" t="s">
        <v>75</v>
      </c>
      <c r="D136" s="11">
        <v>0.19500000000000001</v>
      </c>
      <c r="E136" s="12">
        <f t="shared" si="4"/>
        <v>0</v>
      </c>
      <c r="F136" s="91"/>
      <c r="G136" s="92"/>
      <c r="H136" s="92"/>
      <c r="I136" s="92"/>
      <c r="J136" s="93"/>
    </row>
    <row r="137" spans="2:10" ht="18" customHeight="1" x14ac:dyDescent="0.4">
      <c r="B137" s="71"/>
      <c r="C137" s="10" t="s">
        <v>60</v>
      </c>
      <c r="D137" s="11">
        <v>6.5000000000000002E-2</v>
      </c>
      <c r="E137" s="12">
        <f t="shared" si="4"/>
        <v>0</v>
      </c>
      <c r="F137" s="91"/>
      <c r="G137" s="92"/>
      <c r="H137" s="92"/>
      <c r="I137" s="92"/>
      <c r="J137" s="93"/>
    </row>
    <row r="138" spans="2:10" ht="18" customHeight="1" x14ac:dyDescent="0.4">
      <c r="B138" s="71"/>
      <c r="C138" s="10" t="s">
        <v>74</v>
      </c>
      <c r="D138" s="11">
        <v>0.65</v>
      </c>
      <c r="E138" s="12">
        <f t="shared" si="4"/>
        <v>0</v>
      </c>
      <c r="F138" s="91"/>
      <c r="G138" s="92"/>
      <c r="H138" s="92"/>
      <c r="I138" s="92"/>
      <c r="J138" s="93"/>
    </row>
    <row r="139" spans="2:10" ht="18" customHeight="1" x14ac:dyDescent="0.4">
      <c r="B139" s="74" t="s">
        <v>123</v>
      </c>
      <c r="C139" s="10" t="s">
        <v>42</v>
      </c>
      <c r="D139" s="11">
        <v>3.25</v>
      </c>
      <c r="E139" s="12">
        <f t="shared" si="4"/>
        <v>0</v>
      </c>
      <c r="F139" s="88" t="s">
        <v>124</v>
      </c>
      <c r="G139" s="89"/>
      <c r="H139" s="89"/>
      <c r="I139" s="89"/>
      <c r="J139" s="90"/>
    </row>
    <row r="140" spans="2:10" ht="18" customHeight="1" x14ac:dyDescent="0.4">
      <c r="B140" s="75"/>
      <c r="C140" s="10" t="s">
        <v>21</v>
      </c>
      <c r="D140" s="11">
        <v>0.13</v>
      </c>
      <c r="E140" s="12">
        <f t="shared" si="4"/>
        <v>0</v>
      </c>
      <c r="F140" s="91"/>
      <c r="G140" s="92"/>
      <c r="H140" s="92"/>
      <c r="I140" s="92"/>
      <c r="J140" s="93"/>
    </row>
    <row r="141" spans="2:10" ht="18" customHeight="1" x14ac:dyDescent="0.4">
      <c r="B141" s="75"/>
      <c r="C141" s="10" t="s">
        <v>24</v>
      </c>
      <c r="D141" s="11">
        <v>0.13</v>
      </c>
      <c r="E141" s="12">
        <f t="shared" si="4"/>
        <v>0</v>
      </c>
      <c r="F141" s="91"/>
      <c r="G141" s="92"/>
      <c r="H141" s="92"/>
      <c r="I141" s="92"/>
      <c r="J141" s="93"/>
    </row>
    <row r="142" spans="2:10" ht="18" customHeight="1" x14ac:dyDescent="0.4">
      <c r="B142" s="75"/>
      <c r="C142" s="10" t="s">
        <v>14</v>
      </c>
      <c r="D142" s="11">
        <v>0.65</v>
      </c>
      <c r="E142" s="12">
        <f t="shared" si="4"/>
        <v>0</v>
      </c>
      <c r="F142" s="91"/>
      <c r="G142" s="92"/>
      <c r="H142" s="92"/>
      <c r="I142" s="92"/>
      <c r="J142" s="93"/>
    </row>
    <row r="143" spans="2:10" ht="18" customHeight="1" x14ac:dyDescent="0.4">
      <c r="B143" s="76"/>
      <c r="C143" s="10" t="s">
        <v>22</v>
      </c>
      <c r="D143" s="11">
        <v>0.13</v>
      </c>
      <c r="E143" s="12">
        <f t="shared" si="4"/>
        <v>0</v>
      </c>
      <c r="F143" s="94"/>
      <c r="G143" s="95"/>
      <c r="H143" s="95"/>
      <c r="I143" s="95"/>
      <c r="J143" s="96"/>
    </row>
    <row r="144" spans="2:10" ht="18" customHeight="1" thickBot="1" x14ac:dyDescent="0.45">
      <c r="B144" s="15" t="s">
        <v>65</v>
      </c>
      <c r="C144" s="16" t="s">
        <v>66</v>
      </c>
      <c r="D144" s="17">
        <v>13</v>
      </c>
      <c r="E144" s="18">
        <f t="shared" si="4"/>
        <v>0</v>
      </c>
      <c r="F144" s="103" t="s">
        <v>23</v>
      </c>
      <c r="G144" s="104"/>
      <c r="H144" s="104"/>
      <c r="I144" s="104"/>
      <c r="J144" s="105"/>
    </row>
    <row r="145" spans="2:10" ht="80.099999999999994" customHeight="1" thickTop="1" x14ac:dyDescent="0.4">
      <c r="B145" s="57"/>
      <c r="C145" s="57"/>
      <c r="D145" s="57"/>
      <c r="E145" s="57"/>
      <c r="F145" s="57"/>
      <c r="G145" s="57"/>
      <c r="H145" s="57"/>
      <c r="I145" s="57"/>
      <c r="J145" s="57"/>
    </row>
  </sheetData>
  <mergeCells count="71">
    <mergeCell ref="B139:B143"/>
    <mergeCell ref="F139:J143"/>
    <mergeCell ref="F144:J144"/>
    <mergeCell ref="B145:J145"/>
    <mergeCell ref="F122:J122"/>
    <mergeCell ref="B123:B129"/>
    <mergeCell ref="F123:J129"/>
    <mergeCell ref="B130:B138"/>
    <mergeCell ref="F130:J138"/>
    <mergeCell ref="B117:J117"/>
    <mergeCell ref="B119:J119"/>
    <mergeCell ref="B120:B121"/>
    <mergeCell ref="C120:C121"/>
    <mergeCell ref="F120:J121"/>
    <mergeCell ref="B102:B110"/>
    <mergeCell ref="F102:J110"/>
    <mergeCell ref="B111:B115"/>
    <mergeCell ref="F111:J115"/>
    <mergeCell ref="F116:J116"/>
    <mergeCell ref="B50:B55"/>
    <mergeCell ref="F50:J55"/>
    <mergeCell ref="F56:J56"/>
    <mergeCell ref="B57:J57"/>
    <mergeCell ref="B59:J59"/>
    <mergeCell ref="B9:B10"/>
    <mergeCell ref="B7:B8"/>
    <mergeCell ref="C7:C8"/>
    <mergeCell ref="E2:J2"/>
    <mergeCell ref="B3:J5"/>
    <mergeCell ref="B6:J6"/>
    <mergeCell ref="F7:J8"/>
    <mergeCell ref="F9:J10"/>
    <mergeCell ref="B35:B36"/>
    <mergeCell ref="F35:J36"/>
    <mergeCell ref="B37:B41"/>
    <mergeCell ref="F37:J41"/>
    <mergeCell ref="B42:B49"/>
    <mergeCell ref="F42:J49"/>
    <mergeCell ref="F29:J29"/>
    <mergeCell ref="B30:J30"/>
    <mergeCell ref="B32:J32"/>
    <mergeCell ref="B33:B34"/>
    <mergeCell ref="C33:C34"/>
    <mergeCell ref="F33:J34"/>
    <mergeCell ref="B11:B18"/>
    <mergeCell ref="F11:J18"/>
    <mergeCell ref="B19:B24"/>
    <mergeCell ref="F19:J24"/>
    <mergeCell ref="B25:B28"/>
    <mergeCell ref="F25:J28"/>
    <mergeCell ref="B94:B95"/>
    <mergeCell ref="F94:J95"/>
    <mergeCell ref="B96:B101"/>
    <mergeCell ref="F96:J101"/>
    <mergeCell ref="F60:J61"/>
    <mergeCell ref="B62:B63"/>
    <mergeCell ref="F62:J63"/>
    <mergeCell ref="B64:B69"/>
    <mergeCell ref="F64:J69"/>
    <mergeCell ref="B70:B80"/>
    <mergeCell ref="F70:J80"/>
    <mergeCell ref="B81:B87"/>
    <mergeCell ref="F81:J87"/>
    <mergeCell ref="B60:B61"/>
    <mergeCell ref="C60:C61"/>
    <mergeCell ref="F88:J88"/>
    <mergeCell ref="B89:J89"/>
    <mergeCell ref="B91:J91"/>
    <mergeCell ref="B92:B93"/>
    <mergeCell ref="C92:C93"/>
    <mergeCell ref="F92:J9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49"/>
  <sheetViews>
    <sheetView workbookViewId="0">
      <selection activeCell="O14" sqref="O14"/>
    </sheetView>
  </sheetViews>
  <sheetFormatPr defaultColWidth="9" defaultRowHeight="14.4" x14ac:dyDescent="0.4"/>
  <cols>
    <col min="1" max="1" width="4.8984375" style="3" customWidth="1"/>
    <col min="2" max="2" width="18.59765625" style="3" customWidth="1"/>
    <col min="3" max="10" width="11.59765625" style="3" customWidth="1"/>
    <col min="11" max="11" width="4.8984375" style="3" customWidth="1"/>
    <col min="12" max="16384" width="9" style="3"/>
  </cols>
  <sheetData>
    <row r="1" spans="2:10" ht="15" thickBot="1" x14ac:dyDescent="0.45"/>
    <row r="2" spans="2:10" ht="18" customHeight="1" thickTop="1" thickBot="1" x14ac:dyDescent="0.45">
      <c r="B2" s="5" t="s">
        <v>0</v>
      </c>
      <c r="C2" s="5" t="s">
        <v>1</v>
      </c>
      <c r="D2" s="26"/>
      <c r="E2" s="121" t="s">
        <v>145</v>
      </c>
      <c r="F2" s="121"/>
      <c r="G2" s="121"/>
      <c r="H2" s="121"/>
      <c r="I2" s="121"/>
      <c r="J2" s="121"/>
    </row>
    <row r="3" spans="2:10" ht="34.5" customHeight="1" thickTop="1" x14ac:dyDescent="0.4">
      <c r="B3" s="122" t="s">
        <v>146</v>
      </c>
      <c r="C3" s="122"/>
      <c r="D3" s="122"/>
      <c r="E3" s="122"/>
      <c r="F3" s="122"/>
      <c r="G3" s="122"/>
      <c r="H3" s="122"/>
      <c r="I3" s="122"/>
      <c r="J3" s="122"/>
    </row>
    <row r="4" spans="2:10" ht="16.5" customHeight="1" x14ac:dyDescent="0.4">
      <c r="B4" s="122"/>
      <c r="C4" s="122"/>
      <c r="D4" s="122"/>
      <c r="E4" s="122"/>
      <c r="F4" s="122"/>
      <c r="G4" s="122"/>
      <c r="H4" s="122"/>
      <c r="I4" s="122"/>
      <c r="J4" s="122"/>
    </row>
    <row r="5" spans="2:10" ht="16.5" customHeight="1" thickBot="1" x14ac:dyDescent="0.45">
      <c r="B5" s="122"/>
      <c r="C5" s="122"/>
      <c r="D5" s="122"/>
      <c r="E5" s="122"/>
      <c r="F5" s="122"/>
      <c r="G5" s="122"/>
      <c r="H5" s="122"/>
      <c r="I5" s="122"/>
      <c r="J5" s="122"/>
    </row>
    <row r="6" spans="2:10" ht="21" customHeight="1" thickTop="1" x14ac:dyDescent="0.4">
      <c r="B6" s="58" t="s">
        <v>94</v>
      </c>
      <c r="C6" s="59"/>
      <c r="D6" s="59"/>
      <c r="E6" s="59"/>
      <c r="F6" s="59"/>
      <c r="G6" s="59"/>
      <c r="H6" s="59"/>
      <c r="I6" s="59"/>
      <c r="J6" s="60"/>
    </row>
    <row r="7" spans="2:10" ht="18" customHeight="1" x14ac:dyDescent="0.4">
      <c r="B7" s="61" t="s">
        <v>2</v>
      </c>
      <c r="C7" s="63" t="s">
        <v>3</v>
      </c>
      <c r="D7" s="7" t="s">
        <v>4</v>
      </c>
      <c r="E7" s="7" t="s">
        <v>5</v>
      </c>
      <c r="F7" s="65" t="s">
        <v>6</v>
      </c>
      <c r="G7" s="66"/>
      <c r="H7" s="66"/>
      <c r="I7" s="66"/>
      <c r="J7" s="67"/>
    </row>
    <row r="8" spans="2:10" ht="18" customHeight="1" x14ac:dyDescent="0.4">
      <c r="B8" s="62"/>
      <c r="C8" s="64"/>
      <c r="D8" s="24" t="s">
        <v>1</v>
      </c>
      <c r="E8" s="9" t="s">
        <v>1</v>
      </c>
      <c r="F8" s="68"/>
      <c r="G8" s="69"/>
      <c r="H8" s="69"/>
      <c r="I8" s="69"/>
      <c r="J8" s="70"/>
    </row>
    <row r="9" spans="2:10" ht="18" customHeight="1" x14ac:dyDescent="0.4">
      <c r="B9" s="71" t="s">
        <v>67</v>
      </c>
      <c r="C9" s="10" t="s">
        <v>7</v>
      </c>
      <c r="D9" s="27">
        <v>32.5</v>
      </c>
      <c r="E9" s="12">
        <f t="shared" ref="E9:E31" si="0">D9*D$2</f>
        <v>0</v>
      </c>
      <c r="F9" s="72" t="s">
        <v>129</v>
      </c>
      <c r="G9" s="72"/>
      <c r="H9" s="72"/>
      <c r="I9" s="72"/>
      <c r="J9" s="73"/>
    </row>
    <row r="10" spans="2:10" ht="18" customHeight="1" x14ac:dyDescent="0.4">
      <c r="B10" s="71"/>
      <c r="C10" s="10" t="s">
        <v>68</v>
      </c>
      <c r="D10" s="27">
        <v>1.625</v>
      </c>
      <c r="E10" s="12">
        <f t="shared" si="0"/>
        <v>0</v>
      </c>
      <c r="F10" s="72"/>
      <c r="G10" s="72"/>
      <c r="H10" s="72"/>
      <c r="I10" s="72"/>
      <c r="J10" s="73"/>
    </row>
    <row r="11" spans="2:10" ht="18" customHeight="1" x14ac:dyDescent="0.4">
      <c r="B11" s="87" t="s">
        <v>184</v>
      </c>
      <c r="C11" s="2" t="s">
        <v>25</v>
      </c>
      <c r="D11" s="27">
        <v>6.5</v>
      </c>
      <c r="E11" s="12">
        <f t="shared" si="0"/>
        <v>0</v>
      </c>
      <c r="F11" s="77" t="s">
        <v>185</v>
      </c>
      <c r="G11" s="77"/>
      <c r="H11" s="77"/>
      <c r="I11" s="77"/>
      <c r="J11" s="78"/>
    </row>
    <row r="12" spans="2:10" ht="18" customHeight="1" x14ac:dyDescent="0.4">
      <c r="B12" s="87"/>
      <c r="C12" s="2" t="s">
        <v>9</v>
      </c>
      <c r="D12" s="27">
        <v>3.25</v>
      </c>
      <c r="E12" s="12">
        <f t="shared" si="0"/>
        <v>0</v>
      </c>
      <c r="F12" s="77" t="s">
        <v>155</v>
      </c>
      <c r="G12" s="77"/>
      <c r="H12" s="77"/>
      <c r="I12" s="77"/>
      <c r="J12" s="78"/>
    </row>
    <row r="13" spans="2:10" ht="18" customHeight="1" x14ac:dyDescent="0.4">
      <c r="B13" s="87"/>
      <c r="C13" s="2" t="s">
        <v>15</v>
      </c>
      <c r="D13" s="27">
        <v>0.65</v>
      </c>
      <c r="E13" s="12">
        <f t="shared" si="0"/>
        <v>0</v>
      </c>
      <c r="F13" s="77" t="s">
        <v>155</v>
      </c>
      <c r="G13" s="77"/>
      <c r="H13" s="77"/>
      <c r="I13" s="77"/>
      <c r="J13" s="78"/>
    </row>
    <row r="14" spans="2:10" ht="18" customHeight="1" x14ac:dyDescent="0.4">
      <c r="B14" s="87"/>
      <c r="C14" s="2" t="s">
        <v>60</v>
      </c>
      <c r="D14" s="27">
        <v>0.32500000000000001</v>
      </c>
      <c r="E14" s="12">
        <f t="shared" si="0"/>
        <v>0</v>
      </c>
      <c r="F14" s="77" t="s">
        <v>155</v>
      </c>
      <c r="G14" s="77"/>
      <c r="H14" s="77"/>
      <c r="I14" s="77"/>
      <c r="J14" s="78"/>
    </row>
    <row r="15" spans="2:10" ht="18" customHeight="1" x14ac:dyDescent="0.4">
      <c r="B15" s="87"/>
      <c r="C15" s="2" t="s">
        <v>13</v>
      </c>
      <c r="D15" s="27">
        <v>0.65</v>
      </c>
      <c r="E15" s="12">
        <f t="shared" si="0"/>
        <v>0</v>
      </c>
      <c r="F15" s="77" t="s">
        <v>155</v>
      </c>
      <c r="G15" s="77"/>
      <c r="H15" s="77"/>
      <c r="I15" s="77"/>
      <c r="J15" s="78"/>
    </row>
    <row r="16" spans="2:10" ht="18" customHeight="1" x14ac:dyDescent="0.4">
      <c r="B16" s="87"/>
      <c r="C16" s="2" t="s">
        <v>80</v>
      </c>
      <c r="D16" s="27">
        <v>1.3</v>
      </c>
      <c r="E16" s="12">
        <f t="shared" si="0"/>
        <v>0</v>
      </c>
      <c r="F16" s="77" t="s">
        <v>155</v>
      </c>
      <c r="G16" s="77"/>
      <c r="H16" s="77"/>
      <c r="I16" s="77"/>
      <c r="J16" s="78"/>
    </row>
    <row r="17" spans="2:10" ht="18" customHeight="1" x14ac:dyDescent="0.4">
      <c r="B17" s="80"/>
      <c r="C17" s="2" t="s">
        <v>81</v>
      </c>
      <c r="D17" s="27">
        <v>1.3</v>
      </c>
      <c r="E17" s="12">
        <f t="shared" si="0"/>
        <v>0</v>
      </c>
      <c r="F17" s="77" t="s">
        <v>155</v>
      </c>
      <c r="G17" s="77"/>
      <c r="H17" s="77"/>
      <c r="I17" s="77"/>
      <c r="J17" s="78"/>
    </row>
    <row r="18" spans="2:10" ht="18" customHeight="1" x14ac:dyDescent="0.4">
      <c r="B18" s="97" t="s">
        <v>186</v>
      </c>
      <c r="C18" s="10" t="s">
        <v>31</v>
      </c>
      <c r="D18" s="28">
        <v>26</v>
      </c>
      <c r="E18" s="12">
        <f t="shared" si="0"/>
        <v>0</v>
      </c>
      <c r="F18" s="77" t="s">
        <v>187</v>
      </c>
      <c r="G18" s="77"/>
      <c r="H18" s="77"/>
      <c r="I18" s="77"/>
      <c r="J18" s="78"/>
    </row>
    <row r="19" spans="2:10" ht="18" customHeight="1" x14ac:dyDescent="0.4">
      <c r="B19" s="98"/>
      <c r="C19" s="10" t="s">
        <v>102</v>
      </c>
      <c r="D19" s="27">
        <v>9.75</v>
      </c>
      <c r="E19" s="12">
        <f t="shared" si="0"/>
        <v>0</v>
      </c>
      <c r="F19" s="77" t="s">
        <v>155</v>
      </c>
      <c r="G19" s="77"/>
      <c r="H19" s="77"/>
      <c r="I19" s="77"/>
      <c r="J19" s="78"/>
    </row>
    <row r="20" spans="2:10" ht="18" customHeight="1" x14ac:dyDescent="0.4">
      <c r="B20" s="98"/>
      <c r="C20" s="10" t="s">
        <v>71</v>
      </c>
      <c r="D20" s="27">
        <v>6.5</v>
      </c>
      <c r="E20" s="12">
        <f t="shared" si="0"/>
        <v>0</v>
      </c>
      <c r="F20" s="77" t="s">
        <v>155</v>
      </c>
      <c r="G20" s="77"/>
      <c r="H20" s="77"/>
      <c r="I20" s="77"/>
      <c r="J20" s="78"/>
    </row>
    <row r="21" spans="2:10" ht="18" customHeight="1" x14ac:dyDescent="0.4">
      <c r="B21" s="98"/>
      <c r="C21" s="10" t="s">
        <v>188</v>
      </c>
      <c r="D21" s="27">
        <v>2.6</v>
      </c>
      <c r="E21" s="12">
        <f t="shared" si="0"/>
        <v>0</v>
      </c>
      <c r="F21" s="77" t="s">
        <v>155</v>
      </c>
      <c r="G21" s="77"/>
      <c r="H21" s="77"/>
      <c r="I21" s="77"/>
      <c r="J21" s="78"/>
    </row>
    <row r="22" spans="2:10" ht="18" customHeight="1" x14ac:dyDescent="0.4">
      <c r="B22" s="98"/>
      <c r="C22" s="10" t="s">
        <v>63</v>
      </c>
      <c r="D22" s="27">
        <v>0.65</v>
      </c>
      <c r="E22" s="12">
        <f t="shared" si="0"/>
        <v>0</v>
      </c>
      <c r="F22" s="77" t="s">
        <v>155</v>
      </c>
      <c r="G22" s="77"/>
      <c r="H22" s="77"/>
      <c r="I22" s="77"/>
      <c r="J22" s="78"/>
    </row>
    <row r="23" spans="2:10" ht="18" customHeight="1" x14ac:dyDescent="0.4">
      <c r="B23" s="98"/>
      <c r="C23" s="10" t="s">
        <v>60</v>
      </c>
      <c r="D23" s="27">
        <v>0.65</v>
      </c>
      <c r="E23" s="12">
        <f t="shared" si="0"/>
        <v>0</v>
      </c>
      <c r="F23" s="77" t="s">
        <v>155</v>
      </c>
      <c r="G23" s="77"/>
      <c r="H23" s="77"/>
      <c r="I23" s="77"/>
      <c r="J23" s="78"/>
    </row>
    <row r="24" spans="2:10" ht="18" customHeight="1" x14ac:dyDescent="0.4">
      <c r="B24" s="98"/>
      <c r="C24" s="10" t="s">
        <v>95</v>
      </c>
      <c r="D24" s="27">
        <v>0.65</v>
      </c>
      <c r="E24" s="12">
        <f t="shared" si="0"/>
        <v>0</v>
      </c>
      <c r="F24" s="77" t="s">
        <v>155</v>
      </c>
      <c r="G24" s="77"/>
      <c r="H24" s="77"/>
      <c r="I24" s="77"/>
      <c r="J24" s="78"/>
    </row>
    <row r="25" spans="2:10" ht="18" customHeight="1" x14ac:dyDescent="0.4">
      <c r="B25" s="129" t="s">
        <v>116</v>
      </c>
      <c r="C25" s="10" t="s">
        <v>30</v>
      </c>
      <c r="D25" s="27">
        <v>19.5</v>
      </c>
      <c r="E25" s="12">
        <f t="shared" si="0"/>
        <v>0</v>
      </c>
      <c r="F25" s="77" t="s">
        <v>189</v>
      </c>
      <c r="G25" s="77"/>
      <c r="H25" s="77"/>
      <c r="I25" s="77"/>
      <c r="J25" s="78"/>
    </row>
    <row r="26" spans="2:10" ht="18" customHeight="1" x14ac:dyDescent="0.4">
      <c r="B26" s="129"/>
      <c r="C26" s="10" t="s">
        <v>60</v>
      </c>
      <c r="D26" s="27">
        <v>0.19500000000000001</v>
      </c>
      <c r="E26" s="12">
        <f t="shared" si="0"/>
        <v>0</v>
      </c>
      <c r="F26" s="77" t="s">
        <v>155</v>
      </c>
      <c r="G26" s="77"/>
      <c r="H26" s="77"/>
      <c r="I26" s="77"/>
      <c r="J26" s="78"/>
    </row>
    <row r="27" spans="2:10" ht="18" customHeight="1" x14ac:dyDescent="0.4">
      <c r="B27" s="129"/>
      <c r="C27" s="10" t="s">
        <v>15</v>
      </c>
      <c r="D27" s="27">
        <v>0.13</v>
      </c>
      <c r="E27" s="12">
        <f t="shared" si="0"/>
        <v>0</v>
      </c>
      <c r="F27" s="77" t="s">
        <v>155</v>
      </c>
      <c r="G27" s="77"/>
      <c r="H27" s="77"/>
      <c r="I27" s="77"/>
      <c r="J27" s="78"/>
    </row>
    <row r="28" spans="2:10" ht="18" customHeight="1" x14ac:dyDescent="0.4">
      <c r="B28" s="129"/>
      <c r="C28" s="10" t="s">
        <v>21</v>
      </c>
      <c r="D28" s="27">
        <v>6.5000000000000002E-2</v>
      </c>
      <c r="E28" s="12">
        <f t="shared" si="0"/>
        <v>0</v>
      </c>
      <c r="F28" s="77" t="s">
        <v>155</v>
      </c>
      <c r="G28" s="77"/>
      <c r="H28" s="77"/>
      <c r="I28" s="77"/>
      <c r="J28" s="78"/>
    </row>
    <row r="29" spans="2:10" ht="18" customHeight="1" x14ac:dyDescent="0.4">
      <c r="B29" s="129"/>
      <c r="C29" s="10" t="s">
        <v>14</v>
      </c>
      <c r="D29" s="27">
        <v>0.13</v>
      </c>
      <c r="E29" s="12">
        <f t="shared" si="0"/>
        <v>0</v>
      </c>
      <c r="F29" s="77" t="s">
        <v>155</v>
      </c>
      <c r="G29" s="77"/>
      <c r="H29" s="77"/>
      <c r="I29" s="77"/>
      <c r="J29" s="78"/>
    </row>
    <row r="30" spans="2:10" ht="18" customHeight="1" x14ac:dyDescent="0.4">
      <c r="B30" s="129"/>
      <c r="C30" s="10" t="s">
        <v>22</v>
      </c>
      <c r="D30" s="27">
        <v>0.13</v>
      </c>
      <c r="E30" s="12">
        <f t="shared" si="0"/>
        <v>0</v>
      </c>
      <c r="F30" s="77" t="s">
        <v>155</v>
      </c>
      <c r="G30" s="77"/>
      <c r="H30" s="77"/>
      <c r="I30" s="77"/>
      <c r="J30" s="78"/>
    </row>
    <row r="31" spans="2:10" ht="18" customHeight="1" thickBot="1" x14ac:dyDescent="0.45">
      <c r="B31" s="15" t="s">
        <v>65</v>
      </c>
      <c r="C31" s="16" t="s">
        <v>66</v>
      </c>
      <c r="D31" s="17">
        <v>13</v>
      </c>
      <c r="E31" s="18">
        <f t="shared" si="0"/>
        <v>0</v>
      </c>
      <c r="F31" s="103" t="s">
        <v>23</v>
      </c>
      <c r="G31" s="104"/>
      <c r="H31" s="104"/>
      <c r="I31" s="104"/>
      <c r="J31" s="105"/>
    </row>
    <row r="32" spans="2:10" ht="80.099999999999994" customHeight="1" thickTop="1" x14ac:dyDescent="0.4">
      <c r="B32" s="117"/>
      <c r="C32" s="117"/>
      <c r="D32" s="117"/>
      <c r="E32" s="117"/>
      <c r="F32" s="117"/>
      <c r="G32" s="117"/>
      <c r="H32" s="117"/>
      <c r="I32" s="117"/>
      <c r="J32" s="117"/>
    </row>
    <row r="33" spans="2:10" ht="18" customHeight="1" thickBot="1" x14ac:dyDescent="0.45"/>
    <row r="34" spans="2:10" ht="21" customHeight="1" thickTop="1" x14ac:dyDescent="0.4">
      <c r="B34" s="130" t="s">
        <v>96</v>
      </c>
      <c r="C34" s="131"/>
      <c r="D34" s="131"/>
      <c r="E34" s="131"/>
      <c r="F34" s="131"/>
      <c r="G34" s="131"/>
      <c r="H34" s="131"/>
      <c r="I34" s="131"/>
      <c r="J34" s="132"/>
    </row>
    <row r="35" spans="2:10" ht="18" customHeight="1" x14ac:dyDescent="0.4">
      <c r="B35" s="123" t="s">
        <v>2</v>
      </c>
      <c r="C35" s="124" t="s">
        <v>3</v>
      </c>
      <c r="D35" s="24" t="s">
        <v>4</v>
      </c>
      <c r="E35" s="24" t="s">
        <v>5</v>
      </c>
      <c r="F35" s="124" t="s">
        <v>6</v>
      </c>
      <c r="G35" s="124"/>
      <c r="H35" s="124"/>
      <c r="I35" s="124"/>
      <c r="J35" s="133"/>
    </row>
    <row r="36" spans="2:10" ht="18" customHeight="1" x14ac:dyDescent="0.4">
      <c r="B36" s="123"/>
      <c r="C36" s="124"/>
      <c r="D36" s="24" t="s">
        <v>1</v>
      </c>
      <c r="E36" s="25" t="s">
        <v>1</v>
      </c>
      <c r="F36" s="124"/>
      <c r="G36" s="124"/>
      <c r="H36" s="124"/>
      <c r="I36" s="124"/>
      <c r="J36" s="133"/>
    </row>
    <row r="37" spans="2:10" ht="18" customHeight="1" x14ac:dyDescent="0.4">
      <c r="B37" s="79" t="s">
        <v>86</v>
      </c>
      <c r="C37" s="20" t="s">
        <v>7</v>
      </c>
      <c r="D37" s="27">
        <v>32.5</v>
      </c>
      <c r="E37" s="12">
        <f t="shared" ref="E37:E62" si="1">D37*D$2</f>
        <v>0</v>
      </c>
      <c r="F37" s="81" t="s">
        <v>147</v>
      </c>
      <c r="G37" s="82"/>
      <c r="H37" s="82"/>
      <c r="I37" s="82"/>
      <c r="J37" s="83"/>
    </row>
    <row r="38" spans="2:10" ht="18" customHeight="1" x14ac:dyDescent="0.4">
      <c r="B38" s="80"/>
      <c r="C38" s="20" t="s">
        <v>148</v>
      </c>
      <c r="D38" s="27">
        <v>1.625</v>
      </c>
      <c r="E38" s="12">
        <f t="shared" si="1"/>
        <v>0</v>
      </c>
      <c r="F38" s="84"/>
      <c r="G38" s="85"/>
      <c r="H38" s="85"/>
      <c r="I38" s="85"/>
      <c r="J38" s="86"/>
    </row>
    <row r="39" spans="2:10" ht="18" customHeight="1" x14ac:dyDescent="0.4">
      <c r="B39" s="106" t="s">
        <v>190</v>
      </c>
      <c r="C39" s="10" t="s">
        <v>48</v>
      </c>
      <c r="D39" s="28">
        <v>13</v>
      </c>
      <c r="E39" s="12">
        <f t="shared" si="1"/>
        <v>0</v>
      </c>
      <c r="F39" s="72" t="s">
        <v>191</v>
      </c>
      <c r="G39" s="72"/>
      <c r="H39" s="72"/>
      <c r="I39" s="72"/>
      <c r="J39" s="73"/>
    </row>
    <row r="40" spans="2:10" ht="18" customHeight="1" x14ac:dyDescent="0.4">
      <c r="B40" s="107"/>
      <c r="C40" s="10" t="s">
        <v>10</v>
      </c>
      <c r="D40" s="27">
        <v>1.3</v>
      </c>
      <c r="E40" s="12">
        <f t="shared" si="1"/>
        <v>0</v>
      </c>
      <c r="F40" s="72"/>
      <c r="G40" s="72"/>
      <c r="H40" s="72"/>
      <c r="I40" s="72"/>
      <c r="J40" s="73"/>
    </row>
    <row r="41" spans="2:10" ht="18" customHeight="1" x14ac:dyDescent="0.4">
      <c r="B41" s="107"/>
      <c r="C41" s="10" t="s">
        <v>12</v>
      </c>
      <c r="D41" s="27">
        <v>1.3</v>
      </c>
      <c r="E41" s="12">
        <f t="shared" si="1"/>
        <v>0</v>
      </c>
      <c r="F41" s="72"/>
      <c r="G41" s="72"/>
      <c r="H41" s="72"/>
      <c r="I41" s="72"/>
      <c r="J41" s="73"/>
    </row>
    <row r="42" spans="2:10" ht="18" customHeight="1" x14ac:dyDescent="0.4">
      <c r="B42" s="107"/>
      <c r="C42" s="10" t="s">
        <v>71</v>
      </c>
      <c r="D42" s="27">
        <v>3.25</v>
      </c>
      <c r="E42" s="12">
        <f t="shared" si="1"/>
        <v>0</v>
      </c>
      <c r="F42" s="72"/>
      <c r="G42" s="72"/>
      <c r="H42" s="72"/>
      <c r="I42" s="72"/>
      <c r="J42" s="73"/>
    </row>
    <row r="43" spans="2:10" ht="18" customHeight="1" x14ac:dyDescent="0.4">
      <c r="B43" s="107"/>
      <c r="C43" s="10" t="s">
        <v>21</v>
      </c>
      <c r="D43" s="27">
        <v>0.65</v>
      </c>
      <c r="E43" s="12">
        <f t="shared" si="1"/>
        <v>0</v>
      </c>
      <c r="F43" s="72"/>
      <c r="G43" s="72"/>
      <c r="H43" s="72"/>
      <c r="I43" s="72"/>
      <c r="J43" s="73"/>
    </row>
    <row r="44" spans="2:10" ht="18" customHeight="1" x14ac:dyDescent="0.4">
      <c r="B44" s="107"/>
      <c r="C44" s="10" t="s">
        <v>60</v>
      </c>
      <c r="D44" s="27">
        <v>0.32500000000000001</v>
      </c>
      <c r="E44" s="12">
        <f t="shared" si="1"/>
        <v>0</v>
      </c>
      <c r="F44" s="72"/>
      <c r="G44" s="72"/>
      <c r="H44" s="72"/>
      <c r="I44" s="72"/>
      <c r="J44" s="73"/>
    </row>
    <row r="45" spans="2:10" ht="18" customHeight="1" x14ac:dyDescent="0.4">
      <c r="B45" s="107"/>
      <c r="C45" s="10" t="s">
        <v>15</v>
      </c>
      <c r="D45" s="27">
        <v>0.65</v>
      </c>
      <c r="E45" s="12">
        <f t="shared" si="1"/>
        <v>0</v>
      </c>
      <c r="F45" s="72"/>
      <c r="G45" s="72"/>
      <c r="H45" s="72"/>
      <c r="I45" s="72"/>
      <c r="J45" s="73"/>
    </row>
    <row r="46" spans="2:10" ht="18" customHeight="1" x14ac:dyDescent="0.4">
      <c r="B46" s="71" t="s">
        <v>192</v>
      </c>
      <c r="C46" s="10" t="s">
        <v>61</v>
      </c>
      <c r="D46" s="11">
        <v>19.5</v>
      </c>
      <c r="E46" s="19">
        <f t="shared" si="1"/>
        <v>0</v>
      </c>
      <c r="F46" s="101" t="s">
        <v>193</v>
      </c>
      <c r="G46" s="101"/>
      <c r="H46" s="101"/>
      <c r="I46" s="101"/>
      <c r="J46" s="102"/>
    </row>
    <row r="47" spans="2:10" ht="18" customHeight="1" x14ac:dyDescent="0.4">
      <c r="B47" s="71"/>
      <c r="C47" s="10" t="s">
        <v>9</v>
      </c>
      <c r="D47" s="11">
        <v>6.5</v>
      </c>
      <c r="E47" s="19">
        <f t="shared" si="1"/>
        <v>0</v>
      </c>
      <c r="F47" s="101"/>
      <c r="G47" s="101"/>
      <c r="H47" s="101"/>
      <c r="I47" s="101"/>
      <c r="J47" s="102"/>
    </row>
    <row r="48" spans="2:10" ht="18" customHeight="1" x14ac:dyDescent="0.4">
      <c r="B48" s="71"/>
      <c r="C48" s="10" t="s">
        <v>72</v>
      </c>
      <c r="D48" s="13">
        <v>1.9500000000000002</v>
      </c>
      <c r="E48" s="19">
        <f t="shared" si="1"/>
        <v>0</v>
      </c>
      <c r="F48" s="101"/>
      <c r="G48" s="101"/>
      <c r="H48" s="101"/>
      <c r="I48" s="101"/>
      <c r="J48" s="102"/>
    </row>
    <row r="49" spans="2:10" ht="18" customHeight="1" x14ac:dyDescent="0.4">
      <c r="B49" s="71"/>
      <c r="C49" s="10" t="s">
        <v>60</v>
      </c>
      <c r="D49" s="11">
        <v>0.32500000000000001</v>
      </c>
      <c r="E49" s="19">
        <f t="shared" si="1"/>
        <v>0</v>
      </c>
      <c r="F49" s="101"/>
      <c r="G49" s="101"/>
      <c r="H49" s="101"/>
      <c r="I49" s="101"/>
      <c r="J49" s="102"/>
    </row>
    <row r="50" spans="2:10" ht="18" customHeight="1" x14ac:dyDescent="0.4">
      <c r="B50" s="71"/>
      <c r="C50" s="10" t="s">
        <v>13</v>
      </c>
      <c r="D50" s="13">
        <v>1.9500000000000002</v>
      </c>
      <c r="E50" s="19">
        <f t="shared" si="1"/>
        <v>0</v>
      </c>
      <c r="F50" s="101"/>
      <c r="G50" s="101"/>
      <c r="H50" s="101"/>
      <c r="I50" s="101"/>
      <c r="J50" s="102"/>
    </row>
    <row r="51" spans="2:10" ht="18" customHeight="1" x14ac:dyDescent="0.4">
      <c r="B51" s="71"/>
      <c r="C51" s="10" t="s">
        <v>82</v>
      </c>
      <c r="D51" s="11">
        <v>0.65</v>
      </c>
      <c r="E51" s="19">
        <f t="shared" si="1"/>
        <v>0</v>
      </c>
      <c r="F51" s="101"/>
      <c r="G51" s="101"/>
      <c r="H51" s="101"/>
      <c r="I51" s="101"/>
      <c r="J51" s="102"/>
    </row>
    <row r="52" spans="2:10" ht="18" customHeight="1" x14ac:dyDescent="0.4">
      <c r="B52" s="71"/>
      <c r="C52" s="10" t="s">
        <v>73</v>
      </c>
      <c r="D52" s="11">
        <v>0.32500000000000001</v>
      </c>
      <c r="E52" s="19">
        <f t="shared" si="1"/>
        <v>0</v>
      </c>
      <c r="F52" s="101"/>
      <c r="G52" s="101"/>
      <c r="H52" s="101"/>
      <c r="I52" s="101"/>
      <c r="J52" s="102"/>
    </row>
    <row r="53" spans="2:10" ht="18" customHeight="1" x14ac:dyDescent="0.4">
      <c r="B53" s="71"/>
      <c r="C53" s="10" t="s">
        <v>74</v>
      </c>
      <c r="D53" s="11">
        <v>0.13</v>
      </c>
      <c r="E53" s="19">
        <f t="shared" si="1"/>
        <v>0</v>
      </c>
      <c r="F53" s="101"/>
      <c r="G53" s="101"/>
      <c r="H53" s="101"/>
      <c r="I53" s="101"/>
      <c r="J53" s="102"/>
    </row>
    <row r="54" spans="2:10" ht="18" customHeight="1" x14ac:dyDescent="0.4">
      <c r="B54" s="71"/>
      <c r="C54" s="10" t="s">
        <v>75</v>
      </c>
      <c r="D54" s="11">
        <v>1.3</v>
      </c>
      <c r="E54" s="19">
        <f t="shared" si="1"/>
        <v>0</v>
      </c>
      <c r="F54" s="101"/>
      <c r="G54" s="101"/>
      <c r="H54" s="101"/>
      <c r="I54" s="101"/>
      <c r="J54" s="102"/>
    </row>
    <row r="55" spans="2:10" ht="18" customHeight="1" x14ac:dyDescent="0.4">
      <c r="B55" s="79" t="s">
        <v>194</v>
      </c>
      <c r="C55" s="10" t="s">
        <v>92</v>
      </c>
      <c r="D55" s="12">
        <v>26</v>
      </c>
      <c r="E55" s="12">
        <f t="shared" si="1"/>
        <v>0</v>
      </c>
      <c r="F55" s="77" t="s">
        <v>195</v>
      </c>
      <c r="G55" s="77"/>
      <c r="H55" s="77"/>
      <c r="I55" s="77"/>
      <c r="J55" s="78"/>
    </row>
    <row r="56" spans="2:10" ht="18" customHeight="1" x14ac:dyDescent="0.4">
      <c r="B56" s="87"/>
      <c r="C56" s="10" t="s">
        <v>63</v>
      </c>
      <c r="D56" s="19">
        <v>1.9500000000000002</v>
      </c>
      <c r="E56" s="12">
        <f t="shared" si="1"/>
        <v>0</v>
      </c>
      <c r="F56" s="77" t="s">
        <v>155</v>
      </c>
      <c r="G56" s="77"/>
      <c r="H56" s="77"/>
      <c r="I56" s="77"/>
      <c r="J56" s="78"/>
    </row>
    <row r="57" spans="2:10" ht="18" customHeight="1" x14ac:dyDescent="0.4">
      <c r="B57" s="87"/>
      <c r="C57" s="10" t="s">
        <v>78</v>
      </c>
      <c r="D57" s="19">
        <v>1.9500000000000002</v>
      </c>
      <c r="E57" s="12">
        <f t="shared" si="1"/>
        <v>0</v>
      </c>
      <c r="F57" s="77" t="s">
        <v>155</v>
      </c>
      <c r="G57" s="77"/>
      <c r="H57" s="77"/>
      <c r="I57" s="77"/>
      <c r="J57" s="78"/>
    </row>
    <row r="58" spans="2:10" ht="18" customHeight="1" x14ac:dyDescent="0.4">
      <c r="B58" s="87"/>
      <c r="C58" s="10" t="s">
        <v>196</v>
      </c>
      <c r="D58" s="12">
        <v>1.3</v>
      </c>
      <c r="E58" s="12">
        <f t="shared" si="1"/>
        <v>0</v>
      </c>
      <c r="F58" s="77" t="s">
        <v>155</v>
      </c>
      <c r="G58" s="77"/>
      <c r="H58" s="77"/>
      <c r="I58" s="77"/>
      <c r="J58" s="78"/>
    </row>
    <row r="59" spans="2:10" ht="18" customHeight="1" x14ac:dyDescent="0.4">
      <c r="B59" s="87"/>
      <c r="C59" s="10" t="s">
        <v>60</v>
      </c>
      <c r="D59" s="29">
        <v>0.32500000000000001</v>
      </c>
      <c r="E59" s="12">
        <f t="shared" si="1"/>
        <v>0</v>
      </c>
      <c r="F59" s="77" t="s">
        <v>155</v>
      </c>
      <c r="G59" s="77"/>
      <c r="H59" s="77"/>
      <c r="I59" s="77"/>
      <c r="J59" s="78"/>
    </row>
    <row r="60" spans="2:10" ht="18" customHeight="1" x14ac:dyDescent="0.4">
      <c r="B60" s="87"/>
      <c r="C60" s="10" t="s">
        <v>64</v>
      </c>
      <c r="D60" s="29">
        <v>0.13</v>
      </c>
      <c r="E60" s="12">
        <f t="shared" si="1"/>
        <v>0</v>
      </c>
      <c r="F60" s="77" t="s">
        <v>155</v>
      </c>
      <c r="G60" s="77"/>
      <c r="H60" s="77"/>
      <c r="I60" s="77"/>
      <c r="J60" s="78"/>
    </row>
    <row r="61" spans="2:10" ht="18" customHeight="1" x14ac:dyDescent="0.4">
      <c r="B61" s="80"/>
      <c r="C61" s="10" t="s">
        <v>75</v>
      </c>
      <c r="D61" s="29">
        <v>0.65</v>
      </c>
      <c r="E61" s="12">
        <f t="shared" si="1"/>
        <v>0</v>
      </c>
      <c r="F61" s="77" t="s">
        <v>155</v>
      </c>
      <c r="G61" s="77"/>
      <c r="H61" s="77"/>
      <c r="I61" s="77"/>
      <c r="J61" s="78"/>
    </row>
    <row r="62" spans="2:10" ht="18" customHeight="1" thickBot="1" x14ac:dyDescent="0.45">
      <c r="B62" s="15" t="s">
        <v>65</v>
      </c>
      <c r="C62" s="16" t="s">
        <v>66</v>
      </c>
      <c r="D62" s="17">
        <v>13</v>
      </c>
      <c r="E62" s="18">
        <f t="shared" si="1"/>
        <v>0</v>
      </c>
      <c r="F62" s="103" t="s">
        <v>23</v>
      </c>
      <c r="G62" s="104"/>
      <c r="H62" s="104"/>
      <c r="I62" s="104"/>
      <c r="J62" s="105"/>
    </row>
    <row r="63" spans="2:10" ht="80.099999999999994" customHeight="1" thickTop="1" x14ac:dyDescent="0.4">
      <c r="B63" s="57"/>
      <c r="C63" s="57"/>
      <c r="D63" s="57"/>
      <c r="E63" s="57"/>
      <c r="F63" s="57"/>
      <c r="G63" s="57"/>
      <c r="H63" s="57"/>
      <c r="I63" s="57"/>
      <c r="J63" s="57"/>
    </row>
    <row r="64" spans="2:10" ht="18" customHeight="1" thickBot="1" x14ac:dyDescent="0.45">
      <c r="B64" s="1"/>
      <c r="C64" s="1"/>
      <c r="D64" s="1"/>
      <c r="E64" s="1"/>
      <c r="F64" s="1"/>
      <c r="G64" s="1"/>
      <c r="H64" s="1"/>
      <c r="I64" s="1"/>
      <c r="J64" s="1"/>
    </row>
    <row r="65" spans="2:10" ht="21" customHeight="1" thickTop="1" x14ac:dyDescent="0.4">
      <c r="B65" s="130" t="s">
        <v>100</v>
      </c>
      <c r="C65" s="131"/>
      <c r="D65" s="131"/>
      <c r="E65" s="131"/>
      <c r="F65" s="131"/>
      <c r="G65" s="131"/>
      <c r="H65" s="131"/>
      <c r="I65" s="131"/>
      <c r="J65" s="132"/>
    </row>
    <row r="66" spans="2:10" ht="18" customHeight="1" x14ac:dyDescent="0.4">
      <c r="B66" s="123" t="s">
        <v>2</v>
      </c>
      <c r="C66" s="124" t="s">
        <v>3</v>
      </c>
      <c r="D66" s="24" t="s">
        <v>4</v>
      </c>
      <c r="E66" s="24" t="s">
        <v>5</v>
      </c>
      <c r="F66" s="124" t="s">
        <v>6</v>
      </c>
      <c r="G66" s="124"/>
      <c r="H66" s="124"/>
      <c r="I66" s="124"/>
      <c r="J66" s="133"/>
    </row>
    <row r="67" spans="2:10" ht="18" customHeight="1" x14ac:dyDescent="0.4">
      <c r="B67" s="123"/>
      <c r="C67" s="124"/>
      <c r="D67" s="24" t="s">
        <v>1</v>
      </c>
      <c r="E67" s="25" t="s">
        <v>1</v>
      </c>
      <c r="F67" s="124"/>
      <c r="G67" s="124"/>
      <c r="H67" s="124"/>
      <c r="I67" s="124"/>
      <c r="J67" s="133"/>
    </row>
    <row r="68" spans="2:10" ht="18" customHeight="1" x14ac:dyDescent="0.4">
      <c r="B68" s="71" t="s">
        <v>157</v>
      </c>
      <c r="C68" s="20" t="s">
        <v>7</v>
      </c>
      <c r="D68" s="27">
        <v>32.5</v>
      </c>
      <c r="E68" s="12">
        <f t="shared" ref="E68:E90" si="2">D68*D$2</f>
        <v>0</v>
      </c>
      <c r="F68" s="81" t="s">
        <v>158</v>
      </c>
      <c r="G68" s="82"/>
      <c r="H68" s="82"/>
      <c r="I68" s="82"/>
      <c r="J68" s="83"/>
    </row>
    <row r="69" spans="2:10" ht="18" customHeight="1" x14ac:dyDescent="0.4">
      <c r="B69" s="71"/>
      <c r="C69" s="20" t="s">
        <v>159</v>
      </c>
      <c r="D69" s="27">
        <v>1.625</v>
      </c>
      <c r="E69" s="12">
        <f t="shared" si="2"/>
        <v>0</v>
      </c>
      <c r="F69" s="84"/>
      <c r="G69" s="85"/>
      <c r="H69" s="85"/>
      <c r="I69" s="85"/>
      <c r="J69" s="86"/>
    </row>
    <row r="70" spans="2:10" ht="18" customHeight="1" x14ac:dyDescent="0.4">
      <c r="B70" s="127" t="s">
        <v>197</v>
      </c>
      <c r="C70" s="10" t="s">
        <v>47</v>
      </c>
      <c r="D70" s="13">
        <v>13</v>
      </c>
      <c r="E70" s="12">
        <f t="shared" si="2"/>
        <v>0</v>
      </c>
      <c r="F70" s="72" t="s">
        <v>198</v>
      </c>
      <c r="G70" s="72"/>
      <c r="H70" s="72"/>
      <c r="I70" s="72"/>
      <c r="J70" s="73"/>
    </row>
    <row r="71" spans="2:10" ht="18" customHeight="1" x14ac:dyDescent="0.4">
      <c r="B71" s="127"/>
      <c r="C71" s="10" t="s">
        <v>10</v>
      </c>
      <c r="D71" s="11">
        <v>1.3</v>
      </c>
      <c r="E71" s="12">
        <f t="shared" si="2"/>
        <v>0</v>
      </c>
      <c r="F71" s="72"/>
      <c r="G71" s="72"/>
      <c r="H71" s="72"/>
      <c r="I71" s="72"/>
      <c r="J71" s="73"/>
    </row>
    <row r="72" spans="2:10" ht="18" customHeight="1" x14ac:dyDescent="0.4">
      <c r="B72" s="127"/>
      <c r="C72" s="10" t="s">
        <v>12</v>
      </c>
      <c r="D72" s="11">
        <v>1.3</v>
      </c>
      <c r="E72" s="12">
        <f t="shared" si="2"/>
        <v>0</v>
      </c>
      <c r="F72" s="72"/>
      <c r="G72" s="72"/>
      <c r="H72" s="72"/>
      <c r="I72" s="72"/>
      <c r="J72" s="73"/>
    </row>
    <row r="73" spans="2:10" ht="18" customHeight="1" x14ac:dyDescent="0.4">
      <c r="B73" s="127"/>
      <c r="C73" s="10" t="s">
        <v>26</v>
      </c>
      <c r="D73" s="11">
        <v>3.25</v>
      </c>
      <c r="E73" s="12">
        <f t="shared" si="2"/>
        <v>0</v>
      </c>
      <c r="F73" s="72"/>
      <c r="G73" s="72"/>
      <c r="H73" s="72"/>
      <c r="I73" s="72"/>
      <c r="J73" s="73"/>
    </row>
    <row r="74" spans="2:10" ht="18" customHeight="1" x14ac:dyDescent="0.4">
      <c r="B74" s="127"/>
      <c r="C74" s="10" t="s">
        <v>60</v>
      </c>
      <c r="D74" s="11">
        <v>0.32500000000000001</v>
      </c>
      <c r="E74" s="12">
        <f t="shared" si="2"/>
        <v>0</v>
      </c>
      <c r="F74" s="72"/>
      <c r="G74" s="72"/>
      <c r="H74" s="72"/>
      <c r="I74" s="72"/>
      <c r="J74" s="73"/>
    </row>
    <row r="75" spans="2:10" ht="18" customHeight="1" x14ac:dyDescent="0.4">
      <c r="B75" s="127"/>
      <c r="C75" s="10" t="s">
        <v>15</v>
      </c>
      <c r="D75" s="11">
        <v>1.3</v>
      </c>
      <c r="E75" s="12">
        <f t="shared" si="2"/>
        <v>0</v>
      </c>
      <c r="F75" s="72"/>
      <c r="G75" s="72"/>
      <c r="H75" s="72"/>
      <c r="I75" s="72"/>
      <c r="J75" s="73"/>
    </row>
    <row r="76" spans="2:10" ht="18" customHeight="1" x14ac:dyDescent="0.4">
      <c r="B76" s="79" t="s">
        <v>199</v>
      </c>
      <c r="C76" s="10" t="s">
        <v>31</v>
      </c>
      <c r="D76" s="28">
        <v>26</v>
      </c>
      <c r="E76" s="12">
        <f t="shared" si="2"/>
        <v>0</v>
      </c>
      <c r="F76" s="88" t="s">
        <v>200</v>
      </c>
      <c r="G76" s="89"/>
      <c r="H76" s="89"/>
      <c r="I76" s="89"/>
      <c r="J76" s="90"/>
    </row>
    <row r="77" spans="2:10" ht="18" customHeight="1" x14ac:dyDescent="0.4">
      <c r="B77" s="87"/>
      <c r="C77" s="10" t="s">
        <v>76</v>
      </c>
      <c r="D77" s="27">
        <v>9.75</v>
      </c>
      <c r="E77" s="12">
        <f t="shared" si="2"/>
        <v>0</v>
      </c>
      <c r="F77" s="91"/>
      <c r="G77" s="92"/>
      <c r="H77" s="92"/>
      <c r="I77" s="92"/>
      <c r="J77" s="93"/>
    </row>
    <row r="78" spans="2:10" ht="18" customHeight="1" x14ac:dyDescent="0.4">
      <c r="B78" s="87"/>
      <c r="C78" s="10" t="s">
        <v>13</v>
      </c>
      <c r="D78" s="27">
        <v>2.6</v>
      </c>
      <c r="E78" s="12">
        <f t="shared" si="2"/>
        <v>0</v>
      </c>
      <c r="F78" s="91"/>
      <c r="G78" s="92"/>
      <c r="H78" s="92"/>
      <c r="I78" s="92"/>
      <c r="J78" s="93"/>
    </row>
    <row r="79" spans="2:10" ht="18" customHeight="1" x14ac:dyDescent="0.4">
      <c r="B79" s="87"/>
      <c r="C79" s="10" t="s">
        <v>24</v>
      </c>
      <c r="D79" s="27">
        <v>1.3</v>
      </c>
      <c r="E79" s="12">
        <f t="shared" si="2"/>
        <v>0</v>
      </c>
      <c r="F79" s="91"/>
      <c r="G79" s="92"/>
      <c r="H79" s="92"/>
      <c r="I79" s="92"/>
      <c r="J79" s="93"/>
    </row>
    <row r="80" spans="2:10" ht="18" customHeight="1" x14ac:dyDescent="0.4">
      <c r="B80" s="87"/>
      <c r="C80" s="10" t="s">
        <v>14</v>
      </c>
      <c r="D80" s="27">
        <v>0.65</v>
      </c>
      <c r="E80" s="12">
        <f t="shared" si="2"/>
        <v>0</v>
      </c>
      <c r="F80" s="91"/>
      <c r="G80" s="92"/>
      <c r="H80" s="92"/>
      <c r="I80" s="92"/>
      <c r="J80" s="93"/>
    </row>
    <row r="81" spans="2:10" ht="18" customHeight="1" x14ac:dyDescent="0.4">
      <c r="B81" s="87"/>
      <c r="C81" s="10" t="s">
        <v>22</v>
      </c>
      <c r="D81" s="27">
        <v>0.13</v>
      </c>
      <c r="E81" s="12">
        <f t="shared" si="2"/>
        <v>0</v>
      </c>
      <c r="F81" s="91"/>
      <c r="G81" s="92"/>
      <c r="H81" s="92"/>
      <c r="I81" s="92"/>
      <c r="J81" s="93"/>
    </row>
    <row r="82" spans="2:10" ht="18" customHeight="1" x14ac:dyDescent="0.4">
      <c r="B82" s="87"/>
      <c r="C82" s="10" t="s">
        <v>15</v>
      </c>
      <c r="D82" s="27">
        <v>0.65</v>
      </c>
      <c r="E82" s="12">
        <f t="shared" si="2"/>
        <v>0</v>
      </c>
      <c r="F82" s="91"/>
      <c r="G82" s="92"/>
      <c r="H82" s="92"/>
      <c r="I82" s="92"/>
      <c r="J82" s="93"/>
    </row>
    <row r="83" spans="2:10" ht="18" customHeight="1" x14ac:dyDescent="0.4">
      <c r="B83" s="80"/>
      <c r="C83" s="10" t="s">
        <v>60</v>
      </c>
      <c r="D83" s="27">
        <v>0.32500000000000001</v>
      </c>
      <c r="E83" s="12">
        <f t="shared" si="2"/>
        <v>0</v>
      </c>
      <c r="F83" s="91"/>
      <c r="G83" s="92"/>
      <c r="H83" s="92"/>
      <c r="I83" s="92"/>
      <c r="J83" s="93"/>
    </row>
    <row r="84" spans="2:10" ht="18" customHeight="1" x14ac:dyDescent="0.4">
      <c r="B84" s="128" t="s">
        <v>112</v>
      </c>
      <c r="C84" s="10" t="s">
        <v>20</v>
      </c>
      <c r="D84" s="27">
        <v>19.5</v>
      </c>
      <c r="E84" s="12">
        <f t="shared" si="2"/>
        <v>0</v>
      </c>
      <c r="F84" s="72" t="s">
        <v>201</v>
      </c>
      <c r="G84" s="72"/>
      <c r="H84" s="72"/>
      <c r="I84" s="72"/>
      <c r="J84" s="73"/>
    </row>
    <row r="85" spans="2:10" ht="18" customHeight="1" x14ac:dyDescent="0.4">
      <c r="B85" s="128"/>
      <c r="C85" s="10" t="s">
        <v>75</v>
      </c>
      <c r="D85" s="27">
        <v>0.65</v>
      </c>
      <c r="E85" s="12">
        <f t="shared" si="2"/>
        <v>0</v>
      </c>
      <c r="F85" s="72"/>
      <c r="G85" s="72"/>
      <c r="H85" s="72"/>
      <c r="I85" s="72"/>
      <c r="J85" s="73"/>
    </row>
    <row r="86" spans="2:10" ht="18" customHeight="1" x14ac:dyDescent="0.4">
      <c r="B86" s="128"/>
      <c r="C86" s="10" t="s">
        <v>21</v>
      </c>
      <c r="D86" s="27">
        <v>0.65</v>
      </c>
      <c r="E86" s="12">
        <f t="shared" si="2"/>
        <v>0</v>
      </c>
      <c r="F86" s="72"/>
      <c r="G86" s="72"/>
      <c r="H86" s="72"/>
      <c r="I86" s="72"/>
      <c r="J86" s="73"/>
    </row>
    <row r="87" spans="2:10" ht="18" customHeight="1" x14ac:dyDescent="0.4">
      <c r="B87" s="128"/>
      <c r="C87" s="10" t="s">
        <v>15</v>
      </c>
      <c r="D87" s="27">
        <v>0.65</v>
      </c>
      <c r="E87" s="12">
        <f t="shared" si="2"/>
        <v>0</v>
      </c>
      <c r="F87" s="72"/>
      <c r="G87" s="72"/>
      <c r="H87" s="72"/>
      <c r="I87" s="72"/>
      <c r="J87" s="73"/>
    </row>
    <row r="88" spans="2:10" ht="18" customHeight="1" x14ac:dyDescent="0.4">
      <c r="B88" s="128"/>
      <c r="C88" s="10" t="s">
        <v>60</v>
      </c>
      <c r="D88" s="27">
        <v>0.32500000000000001</v>
      </c>
      <c r="E88" s="12">
        <f t="shared" si="2"/>
        <v>0</v>
      </c>
      <c r="F88" s="72"/>
      <c r="G88" s="72"/>
      <c r="H88" s="72"/>
      <c r="I88" s="72"/>
      <c r="J88" s="73"/>
    </row>
    <row r="89" spans="2:10" ht="18" customHeight="1" x14ac:dyDescent="0.4">
      <c r="B89" s="128"/>
      <c r="C89" s="10" t="s">
        <v>22</v>
      </c>
      <c r="D89" s="27">
        <v>0.13</v>
      </c>
      <c r="E89" s="12">
        <f t="shared" si="2"/>
        <v>0</v>
      </c>
      <c r="F89" s="72"/>
      <c r="G89" s="72"/>
      <c r="H89" s="72"/>
      <c r="I89" s="72"/>
      <c r="J89" s="73"/>
    </row>
    <row r="90" spans="2:10" ht="18" customHeight="1" thickBot="1" x14ac:dyDescent="0.45">
      <c r="B90" s="15" t="s">
        <v>65</v>
      </c>
      <c r="C90" s="16" t="s">
        <v>66</v>
      </c>
      <c r="D90" s="17">
        <v>13</v>
      </c>
      <c r="E90" s="18">
        <f t="shared" si="2"/>
        <v>0</v>
      </c>
      <c r="F90" s="103" t="s">
        <v>23</v>
      </c>
      <c r="G90" s="104"/>
      <c r="H90" s="104"/>
      <c r="I90" s="104"/>
      <c r="J90" s="105"/>
    </row>
    <row r="91" spans="2:10" ht="80.099999999999994" customHeight="1" thickTop="1" x14ac:dyDescent="0.4">
      <c r="B91" s="147"/>
      <c r="C91" s="147"/>
      <c r="D91" s="147"/>
      <c r="E91" s="147"/>
      <c r="F91" s="147"/>
      <c r="G91" s="147"/>
      <c r="H91" s="147"/>
      <c r="I91" s="147"/>
      <c r="J91" s="147"/>
    </row>
    <row r="92" spans="2:10" ht="18" customHeight="1" thickBot="1" x14ac:dyDescent="0.45"/>
    <row r="93" spans="2:10" ht="21" customHeight="1" thickTop="1" x14ac:dyDescent="0.4">
      <c r="B93" s="130" t="s">
        <v>103</v>
      </c>
      <c r="C93" s="131"/>
      <c r="D93" s="131"/>
      <c r="E93" s="131"/>
      <c r="F93" s="131"/>
      <c r="G93" s="131"/>
      <c r="H93" s="131"/>
      <c r="I93" s="131"/>
      <c r="J93" s="132"/>
    </row>
    <row r="94" spans="2:10" ht="18" customHeight="1" x14ac:dyDescent="0.4">
      <c r="B94" s="123" t="s">
        <v>2</v>
      </c>
      <c r="C94" s="124" t="s">
        <v>3</v>
      </c>
      <c r="D94" s="24" t="s">
        <v>4</v>
      </c>
      <c r="E94" s="24" t="s">
        <v>5</v>
      </c>
      <c r="F94" s="124" t="s">
        <v>6</v>
      </c>
      <c r="G94" s="124"/>
      <c r="H94" s="124"/>
      <c r="I94" s="124"/>
      <c r="J94" s="133"/>
    </row>
    <row r="95" spans="2:10" ht="18" customHeight="1" x14ac:dyDescent="0.4">
      <c r="B95" s="123"/>
      <c r="C95" s="124"/>
      <c r="D95" s="24" t="s">
        <v>1</v>
      </c>
      <c r="E95" s="25" t="s">
        <v>1</v>
      </c>
      <c r="F95" s="124"/>
      <c r="G95" s="124"/>
      <c r="H95" s="124"/>
      <c r="I95" s="124"/>
      <c r="J95" s="133"/>
    </row>
    <row r="96" spans="2:10" ht="18" customHeight="1" x14ac:dyDescent="0.4">
      <c r="B96" s="22" t="s">
        <v>56</v>
      </c>
      <c r="C96" s="10" t="s">
        <v>7</v>
      </c>
      <c r="D96" s="11">
        <v>35.75</v>
      </c>
      <c r="E96" s="12">
        <f t="shared" ref="E96:E119" si="3">D96*D$2</f>
        <v>0</v>
      </c>
      <c r="F96" s="72" t="s">
        <v>43</v>
      </c>
      <c r="G96" s="72"/>
      <c r="H96" s="72"/>
      <c r="I96" s="72"/>
      <c r="J96" s="73"/>
    </row>
    <row r="97" spans="2:10" ht="18" customHeight="1" x14ac:dyDescent="0.4">
      <c r="B97" s="106" t="s">
        <v>202</v>
      </c>
      <c r="C97" s="21" t="s">
        <v>106</v>
      </c>
      <c r="D97" s="12">
        <v>13</v>
      </c>
      <c r="E97" s="30">
        <f t="shared" si="3"/>
        <v>0</v>
      </c>
      <c r="F97" s="77" t="s">
        <v>203</v>
      </c>
      <c r="G97" s="77"/>
      <c r="H97" s="77"/>
      <c r="I97" s="77"/>
      <c r="J97" s="78"/>
    </row>
    <row r="98" spans="2:10" ht="18" customHeight="1" x14ac:dyDescent="0.4">
      <c r="B98" s="107"/>
      <c r="C98" s="21" t="s">
        <v>81</v>
      </c>
      <c r="D98" s="12">
        <v>1.3</v>
      </c>
      <c r="E98" s="30">
        <f t="shared" si="3"/>
        <v>0</v>
      </c>
      <c r="F98" s="77"/>
      <c r="G98" s="77"/>
      <c r="H98" s="77"/>
      <c r="I98" s="77"/>
      <c r="J98" s="78"/>
    </row>
    <row r="99" spans="2:10" ht="18" customHeight="1" x14ac:dyDescent="0.4">
      <c r="B99" s="107"/>
      <c r="C99" s="21" t="s">
        <v>10</v>
      </c>
      <c r="D99" s="12">
        <v>1.3</v>
      </c>
      <c r="E99" s="30">
        <f t="shared" si="3"/>
        <v>0</v>
      </c>
      <c r="F99" s="77" t="s">
        <v>155</v>
      </c>
      <c r="G99" s="77"/>
      <c r="H99" s="77"/>
      <c r="I99" s="77"/>
      <c r="J99" s="78"/>
    </row>
    <row r="100" spans="2:10" ht="18" customHeight="1" x14ac:dyDescent="0.4">
      <c r="B100" s="107"/>
      <c r="C100" s="21" t="s">
        <v>34</v>
      </c>
      <c r="D100" s="12">
        <v>1.3</v>
      </c>
      <c r="E100" s="30">
        <f t="shared" si="3"/>
        <v>0</v>
      </c>
      <c r="F100" s="77" t="s">
        <v>155</v>
      </c>
      <c r="G100" s="77"/>
      <c r="H100" s="77"/>
      <c r="I100" s="77"/>
      <c r="J100" s="78"/>
    </row>
    <row r="101" spans="2:10" ht="18" customHeight="1" x14ac:dyDescent="0.4">
      <c r="B101" s="107"/>
      <c r="C101" s="21" t="s">
        <v>9</v>
      </c>
      <c r="D101" s="12">
        <v>6.5</v>
      </c>
      <c r="E101" s="30">
        <f t="shared" si="3"/>
        <v>0</v>
      </c>
      <c r="F101" s="77" t="s">
        <v>155</v>
      </c>
      <c r="G101" s="77"/>
      <c r="H101" s="77"/>
      <c r="I101" s="77"/>
      <c r="J101" s="78"/>
    </row>
    <row r="102" spans="2:10" ht="18" customHeight="1" x14ac:dyDescent="0.4">
      <c r="B102" s="107"/>
      <c r="C102" s="21" t="s">
        <v>15</v>
      </c>
      <c r="D102" s="29">
        <v>3.25</v>
      </c>
      <c r="E102" s="30">
        <f t="shared" si="3"/>
        <v>0</v>
      </c>
      <c r="F102" s="77" t="s">
        <v>155</v>
      </c>
      <c r="G102" s="77"/>
      <c r="H102" s="77"/>
      <c r="I102" s="77"/>
      <c r="J102" s="78"/>
    </row>
    <row r="103" spans="2:10" ht="18" customHeight="1" x14ac:dyDescent="0.4">
      <c r="B103" s="107"/>
      <c r="C103" s="21" t="s">
        <v>14</v>
      </c>
      <c r="D103" s="29">
        <v>0.32500000000000001</v>
      </c>
      <c r="E103" s="30">
        <f t="shared" si="3"/>
        <v>0</v>
      </c>
      <c r="F103" s="77" t="s">
        <v>155</v>
      </c>
      <c r="G103" s="77"/>
      <c r="H103" s="77"/>
      <c r="I103" s="77"/>
      <c r="J103" s="78"/>
    </row>
    <row r="104" spans="2:10" ht="18" customHeight="1" x14ac:dyDescent="0.4">
      <c r="B104" s="107"/>
      <c r="C104" s="21" t="s">
        <v>13</v>
      </c>
      <c r="D104" s="29">
        <v>0.65</v>
      </c>
      <c r="E104" s="30">
        <f t="shared" si="3"/>
        <v>0</v>
      </c>
      <c r="F104" s="77" t="s">
        <v>155</v>
      </c>
      <c r="G104" s="77"/>
      <c r="H104" s="77"/>
      <c r="I104" s="77"/>
      <c r="J104" s="78"/>
    </row>
    <row r="105" spans="2:10" ht="18" customHeight="1" x14ac:dyDescent="0.4">
      <c r="B105" s="97" t="s">
        <v>204</v>
      </c>
      <c r="C105" s="10" t="s">
        <v>40</v>
      </c>
      <c r="D105" s="28">
        <v>26</v>
      </c>
      <c r="E105" s="12">
        <f t="shared" si="3"/>
        <v>0</v>
      </c>
      <c r="F105" s="77" t="s">
        <v>205</v>
      </c>
      <c r="G105" s="77"/>
      <c r="H105" s="77"/>
      <c r="I105" s="77"/>
      <c r="J105" s="78"/>
    </row>
    <row r="106" spans="2:10" ht="18" customHeight="1" x14ac:dyDescent="0.4">
      <c r="B106" s="98"/>
      <c r="C106" s="10" t="s">
        <v>71</v>
      </c>
      <c r="D106" s="27">
        <v>6.5</v>
      </c>
      <c r="E106" s="12">
        <f t="shared" si="3"/>
        <v>0</v>
      </c>
      <c r="F106" s="77" t="s">
        <v>155</v>
      </c>
      <c r="G106" s="77"/>
      <c r="H106" s="77"/>
      <c r="I106" s="77"/>
      <c r="J106" s="78"/>
    </row>
    <row r="107" spans="2:10" ht="18" customHeight="1" x14ac:dyDescent="0.4">
      <c r="B107" s="98"/>
      <c r="C107" s="10" t="s">
        <v>13</v>
      </c>
      <c r="D107" s="27">
        <v>3.25</v>
      </c>
      <c r="E107" s="12">
        <f t="shared" si="3"/>
        <v>0</v>
      </c>
      <c r="F107" s="77" t="s">
        <v>155</v>
      </c>
      <c r="G107" s="77"/>
      <c r="H107" s="77"/>
      <c r="I107" s="77"/>
      <c r="J107" s="78"/>
    </row>
    <row r="108" spans="2:10" ht="18" customHeight="1" x14ac:dyDescent="0.4">
      <c r="B108" s="98"/>
      <c r="C108" s="10" t="s">
        <v>24</v>
      </c>
      <c r="D108" s="28">
        <v>1.9500000000000002</v>
      </c>
      <c r="E108" s="12">
        <f t="shared" si="3"/>
        <v>0</v>
      </c>
      <c r="F108" s="77" t="s">
        <v>155</v>
      </c>
      <c r="G108" s="77"/>
      <c r="H108" s="77"/>
      <c r="I108" s="77"/>
      <c r="J108" s="78"/>
    </row>
    <row r="109" spans="2:10" ht="18" customHeight="1" x14ac:dyDescent="0.4">
      <c r="B109" s="98"/>
      <c r="C109" s="10" t="s">
        <v>14</v>
      </c>
      <c r="D109" s="27">
        <v>0.65</v>
      </c>
      <c r="E109" s="12">
        <f t="shared" si="3"/>
        <v>0</v>
      </c>
      <c r="F109" s="77" t="s">
        <v>155</v>
      </c>
      <c r="G109" s="77"/>
      <c r="H109" s="77"/>
      <c r="I109" s="77"/>
      <c r="J109" s="78"/>
    </row>
    <row r="110" spans="2:10" ht="18" customHeight="1" x14ac:dyDescent="0.4">
      <c r="B110" s="98"/>
      <c r="C110" s="10" t="s">
        <v>60</v>
      </c>
      <c r="D110" s="27">
        <v>0.32500000000000001</v>
      </c>
      <c r="E110" s="12">
        <f t="shared" si="3"/>
        <v>0</v>
      </c>
      <c r="F110" s="77" t="s">
        <v>155</v>
      </c>
      <c r="G110" s="77"/>
      <c r="H110" s="77"/>
      <c r="I110" s="77"/>
      <c r="J110" s="78"/>
    </row>
    <row r="111" spans="2:10" ht="18" customHeight="1" x14ac:dyDescent="0.4">
      <c r="B111" s="98"/>
      <c r="C111" s="10" t="s">
        <v>15</v>
      </c>
      <c r="D111" s="27">
        <v>1.3</v>
      </c>
      <c r="E111" s="12">
        <f t="shared" si="3"/>
        <v>0</v>
      </c>
      <c r="F111" s="77"/>
      <c r="G111" s="77"/>
      <c r="H111" s="77"/>
      <c r="I111" s="77"/>
      <c r="J111" s="78"/>
    </row>
    <row r="112" spans="2:10" ht="18" customHeight="1" x14ac:dyDescent="0.4">
      <c r="B112" s="74" t="s">
        <v>206</v>
      </c>
      <c r="C112" s="10" t="s">
        <v>25</v>
      </c>
      <c r="D112" s="29">
        <v>16.25</v>
      </c>
      <c r="E112" s="12">
        <f t="shared" si="3"/>
        <v>0</v>
      </c>
      <c r="F112" s="101" t="s">
        <v>207</v>
      </c>
      <c r="G112" s="101"/>
      <c r="H112" s="101"/>
      <c r="I112" s="101"/>
      <c r="J112" s="102"/>
    </row>
    <row r="113" spans="2:10" ht="18" customHeight="1" x14ac:dyDescent="0.4">
      <c r="B113" s="75"/>
      <c r="C113" s="10" t="s">
        <v>17</v>
      </c>
      <c r="D113" s="29">
        <v>6.5</v>
      </c>
      <c r="E113" s="12">
        <f t="shared" si="3"/>
        <v>0</v>
      </c>
      <c r="F113" s="101"/>
      <c r="G113" s="101"/>
      <c r="H113" s="101"/>
      <c r="I113" s="101"/>
      <c r="J113" s="102"/>
    </row>
    <row r="114" spans="2:10" ht="18" customHeight="1" x14ac:dyDescent="0.4">
      <c r="B114" s="75"/>
      <c r="C114" s="10" t="s">
        <v>9</v>
      </c>
      <c r="D114" s="29">
        <v>3.25</v>
      </c>
      <c r="E114" s="12">
        <f t="shared" si="3"/>
        <v>0</v>
      </c>
      <c r="F114" s="101"/>
      <c r="G114" s="101"/>
      <c r="H114" s="101"/>
      <c r="I114" s="101"/>
      <c r="J114" s="102"/>
    </row>
    <row r="115" spans="2:10" ht="18" customHeight="1" x14ac:dyDescent="0.4">
      <c r="B115" s="75"/>
      <c r="C115" s="10" t="s">
        <v>11</v>
      </c>
      <c r="D115" s="29">
        <v>0.32500000000000001</v>
      </c>
      <c r="E115" s="12">
        <f t="shared" si="3"/>
        <v>0</v>
      </c>
      <c r="F115" s="101"/>
      <c r="G115" s="101"/>
      <c r="H115" s="101"/>
      <c r="I115" s="101"/>
      <c r="J115" s="102"/>
    </row>
    <row r="116" spans="2:10" ht="18" customHeight="1" x14ac:dyDescent="0.4">
      <c r="B116" s="75"/>
      <c r="C116" s="10" t="s">
        <v>21</v>
      </c>
      <c r="D116" s="29">
        <v>0.32500000000000001</v>
      </c>
      <c r="E116" s="12">
        <f t="shared" si="3"/>
        <v>0</v>
      </c>
      <c r="F116" s="101"/>
      <c r="G116" s="101"/>
      <c r="H116" s="101"/>
      <c r="I116" s="101"/>
      <c r="J116" s="102"/>
    </row>
    <row r="117" spans="2:10" ht="18" customHeight="1" x14ac:dyDescent="0.4">
      <c r="B117" s="75"/>
      <c r="C117" s="10" t="s">
        <v>22</v>
      </c>
      <c r="D117" s="29">
        <v>0.32500000000000001</v>
      </c>
      <c r="E117" s="12">
        <f t="shared" si="3"/>
        <v>0</v>
      </c>
      <c r="F117" s="101"/>
      <c r="G117" s="101"/>
      <c r="H117" s="101"/>
      <c r="I117" s="101"/>
      <c r="J117" s="102"/>
    </row>
    <row r="118" spans="2:10" ht="18" customHeight="1" x14ac:dyDescent="0.4">
      <c r="B118" s="76"/>
      <c r="C118" s="10" t="s">
        <v>19</v>
      </c>
      <c r="D118" s="29">
        <v>0.65</v>
      </c>
      <c r="E118" s="12">
        <f t="shared" si="3"/>
        <v>0</v>
      </c>
      <c r="F118" s="101"/>
      <c r="G118" s="101"/>
      <c r="H118" s="101"/>
      <c r="I118" s="101"/>
      <c r="J118" s="102"/>
    </row>
    <row r="119" spans="2:10" ht="18" customHeight="1" thickBot="1" x14ac:dyDescent="0.45">
      <c r="B119" s="15" t="s">
        <v>65</v>
      </c>
      <c r="C119" s="16" t="s">
        <v>66</v>
      </c>
      <c r="D119" s="17">
        <v>13</v>
      </c>
      <c r="E119" s="18">
        <f t="shared" si="3"/>
        <v>0</v>
      </c>
      <c r="F119" s="103" t="s">
        <v>23</v>
      </c>
      <c r="G119" s="104"/>
      <c r="H119" s="104"/>
      <c r="I119" s="104"/>
      <c r="J119" s="105"/>
    </row>
    <row r="120" spans="2:10" ht="80.099999999999994" customHeight="1" thickTop="1" x14ac:dyDescent="0.4">
      <c r="B120" s="117"/>
      <c r="C120" s="117"/>
      <c r="D120" s="117"/>
      <c r="E120" s="117"/>
      <c r="F120" s="117"/>
      <c r="G120" s="117"/>
      <c r="H120" s="117"/>
      <c r="I120" s="117"/>
      <c r="J120" s="117"/>
    </row>
    <row r="121" spans="2:10" ht="18" customHeight="1" thickBot="1" x14ac:dyDescent="0.45"/>
    <row r="122" spans="2:10" ht="21" customHeight="1" thickTop="1" x14ac:dyDescent="0.4">
      <c r="B122" s="130" t="s">
        <v>107</v>
      </c>
      <c r="C122" s="131"/>
      <c r="D122" s="131"/>
      <c r="E122" s="131"/>
      <c r="F122" s="131"/>
      <c r="G122" s="131"/>
      <c r="H122" s="131"/>
      <c r="I122" s="131"/>
      <c r="J122" s="132"/>
    </row>
    <row r="123" spans="2:10" ht="18" customHeight="1" x14ac:dyDescent="0.4">
      <c r="B123" s="123" t="s">
        <v>2</v>
      </c>
      <c r="C123" s="124" t="s">
        <v>3</v>
      </c>
      <c r="D123" s="24" t="s">
        <v>4</v>
      </c>
      <c r="E123" s="24" t="s">
        <v>5</v>
      </c>
      <c r="F123" s="124" t="s">
        <v>6</v>
      </c>
      <c r="G123" s="124"/>
      <c r="H123" s="124"/>
      <c r="I123" s="124"/>
      <c r="J123" s="133"/>
    </row>
    <row r="124" spans="2:10" ht="18" customHeight="1" x14ac:dyDescent="0.4">
      <c r="B124" s="123"/>
      <c r="C124" s="124"/>
      <c r="D124" s="24" t="s">
        <v>1</v>
      </c>
      <c r="E124" s="25" t="s">
        <v>1</v>
      </c>
      <c r="F124" s="124"/>
      <c r="G124" s="124"/>
      <c r="H124" s="124"/>
      <c r="I124" s="124"/>
      <c r="J124" s="133"/>
    </row>
    <row r="125" spans="2:10" ht="18" customHeight="1" x14ac:dyDescent="0.4">
      <c r="B125" s="71" t="s">
        <v>97</v>
      </c>
      <c r="C125" s="10" t="s">
        <v>7</v>
      </c>
      <c r="D125" s="11">
        <v>32.5</v>
      </c>
      <c r="E125" s="12">
        <f t="shared" ref="E125:E147" si="4">D125*D$2</f>
        <v>0</v>
      </c>
      <c r="F125" s="72" t="s">
        <v>98</v>
      </c>
      <c r="G125" s="72"/>
      <c r="H125" s="72"/>
      <c r="I125" s="72"/>
      <c r="J125" s="73"/>
    </row>
    <row r="126" spans="2:10" ht="18" customHeight="1" x14ac:dyDescent="0.4">
      <c r="B126" s="71"/>
      <c r="C126" s="10" t="s">
        <v>99</v>
      </c>
      <c r="D126" s="11">
        <v>1.625</v>
      </c>
      <c r="E126" s="12">
        <f t="shared" si="4"/>
        <v>0</v>
      </c>
      <c r="F126" s="72"/>
      <c r="G126" s="72"/>
      <c r="H126" s="72"/>
      <c r="I126" s="72"/>
      <c r="J126" s="73"/>
    </row>
    <row r="127" spans="2:10" ht="18" customHeight="1" x14ac:dyDescent="0.4">
      <c r="B127" s="106" t="s">
        <v>208</v>
      </c>
      <c r="C127" s="21" t="s">
        <v>130</v>
      </c>
      <c r="D127" s="27">
        <v>19.5</v>
      </c>
      <c r="E127" s="12">
        <f t="shared" si="4"/>
        <v>0</v>
      </c>
      <c r="F127" s="135" t="s">
        <v>209</v>
      </c>
      <c r="G127" s="136"/>
      <c r="H127" s="136"/>
      <c r="I127" s="136"/>
      <c r="J127" s="137"/>
    </row>
    <row r="128" spans="2:10" ht="18" customHeight="1" x14ac:dyDescent="0.4">
      <c r="B128" s="107"/>
      <c r="C128" s="21" t="s">
        <v>210</v>
      </c>
      <c r="D128" s="27">
        <v>6.5</v>
      </c>
      <c r="E128" s="12">
        <f t="shared" si="4"/>
        <v>0</v>
      </c>
      <c r="F128" s="138"/>
      <c r="G128" s="139"/>
      <c r="H128" s="139"/>
      <c r="I128" s="139"/>
      <c r="J128" s="140"/>
    </row>
    <row r="129" spans="2:10" ht="18" customHeight="1" x14ac:dyDescent="0.4">
      <c r="B129" s="107"/>
      <c r="C129" s="21" t="s">
        <v>49</v>
      </c>
      <c r="D129" s="27">
        <v>6.5</v>
      </c>
      <c r="E129" s="12">
        <f t="shared" si="4"/>
        <v>0</v>
      </c>
      <c r="F129" s="138"/>
      <c r="G129" s="139"/>
      <c r="H129" s="139"/>
      <c r="I129" s="139"/>
      <c r="J129" s="140"/>
    </row>
    <row r="130" spans="2:10" ht="18" customHeight="1" x14ac:dyDescent="0.4">
      <c r="B130" s="107"/>
      <c r="C130" s="21" t="s">
        <v>76</v>
      </c>
      <c r="D130" s="27">
        <v>3.25</v>
      </c>
      <c r="E130" s="12">
        <f t="shared" si="4"/>
        <v>0</v>
      </c>
      <c r="F130" s="138"/>
      <c r="G130" s="139"/>
      <c r="H130" s="139"/>
      <c r="I130" s="139"/>
      <c r="J130" s="140"/>
    </row>
    <row r="131" spans="2:10" ht="18" customHeight="1" x14ac:dyDescent="0.4">
      <c r="B131" s="107"/>
      <c r="C131" s="21" t="s">
        <v>15</v>
      </c>
      <c r="D131" s="28">
        <v>1.9500000000000002</v>
      </c>
      <c r="E131" s="12">
        <f t="shared" si="4"/>
        <v>0</v>
      </c>
      <c r="F131" s="138"/>
      <c r="G131" s="139"/>
      <c r="H131" s="139"/>
      <c r="I131" s="139"/>
      <c r="J131" s="140"/>
    </row>
    <row r="132" spans="2:10" ht="18" customHeight="1" x14ac:dyDescent="0.4">
      <c r="B132" s="107"/>
      <c r="C132" s="21" t="s">
        <v>27</v>
      </c>
      <c r="D132" s="27">
        <v>1.3</v>
      </c>
      <c r="E132" s="12">
        <f t="shared" si="4"/>
        <v>0</v>
      </c>
      <c r="F132" s="138"/>
      <c r="G132" s="139"/>
      <c r="H132" s="139"/>
      <c r="I132" s="139"/>
      <c r="J132" s="140"/>
    </row>
    <row r="133" spans="2:10" ht="18" customHeight="1" x14ac:dyDescent="0.4">
      <c r="B133" s="107"/>
      <c r="C133" s="21" t="s">
        <v>14</v>
      </c>
      <c r="D133" s="27">
        <v>0.13</v>
      </c>
      <c r="E133" s="12">
        <f t="shared" si="4"/>
        <v>0</v>
      </c>
      <c r="F133" s="138"/>
      <c r="G133" s="139"/>
      <c r="H133" s="139"/>
      <c r="I133" s="139"/>
      <c r="J133" s="140"/>
    </row>
    <row r="134" spans="2:10" ht="18" customHeight="1" x14ac:dyDescent="0.4">
      <c r="B134" s="134"/>
      <c r="C134" s="21" t="s">
        <v>13</v>
      </c>
      <c r="D134" s="27">
        <v>1.3</v>
      </c>
      <c r="E134" s="12">
        <f t="shared" si="4"/>
        <v>0</v>
      </c>
      <c r="F134" s="141"/>
      <c r="G134" s="142"/>
      <c r="H134" s="142"/>
      <c r="I134" s="142"/>
      <c r="J134" s="143"/>
    </row>
    <row r="135" spans="2:10" ht="18" customHeight="1" x14ac:dyDescent="0.4">
      <c r="B135" s="144" t="s">
        <v>131</v>
      </c>
      <c r="C135" s="10" t="s">
        <v>136</v>
      </c>
      <c r="D135" s="28">
        <v>26</v>
      </c>
      <c r="E135" s="12">
        <f t="shared" si="4"/>
        <v>0</v>
      </c>
      <c r="F135" s="72" t="s">
        <v>132</v>
      </c>
      <c r="G135" s="72"/>
      <c r="H135" s="72"/>
      <c r="I135" s="72"/>
      <c r="J135" s="73"/>
    </row>
    <row r="136" spans="2:10" ht="18" customHeight="1" x14ac:dyDescent="0.4">
      <c r="B136" s="145"/>
      <c r="C136" s="10" t="s">
        <v>21</v>
      </c>
      <c r="D136" s="27">
        <v>0.65</v>
      </c>
      <c r="E136" s="12">
        <f t="shared" si="4"/>
        <v>0</v>
      </c>
      <c r="F136" s="72"/>
      <c r="G136" s="72"/>
      <c r="H136" s="72"/>
      <c r="I136" s="72"/>
      <c r="J136" s="73"/>
    </row>
    <row r="137" spans="2:10" ht="18" customHeight="1" x14ac:dyDescent="0.4">
      <c r="B137" s="145"/>
      <c r="C137" s="10" t="s">
        <v>19</v>
      </c>
      <c r="D137" s="28">
        <v>1.9500000000000002</v>
      </c>
      <c r="E137" s="12">
        <f t="shared" si="4"/>
        <v>0</v>
      </c>
      <c r="F137" s="72"/>
      <c r="G137" s="72"/>
      <c r="H137" s="72"/>
      <c r="I137" s="72"/>
      <c r="J137" s="73"/>
    </row>
    <row r="138" spans="2:10" ht="18" customHeight="1" x14ac:dyDescent="0.4">
      <c r="B138" s="145"/>
      <c r="C138" s="10" t="s">
        <v>13</v>
      </c>
      <c r="D138" s="28">
        <v>1.9500000000000002</v>
      </c>
      <c r="E138" s="12">
        <f t="shared" si="4"/>
        <v>0</v>
      </c>
      <c r="F138" s="72"/>
      <c r="G138" s="72"/>
      <c r="H138" s="72"/>
      <c r="I138" s="72"/>
      <c r="J138" s="73"/>
    </row>
    <row r="139" spans="2:10" ht="18" customHeight="1" x14ac:dyDescent="0.4">
      <c r="B139" s="145"/>
      <c r="C139" s="10" t="s">
        <v>14</v>
      </c>
      <c r="D139" s="27">
        <v>0.65</v>
      </c>
      <c r="E139" s="12">
        <f t="shared" si="4"/>
        <v>0</v>
      </c>
      <c r="F139" s="72"/>
      <c r="G139" s="72"/>
      <c r="H139" s="72"/>
      <c r="I139" s="72"/>
      <c r="J139" s="73"/>
    </row>
    <row r="140" spans="2:10" ht="18" customHeight="1" x14ac:dyDescent="0.4">
      <c r="B140" s="146"/>
      <c r="C140" s="10" t="s">
        <v>22</v>
      </c>
      <c r="D140" s="27">
        <v>0.13</v>
      </c>
      <c r="E140" s="12">
        <f t="shared" si="4"/>
        <v>0</v>
      </c>
      <c r="F140" s="72"/>
      <c r="G140" s="72"/>
      <c r="H140" s="72"/>
      <c r="I140" s="72"/>
      <c r="J140" s="73"/>
    </row>
    <row r="141" spans="2:10" ht="18" customHeight="1" x14ac:dyDescent="0.4">
      <c r="B141" s="74" t="s">
        <v>62</v>
      </c>
      <c r="C141" s="10" t="s">
        <v>53</v>
      </c>
      <c r="D141" s="11">
        <v>19.5</v>
      </c>
      <c r="E141" s="12">
        <f t="shared" si="4"/>
        <v>0</v>
      </c>
      <c r="F141" s="77" t="s">
        <v>211</v>
      </c>
      <c r="G141" s="77"/>
      <c r="H141" s="77"/>
      <c r="I141" s="77"/>
      <c r="J141" s="78"/>
    </row>
    <row r="142" spans="2:10" ht="18" customHeight="1" x14ac:dyDescent="0.4">
      <c r="B142" s="75"/>
      <c r="C142" s="10" t="s">
        <v>60</v>
      </c>
      <c r="D142" s="11">
        <v>0.32500000000000001</v>
      </c>
      <c r="E142" s="12">
        <f t="shared" si="4"/>
        <v>0</v>
      </c>
      <c r="F142" s="77" t="s">
        <v>155</v>
      </c>
      <c r="G142" s="77"/>
      <c r="H142" s="77"/>
      <c r="I142" s="77"/>
      <c r="J142" s="78"/>
    </row>
    <row r="143" spans="2:10" ht="18" customHeight="1" x14ac:dyDescent="0.4">
      <c r="B143" s="75"/>
      <c r="C143" s="10" t="s">
        <v>21</v>
      </c>
      <c r="D143" s="11">
        <v>0.65</v>
      </c>
      <c r="E143" s="12">
        <f t="shared" si="4"/>
        <v>0</v>
      </c>
      <c r="F143" s="77"/>
      <c r="G143" s="77"/>
      <c r="H143" s="77"/>
      <c r="I143" s="77"/>
      <c r="J143" s="78"/>
    </row>
    <row r="144" spans="2:10" ht="18" customHeight="1" x14ac:dyDescent="0.4">
      <c r="B144" s="75"/>
      <c r="C144" s="10" t="s">
        <v>63</v>
      </c>
      <c r="D144" s="11">
        <v>0.65</v>
      </c>
      <c r="E144" s="12">
        <f t="shared" si="4"/>
        <v>0</v>
      </c>
      <c r="F144" s="77" t="s">
        <v>155</v>
      </c>
      <c r="G144" s="77"/>
      <c r="H144" s="77"/>
      <c r="I144" s="77"/>
      <c r="J144" s="78"/>
    </row>
    <row r="145" spans="2:10" ht="18" customHeight="1" x14ac:dyDescent="0.4">
      <c r="B145" s="75"/>
      <c r="C145" s="10" t="s">
        <v>64</v>
      </c>
      <c r="D145" s="11">
        <v>0.13</v>
      </c>
      <c r="E145" s="12">
        <f t="shared" si="4"/>
        <v>0</v>
      </c>
      <c r="F145" s="77" t="s">
        <v>155</v>
      </c>
      <c r="G145" s="77"/>
      <c r="H145" s="77"/>
      <c r="I145" s="77"/>
      <c r="J145" s="78"/>
    </row>
    <row r="146" spans="2:10" ht="18" customHeight="1" x14ac:dyDescent="0.4">
      <c r="B146" s="76"/>
      <c r="C146" s="10" t="s">
        <v>14</v>
      </c>
      <c r="D146" s="11">
        <v>0.32500000000000001</v>
      </c>
      <c r="E146" s="12">
        <f t="shared" si="4"/>
        <v>0</v>
      </c>
      <c r="F146" s="77" t="s">
        <v>155</v>
      </c>
      <c r="G146" s="77"/>
      <c r="H146" s="77"/>
      <c r="I146" s="77"/>
      <c r="J146" s="78"/>
    </row>
    <row r="147" spans="2:10" ht="18" customHeight="1" thickBot="1" x14ac:dyDescent="0.45">
      <c r="B147" s="15" t="s">
        <v>65</v>
      </c>
      <c r="C147" s="16" t="s">
        <v>66</v>
      </c>
      <c r="D147" s="17">
        <v>13</v>
      </c>
      <c r="E147" s="18">
        <f t="shared" si="4"/>
        <v>0</v>
      </c>
      <c r="F147" s="103" t="s">
        <v>23</v>
      </c>
      <c r="G147" s="104"/>
      <c r="H147" s="104"/>
      <c r="I147" s="104"/>
      <c r="J147" s="105"/>
    </row>
    <row r="148" spans="2:10" ht="80.099999999999994" customHeight="1" thickTop="1" x14ac:dyDescent="0.4">
      <c r="B148" s="117"/>
      <c r="C148" s="117"/>
      <c r="D148" s="117"/>
      <c r="E148" s="117"/>
      <c r="F148" s="117"/>
      <c r="G148" s="117"/>
      <c r="H148" s="117"/>
      <c r="I148" s="117"/>
      <c r="J148" s="117"/>
    </row>
    <row r="149" spans="2:10" ht="18" customHeight="1" x14ac:dyDescent="0.4"/>
  </sheetData>
  <mergeCells count="71">
    <mergeCell ref="B141:B146"/>
    <mergeCell ref="F141:J146"/>
    <mergeCell ref="F147:J147"/>
    <mergeCell ref="B148:J148"/>
    <mergeCell ref="B63:J63"/>
    <mergeCell ref="B65:J65"/>
    <mergeCell ref="B66:B67"/>
    <mergeCell ref="C66:C67"/>
    <mergeCell ref="F66:J67"/>
    <mergeCell ref="B127:B134"/>
    <mergeCell ref="F127:J134"/>
    <mergeCell ref="B135:B140"/>
    <mergeCell ref="F135:J140"/>
    <mergeCell ref="B91:J91"/>
    <mergeCell ref="B93:J93"/>
    <mergeCell ref="B94:B95"/>
    <mergeCell ref="B46:B54"/>
    <mergeCell ref="F46:J54"/>
    <mergeCell ref="B55:B61"/>
    <mergeCell ref="F55:J61"/>
    <mergeCell ref="F62:J62"/>
    <mergeCell ref="B39:B45"/>
    <mergeCell ref="F39:J45"/>
    <mergeCell ref="B7:B8"/>
    <mergeCell ref="C7:C8"/>
    <mergeCell ref="E2:J2"/>
    <mergeCell ref="B3:J5"/>
    <mergeCell ref="B6:J6"/>
    <mergeCell ref="F7:J8"/>
    <mergeCell ref="B9:B10"/>
    <mergeCell ref="F9:J10"/>
    <mergeCell ref="B11:B17"/>
    <mergeCell ref="C94:C95"/>
    <mergeCell ref="F94:J95"/>
    <mergeCell ref="F96:J96"/>
    <mergeCell ref="B97:B104"/>
    <mergeCell ref="F97:J104"/>
    <mergeCell ref="B105:B111"/>
    <mergeCell ref="F105:J111"/>
    <mergeCell ref="B123:B124"/>
    <mergeCell ref="C123:C124"/>
    <mergeCell ref="F123:J124"/>
    <mergeCell ref="B125:B126"/>
    <mergeCell ref="F125:J126"/>
    <mergeCell ref="B112:B118"/>
    <mergeCell ref="F112:J118"/>
    <mergeCell ref="F119:J119"/>
    <mergeCell ref="B120:J120"/>
    <mergeCell ref="B122:J122"/>
    <mergeCell ref="B84:B89"/>
    <mergeCell ref="F84:J89"/>
    <mergeCell ref="F90:J90"/>
    <mergeCell ref="F11:J17"/>
    <mergeCell ref="B18:B24"/>
    <mergeCell ref="F18:J24"/>
    <mergeCell ref="B25:B30"/>
    <mergeCell ref="F25:J30"/>
    <mergeCell ref="F31:J31"/>
    <mergeCell ref="B32:J32"/>
    <mergeCell ref="B34:J34"/>
    <mergeCell ref="B35:B36"/>
    <mergeCell ref="C35:C36"/>
    <mergeCell ref="F35:J36"/>
    <mergeCell ref="B37:B38"/>
    <mergeCell ref="F37:J38"/>
    <mergeCell ref="B68:B69"/>
    <mergeCell ref="F68:J69"/>
    <mergeCell ref="B70:B75"/>
    <mergeCell ref="F70:J75"/>
    <mergeCell ref="B76:B83"/>
    <mergeCell ref="F76:J83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62"/>
  <sheetViews>
    <sheetView workbookViewId="0">
      <selection activeCell="N5" sqref="N5"/>
    </sheetView>
  </sheetViews>
  <sheetFormatPr defaultColWidth="9" defaultRowHeight="14.4" x14ac:dyDescent="0.4"/>
  <cols>
    <col min="1" max="1" width="4.8984375" style="3" customWidth="1"/>
    <col min="2" max="2" width="18.59765625" style="3" customWidth="1"/>
    <col min="3" max="10" width="11.59765625" style="3" customWidth="1"/>
    <col min="11" max="11" width="4.8984375" style="3" customWidth="1"/>
    <col min="12" max="16384" width="9" style="3"/>
  </cols>
  <sheetData>
    <row r="1" spans="2:10" ht="15" thickBot="1" x14ac:dyDescent="0.45"/>
    <row r="2" spans="2:10" ht="18" customHeight="1" thickTop="1" thickBot="1" x14ac:dyDescent="0.45">
      <c r="B2" s="5" t="s">
        <v>0</v>
      </c>
      <c r="C2" s="5" t="s">
        <v>1</v>
      </c>
      <c r="D2" s="26"/>
      <c r="E2" s="121" t="s">
        <v>145</v>
      </c>
      <c r="F2" s="121"/>
      <c r="G2" s="121"/>
      <c r="H2" s="121"/>
      <c r="I2" s="121"/>
      <c r="J2" s="121"/>
    </row>
    <row r="3" spans="2:10" ht="34.5" customHeight="1" thickTop="1" x14ac:dyDescent="0.4">
      <c r="B3" s="122" t="s">
        <v>146</v>
      </c>
      <c r="C3" s="122"/>
      <c r="D3" s="122"/>
      <c r="E3" s="122"/>
      <c r="F3" s="122"/>
      <c r="G3" s="122"/>
      <c r="H3" s="122"/>
      <c r="I3" s="122"/>
      <c r="J3" s="122"/>
    </row>
    <row r="4" spans="2:10" ht="16.5" customHeight="1" x14ac:dyDescent="0.4">
      <c r="B4" s="122"/>
      <c r="C4" s="122"/>
      <c r="D4" s="122"/>
      <c r="E4" s="122"/>
      <c r="F4" s="122"/>
      <c r="G4" s="122"/>
      <c r="H4" s="122"/>
      <c r="I4" s="122"/>
      <c r="J4" s="122"/>
    </row>
    <row r="5" spans="2:10" ht="16.5" customHeight="1" thickBot="1" x14ac:dyDescent="0.45">
      <c r="B5" s="122"/>
      <c r="C5" s="122"/>
      <c r="D5" s="122"/>
      <c r="E5" s="122"/>
      <c r="F5" s="122"/>
      <c r="G5" s="122"/>
      <c r="H5" s="122"/>
      <c r="I5" s="122"/>
      <c r="J5" s="122"/>
    </row>
    <row r="6" spans="2:10" ht="21" customHeight="1" thickTop="1" x14ac:dyDescent="0.4">
      <c r="B6" s="58" t="s">
        <v>110</v>
      </c>
      <c r="C6" s="59"/>
      <c r="D6" s="59"/>
      <c r="E6" s="59"/>
      <c r="F6" s="59"/>
      <c r="G6" s="59"/>
      <c r="H6" s="59"/>
      <c r="I6" s="59"/>
      <c r="J6" s="60"/>
    </row>
    <row r="7" spans="2:10" ht="18" customHeight="1" x14ac:dyDescent="0.4">
      <c r="B7" s="61" t="s">
        <v>2</v>
      </c>
      <c r="C7" s="63" t="s">
        <v>3</v>
      </c>
      <c r="D7" s="7" t="s">
        <v>4</v>
      </c>
      <c r="E7" s="7" t="s">
        <v>5</v>
      </c>
      <c r="F7" s="65" t="s">
        <v>6</v>
      </c>
      <c r="G7" s="66"/>
      <c r="H7" s="66"/>
      <c r="I7" s="66"/>
      <c r="J7" s="67"/>
    </row>
    <row r="8" spans="2:10" ht="18" customHeight="1" x14ac:dyDescent="0.4">
      <c r="B8" s="62"/>
      <c r="C8" s="64"/>
      <c r="D8" s="24" t="s">
        <v>1</v>
      </c>
      <c r="E8" s="9" t="s">
        <v>1</v>
      </c>
      <c r="F8" s="68"/>
      <c r="G8" s="69"/>
      <c r="H8" s="69"/>
      <c r="I8" s="69"/>
      <c r="J8" s="70"/>
    </row>
    <row r="9" spans="2:10" ht="18" customHeight="1" x14ac:dyDescent="0.4">
      <c r="B9" s="22" t="s">
        <v>56</v>
      </c>
      <c r="C9" s="20" t="s">
        <v>7</v>
      </c>
      <c r="D9" s="27">
        <v>32.5</v>
      </c>
      <c r="E9" s="12">
        <f t="shared" ref="E9:E34" si="0">D9*D$2</f>
        <v>0</v>
      </c>
      <c r="F9" s="81" t="s">
        <v>58</v>
      </c>
      <c r="G9" s="82"/>
      <c r="H9" s="82"/>
      <c r="I9" s="82"/>
      <c r="J9" s="83"/>
    </row>
    <row r="10" spans="2:10" ht="18" customHeight="1" x14ac:dyDescent="0.4">
      <c r="B10" s="74" t="s">
        <v>212</v>
      </c>
      <c r="C10" s="10" t="s">
        <v>20</v>
      </c>
      <c r="D10" s="27">
        <v>19.5</v>
      </c>
      <c r="E10" s="12">
        <f t="shared" si="0"/>
        <v>0</v>
      </c>
      <c r="F10" s="77" t="s">
        <v>213</v>
      </c>
      <c r="G10" s="77"/>
      <c r="H10" s="77"/>
      <c r="I10" s="77"/>
      <c r="J10" s="78"/>
    </row>
    <row r="11" spans="2:10" ht="18" customHeight="1" x14ac:dyDescent="0.4">
      <c r="B11" s="75"/>
      <c r="C11" s="10" t="s">
        <v>9</v>
      </c>
      <c r="D11" s="27">
        <v>6.5</v>
      </c>
      <c r="E11" s="12">
        <f t="shared" si="0"/>
        <v>0</v>
      </c>
      <c r="F11" s="77"/>
      <c r="G11" s="77"/>
      <c r="H11" s="77"/>
      <c r="I11" s="77"/>
      <c r="J11" s="78"/>
    </row>
    <row r="12" spans="2:10" ht="18" customHeight="1" x14ac:dyDescent="0.4">
      <c r="B12" s="75"/>
      <c r="C12" s="10" t="s">
        <v>26</v>
      </c>
      <c r="D12" s="27">
        <v>3.25</v>
      </c>
      <c r="E12" s="12">
        <f t="shared" si="0"/>
        <v>0</v>
      </c>
      <c r="F12" s="77" t="s">
        <v>155</v>
      </c>
      <c r="G12" s="77"/>
      <c r="H12" s="77"/>
      <c r="I12" s="77"/>
      <c r="J12" s="78"/>
    </row>
    <row r="13" spans="2:10" ht="18" customHeight="1" x14ac:dyDescent="0.4">
      <c r="B13" s="75"/>
      <c r="C13" s="10" t="s">
        <v>15</v>
      </c>
      <c r="D13" s="27">
        <v>1.3</v>
      </c>
      <c r="E13" s="12">
        <f t="shared" si="0"/>
        <v>0</v>
      </c>
      <c r="F13" s="77" t="s">
        <v>155</v>
      </c>
      <c r="G13" s="77"/>
      <c r="H13" s="77"/>
      <c r="I13" s="77"/>
      <c r="J13" s="78"/>
    </row>
    <row r="14" spans="2:10" ht="18" customHeight="1" x14ac:dyDescent="0.4">
      <c r="B14" s="75"/>
      <c r="C14" s="10" t="s">
        <v>11</v>
      </c>
      <c r="D14" s="27">
        <v>0.32500000000000001</v>
      </c>
      <c r="E14" s="12">
        <f t="shared" si="0"/>
        <v>0</v>
      </c>
      <c r="F14" s="77" t="s">
        <v>155</v>
      </c>
      <c r="G14" s="77"/>
      <c r="H14" s="77"/>
      <c r="I14" s="77"/>
      <c r="J14" s="78"/>
    </row>
    <row r="15" spans="2:10" ht="18" customHeight="1" x14ac:dyDescent="0.4">
      <c r="B15" s="75"/>
      <c r="C15" s="10" t="s">
        <v>12</v>
      </c>
      <c r="D15" s="27">
        <v>1.3</v>
      </c>
      <c r="E15" s="12">
        <f t="shared" si="0"/>
        <v>0</v>
      </c>
      <c r="F15" s="77" t="s">
        <v>155</v>
      </c>
      <c r="G15" s="77"/>
      <c r="H15" s="77"/>
      <c r="I15" s="77"/>
      <c r="J15" s="78"/>
    </row>
    <row r="16" spans="2:10" ht="18" customHeight="1" x14ac:dyDescent="0.4">
      <c r="B16" s="76"/>
      <c r="C16" s="10" t="s">
        <v>10</v>
      </c>
      <c r="D16" s="27">
        <v>1.3</v>
      </c>
      <c r="E16" s="12">
        <f t="shared" si="0"/>
        <v>0</v>
      </c>
      <c r="F16" s="77" t="s">
        <v>155</v>
      </c>
      <c r="G16" s="77"/>
      <c r="H16" s="77"/>
      <c r="I16" s="77"/>
      <c r="J16" s="78"/>
    </row>
    <row r="17" spans="2:10" ht="18" customHeight="1" x14ac:dyDescent="0.4">
      <c r="B17" s="97" t="s">
        <v>214</v>
      </c>
      <c r="C17" s="10" t="s">
        <v>50</v>
      </c>
      <c r="D17" s="28">
        <v>26</v>
      </c>
      <c r="E17" s="12">
        <f t="shared" si="0"/>
        <v>0</v>
      </c>
      <c r="F17" s="77" t="s">
        <v>215</v>
      </c>
      <c r="G17" s="77"/>
      <c r="H17" s="77"/>
      <c r="I17" s="77"/>
      <c r="J17" s="78"/>
    </row>
    <row r="18" spans="2:10" ht="18" customHeight="1" x14ac:dyDescent="0.4">
      <c r="B18" s="98"/>
      <c r="C18" s="21" t="s">
        <v>9</v>
      </c>
      <c r="D18" s="27">
        <v>6.5</v>
      </c>
      <c r="E18" s="12">
        <f t="shared" si="0"/>
        <v>0</v>
      </c>
      <c r="F18" s="77" t="s">
        <v>155</v>
      </c>
      <c r="G18" s="77"/>
      <c r="H18" s="77"/>
      <c r="I18" s="77"/>
      <c r="J18" s="78"/>
    </row>
    <row r="19" spans="2:10" ht="18" customHeight="1" x14ac:dyDescent="0.4">
      <c r="B19" s="98"/>
      <c r="C19" s="21" t="s">
        <v>29</v>
      </c>
      <c r="D19" s="27">
        <v>6.5</v>
      </c>
      <c r="E19" s="12">
        <f t="shared" si="0"/>
        <v>0</v>
      </c>
      <c r="F19" s="77" t="s">
        <v>155</v>
      </c>
      <c r="G19" s="77"/>
      <c r="H19" s="77"/>
      <c r="I19" s="77"/>
      <c r="J19" s="78"/>
    </row>
    <row r="20" spans="2:10" ht="18" customHeight="1" x14ac:dyDescent="0.4">
      <c r="B20" s="98"/>
      <c r="C20" s="21" t="s">
        <v>15</v>
      </c>
      <c r="D20" s="27">
        <v>1.3</v>
      </c>
      <c r="E20" s="12">
        <f t="shared" si="0"/>
        <v>0</v>
      </c>
      <c r="F20" s="77" t="s">
        <v>155</v>
      </c>
      <c r="G20" s="77"/>
      <c r="H20" s="77"/>
      <c r="I20" s="77"/>
      <c r="J20" s="78"/>
    </row>
    <row r="21" spans="2:10" ht="18" customHeight="1" x14ac:dyDescent="0.4">
      <c r="B21" s="98"/>
      <c r="C21" s="21" t="s">
        <v>13</v>
      </c>
      <c r="D21" s="27">
        <v>3.25</v>
      </c>
      <c r="E21" s="12">
        <f t="shared" si="0"/>
        <v>0</v>
      </c>
      <c r="F21" s="77" t="s">
        <v>155</v>
      </c>
      <c r="G21" s="77"/>
      <c r="H21" s="77"/>
      <c r="I21" s="77"/>
      <c r="J21" s="78"/>
    </row>
    <row r="22" spans="2:10" ht="18" customHeight="1" x14ac:dyDescent="0.4">
      <c r="B22" s="98"/>
      <c r="C22" s="21" t="s">
        <v>51</v>
      </c>
      <c r="D22" s="28">
        <v>1.9500000000000002</v>
      </c>
      <c r="E22" s="12">
        <f t="shared" si="0"/>
        <v>0</v>
      </c>
      <c r="F22" s="77" t="s">
        <v>155</v>
      </c>
      <c r="G22" s="77"/>
      <c r="H22" s="77"/>
      <c r="I22" s="77"/>
      <c r="J22" s="78"/>
    </row>
    <row r="23" spans="2:10" ht="18" customHeight="1" x14ac:dyDescent="0.4">
      <c r="B23" s="98"/>
      <c r="C23" s="21" t="s">
        <v>60</v>
      </c>
      <c r="D23" s="27">
        <v>0.65</v>
      </c>
      <c r="E23" s="12">
        <f t="shared" si="0"/>
        <v>0</v>
      </c>
      <c r="F23" s="77" t="s">
        <v>155</v>
      </c>
      <c r="G23" s="77"/>
      <c r="H23" s="77"/>
      <c r="I23" s="77"/>
      <c r="J23" s="78"/>
    </row>
    <row r="24" spans="2:10" ht="18" customHeight="1" x14ac:dyDescent="0.4">
      <c r="B24" s="98"/>
      <c r="C24" s="21" t="s">
        <v>14</v>
      </c>
      <c r="D24" s="27">
        <v>0.32500000000000001</v>
      </c>
      <c r="E24" s="12">
        <f t="shared" si="0"/>
        <v>0</v>
      </c>
      <c r="F24" s="77"/>
      <c r="G24" s="77"/>
      <c r="H24" s="77"/>
      <c r="I24" s="77"/>
      <c r="J24" s="78"/>
    </row>
    <row r="25" spans="2:10" ht="18" customHeight="1" x14ac:dyDescent="0.4">
      <c r="B25" s="98"/>
      <c r="C25" s="21" t="s">
        <v>21</v>
      </c>
      <c r="D25" s="27">
        <v>0.32500000000000001</v>
      </c>
      <c r="E25" s="12">
        <f t="shared" si="0"/>
        <v>0</v>
      </c>
      <c r="F25" s="77" t="s">
        <v>155</v>
      </c>
      <c r="G25" s="77"/>
      <c r="H25" s="77"/>
      <c r="I25" s="77"/>
      <c r="J25" s="78"/>
    </row>
    <row r="26" spans="2:10" ht="18" customHeight="1" x14ac:dyDescent="0.4">
      <c r="B26" s="98"/>
      <c r="C26" s="21" t="s">
        <v>18</v>
      </c>
      <c r="D26" s="27">
        <v>0.13</v>
      </c>
      <c r="E26" s="12">
        <f t="shared" si="0"/>
        <v>0</v>
      </c>
      <c r="F26" s="77" t="s">
        <v>155</v>
      </c>
      <c r="G26" s="77"/>
      <c r="H26" s="77"/>
      <c r="I26" s="77"/>
      <c r="J26" s="78"/>
    </row>
    <row r="27" spans="2:10" ht="18" customHeight="1" x14ac:dyDescent="0.4">
      <c r="B27" s="99"/>
      <c r="C27" s="21" t="s">
        <v>19</v>
      </c>
      <c r="D27" s="27">
        <v>1.3</v>
      </c>
      <c r="E27" s="12">
        <f t="shared" si="0"/>
        <v>0</v>
      </c>
      <c r="F27" s="77" t="s">
        <v>155</v>
      </c>
      <c r="G27" s="77"/>
      <c r="H27" s="77"/>
      <c r="I27" s="77"/>
      <c r="J27" s="78"/>
    </row>
    <row r="28" spans="2:10" ht="18" customHeight="1" x14ac:dyDescent="0.4">
      <c r="B28" s="74" t="s">
        <v>216</v>
      </c>
      <c r="C28" s="10" t="s">
        <v>217</v>
      </c>
      <c r="D28" s="12">
        <v>13</v>
      </c>
      <c r="E28" s="12">
        <f t="shared" si="0"/>
        <v>0</v>
      </c>
      <c r="F28" s="88" t="s">
        <v>218</v>
      </c>
      <c r="G28" s="89"/>
      <c r="H28" s="89"/>
      <c r="I28" s="89"/>
      <c r="J28" s="90"/>
    </row>
    <row r="29" spans="2:10" ht="18" customHeight="1" x14ac:dyDescent="0.4">
      <c r="B29" s="75"/>
      <c r="C29" s="10" t="s">
        <v>11</v>
      </c>
      <c r="D29" s="29">
        <v>0.65</v>
      </c>
      <c r="E29" s="12">
        <f t="shared" si="0"/>
        <v>0</v>
      </c>
      <c r="F29" s="91"/>
      <c r="G29" s="92"/>
      <c r="H29" s="92"/>
      <c r="I29" s="92"/>
      <c r="J29" s="93"/>
    </row>
    <row r="30" spans="2:10" ht="18" customHeight="1" x14ac:dyDescent="0.4">
      <c r="B30" s="75"/>
      <c r="C30" s="10" t="s">
        <v>77</v>
      </c>
      <c r="D30" s="29">
        <v>0.19500000000000001</v>
      </c>
      <c r="E30" s="12">
        <f t="shared" si="0"/>
        <v>0</v>
      </c>
      <c r="F30" s="91"/>
      <c r="G30" s="92"/>
      <c r="H30" s="92"/>
      <c r="I30" s="92"/>
      <c r="J30" s="93"/>
    </row>
    <row r="31" spans="2:10" ht="18" customHeight="1" x14ac:dyDescent="0.4">
      <c r="B31" s="75"/>
      <c r="C31" s="10" t="s">
        <v>64</v>
      </c>
      <c r="D31" s="29">
        <v>0.19500000000000001</v>
      </c>
      <c r="E31" s="12">
        <f t="shared" si="0"/>
        <v>0</v>
      </c>
      <c r="F31" s="91"/>
      <c r="G31" s="92"/>
      <c r="H31" s="92"/>
      <c r="I31" s="92"/>
      <c r="J31" s="93"/>
    </row>
    <row r="32" spans="2:10" ht="18" customHeight="1" x14ac:dyDescent="0.4">
      <c r="B32" s="75"/>
      <c r="C32" s="10" t="s">
        <v>73</v>
      </c>
      <c r="D32" s="29">
        <v>0.13</v>
      </c>
      <c r="E32" s="12">
        <f t="shared" si="0"/>
        <v>0</v>
      </c>
      <c r="F32" s="91"/>
      <c r="G32" s="92"/>
      <c r="H32" s="92"/>
      <c r="I32" s="92"/>
      <c r="J32" s="93"/>
    </row>
    <row r="33" spans="2:10" ht="18" customHeight="1" x14ac:dyDescent="0.4">
      <c r="B33" s="75"/>
      <c r="C33" s="10" t="s">
        <v>82</v>
      </c>
      <c r="D33" s="29">
        <v>0.13</v>
      </c>
      <c r="E33" s="12">
        <f t="shared" si="0"/>
        <v>0</v>
      </c>
      <c r="F33" s="91"/>
      <c r="G33" s="92"/>
      <c r="H33" s="92"/>
      <c r="I33" s="92"/>
      <c r="J33" s="93"/>
    </row>
    <row r="34" spans="2:10" ht="18" customHeight="1" thickBot="1" x14ac:dyDescent="0.45">
      <c r="B34" s="15" t="s">
        <v>65</v>
      </c>
      <c r="C34" s="16" t="s">
        <v>66</v>
      </c>
      <c r="D34" s="17">
        <v>13</v>
      </c>
      <c r="E34" s="18">
        <f t="shared" si="0"/>
        <v>0</v>
      </c>
      <c r="F34" s="103" t="s">
        <v>23</v>
      </c>
      <c r="G34" s="104"/>
      <c r="H34" s="104"/>
      <c r="I34" s="104"/>
      <c r="J34" s="105"/>
    </row>
    <row r="35" spans="2:10" ht="80.099999999999994" customHeight="1" thickTop="1" x14ac:dyDescent="0.4">
      <c r="B35" s="117"/>
      <c r="C35" s="117"/>
      <c r="D35" s="117"/>
      <c r="E35" s="117"/>
      <c r="F35" s="117"/>
      <c r="G35" s="117"/>
      <c r="H35" s="117"/>
      <c r="I35" s="117"/>
      <c r="J35" s="117"/>
    </row>
    <row r="36" spans="2:10" ht="18" customHeight="1" thickBot="1" x14ac:dyDescent="0.45">
      <c r="B36" s="1"/>
      <c r="C36" s="1"/>
      <c r="D36" s="1"/>
      <c r="E36" s="1"/>
      <c r="F36" s="1"/>
      <c r="G36" s="1"/>
      <c r="H36" s="1"/>
      <c r="I36" s="1"/>
      <c r="J36" s="1"/>
    </row>
    <row r="37" spans="2:10" ht="21" customHeight="1" thickTop="1" x14ac:dyDescent="0.4">
      <c r="B37" s="58" t="s">
        <v>114</v>
      </c>
      <c r="C37" s="59"/>
      <c r="D37" s="59"/>
      <c r="E37" s="59"/>
      <c r="F37" s="59"/>
      <c r="G37" s="59"/>
      <c r="H37" s="59"/>
      <c r="I37" s="59"/>
      <c r="J37" s="60"/>
    </row>
    <row r="38" spans="2:10" ht="18" customHeight="1" x14ac:dyDescent="0.4">
      <c r="B38" s="61" t="s">
        <v>2</v>
      </c>
      <c r="C38" s="63" t="s">
        <v>3</v>
      </c>
      <c r="D38" s="7" t="s">
        <v>4</v>
      </c>
      <c r="E38" s="7" t="s">
        <v>5</v>
      </c>
      <c r="F38" s="65" t="s">
        <v>6</v>
      </c>
      <c r="G38" s="66"/>
      <c r="H38" s="66"/>
      <c r="I38" s="66"/>
      <c r="J38" s="67"/>
    </row>
    <row r="39" spans="2:10" ht="18" customHeight="1" x14ac:dyDescent="0.4">
      <c r="B39" s="62"/>
      <c r="C39" s="64"/>
      <c r="D39" s="24" t="s">
        <v>1</v>
      </c>
      <c r="E39" s="9" t="s">
        <v>1</v>
      </c>
      <c r="F39" s="68"/>
      <c r="G39" s="69"/>
      <c r="H39" s="69"/>
      <c r="I39" s="69"/>
      <c r="J39" s="70"/>
    </row>
    <row r="40" spans="2:10" ht="18" customHeight="1" x14ac:dyDescent="0.4">
      <c r="B40" s="106" t="s">
        <v>219</v>
      </c>
      <c r="C40" s="10" t="s">
        <v>7</v>
      </c>
      <c r="D40" s="12">
        <v>32.5</v>
      </c>
      <c r="E40" s="12">
        <f t="shared" ref="E40:E61" si="1">D40*D$2</f>
        <v>0</v>
      </c>
      <c r="F40" s="77" t="s">
        <v>220</v>
      </c>
      <c r="G40" s="77"/>
      <c r="H40" s="77"/>
      <c r="I40" s="77"/>
      <c r="J40" s="78"/>
    </row>
    <row r="41" spans="2:10" ht="18" customHeight="1" x14ac:dyDescent="0.4">
      <c r="B41" s="87"/>
      <c r="C41" s="10" t="s">
        <v>28</v>
      </c>
      <c r="D41" s="12">
        <v>19.5</v>
      </c>
      <c r="E41" s="12">
        <f t="shared" si="1"/>
        <v>0</v>
      </c>
      <c r="F41" s="77" t="s">
        <v>155</v>
      </c>
      <c r="G41" s="77"/>
      <c r="H41" s="77"/>
      <c r="I41" s="77"/>
      <c r="J41" s="78"/>
    </row>
    <row r="42" spans="2:10" ht="18" customHeight="1" x14ac:dyDescent="0.4">
      <c r="B42" s="87"/>
      <c r="C42" s="10" t="s">
        <v>9</v>
      </c>
      <c r="D42" s="29">
        <v>4.55</v>
      </c>
      <c r="E42" s="12">
        <f t="shared" si="1"/>
        <v>0</v>
      </c>
      <c r="F42" s="77" t="s">
        <v>155</v>
      </c>
      <c r="G42" s="77"/>
      <c r="H42" s="77"/>
      <c r="I42" s="77"/>
      <c r="J42" s="78"/>
    </row>
    <row r="43" spans="2:10" ht="18" customHeight="1" x14ac:dyDescent="0.4">
      <c r="B43" s="87"/>
      <c r="C43" s="10" t="s">
        <v>17</v>
      </c>
      <c r="D43" s="29">
        <v>4.55</v>
      </c>
      <c r="E43" s="12">
        <f t="shared" si="1"/>
        <v>0</v>
      </c>
      <c r="F43" s="77"/>
      <c r="G43" s="77"/>
      <c r="H43" s="77"/>
      <c r="I43" s="77"/>
      <c r="J43" s="78"/>
    </row>
    <row r="44" spans="2:10" ht="18" customHeight="1" x14ac:dyDescent="0.4">
      <c r="B44" s="87"/>
      <c r="C44" s="10" t="s">
        <v>11</v>
      </c>
      <c r="D44" s="29">
        <v>0.65</v>
      </c>
      <c r="E44" s="12">
        <f t="shared" si="1"/>
        <v>0</v>
      </c>
      <c r="F44" s="77" t="s">
        <v>155</v>
      </c>
      <c r="G44" s="77"/>
      <c r="H44" s="77"/>
      <c r="I44" s="77"/>
      <c r="J44" s="78"/>
    </row>
    <row r="45" spans="2:10" ht="18" customHeight="1" x14ac:dyDescent="0.4">
      <c r="B45" s="87"/>
      <c r="C45" s="10" t="s">
        <v>13</v>
      </c>
      <c r="D45" s="19">
        <v>1.9500000000000002</v>
      </c>
      <c r="E45" s="12">
        <f t="shared" si="1"/>
        <v>0</v>
      </c>
      <c r="F45" s="77" t="s">
        <v>155</v>
      </c>
      <c r="G45" s="77"/>
      <c r="H45" s="77"/>
      <c r="I45" s="77"/>
      <c r="J45" s="78"/>
    </row>
    <row r="46" spans="2:10" ht="18" customHeight="1" x14ac:dyDescent="0.4">
      <c r="B46" s="87"/>
      <c r="C46" s="10" t="s">
        <v>18</v>
      </c>
      <c r="D46" s="29">
        <v>6.5000000000000002E-2</v>
      </c>
      <c r="E46" s="12">
        <f t="shared" si="1"/>
        <v>0</v>
      </c>
      <c r="F46" s="77" t="s">
        <v>155</v>
      </c>
      <c r="G46" s="77"/>
      <c r="H46" s="77"/>
      <c r="I46" s="77"/>
      <c r="J46" s="78"/>
    </row>
    <row r="47" spans="2:10" ht="18" customHeight="1" x14ac:dyDescent="0.4">
      <c r="B47" s="87"/>
      <c r="C47" s="10" t="s">
        <v>14</v>
      </c>
      <c r="D47" s="29">
        <v>0.13</v>
      </c>
      <c r="E47" s="12">
        <f t="shared" si="1"/>
        <v>0</v>
      </c>
      <c r="F47" s="77" t="s">
        <v>155</v>
      </c>
      <c r="G47" s="77"/>
      <c r="H47" s="77"/>
      <c r="I47" s="77"/>
      <c r="J47" s="78"/>
    </row>
    <row r="48" spans="2:10" ht="18" customHeight="1" x14ac:dyDescent="0.4">
      <c r="B48" s="80"/>
      <c r="C48" s="12" t="s">
        <v>19</v>
      </c>
      <c r="D48" s="12">
        <v>1.3</v>
      </c>
      <c r="E48" s="12">
        <f t="shared" si="1"/>
        <v>0</v>
      </c>
      <c r="F48" s="77" t="s">
        <v>155</v>
      </c>
      <c r="G48" s="77"/>
      <c r="H48" s="77"/>
      <c r="I48" s="77"/>
      <c r="J48" s="78"/>
    </row>
    <row r="49" spans="2:10" ht="18" customHeight="1" x14ac:dyDescent="0.4">
      <c r="B49" s="106" t="s">
        <v>221</v>
      </c>
      <c r="C49" s="21" t="s">
        <v>12</v>
      </c>
      <c r="D49" s="27">
        <v>1.3</v>
      </c>
      <c r="E49" s="12">
        <f t="shared" si="1"/>
        <v>0</v>
      </c>
      <c r="F49" s="77" t="s">
        <v>222</v>
      </c>
      <c r="G49" s="77"/>
      <c r="H49" s="77"/>
      <c r="I49" s="77"/>
      <c r="J49" s="78"/>
    </row>
    <row r="50" spans="2:10" ht="18" customHeight="1" x14ac:dyDescent="0.4">
      <c r="B50" s="107"/>
      <c r="C50" s="21" t="s">
        <v>10</v>
      </c>
      <c r="D50" s="27">
        <v>1.3</v>
      </c>
      <c r="E50" s="12">
        <f t="shared" si="1"/>
        <v>0</v>
      </c>
      <c r="F50" s="77" t="s">
        <v>155</v>
      </c>
      <c r="G50" s="77"/>
      <c r="H50" s="77"/>
      <c r="I50" s="77"/>
      <c r="J50" s="78"/>
    </row>
    <row r="51" spans="2:10" ht="18" customHeight="1" x14ac:dyDescent="0.4">
      <c r="B51" s="107"/>
      <c r="C51" s="21" t="s">
        <v>223</v>
      </c>
      <c r="D51" s="27">
        <v>1.3</v>
      </c>
      <c r="E51" s="12">
        <f t="shared" si="1"/>
        <v>0</v>
      </c>
      <c r="F51" s="77" t="s">
        <v>155</v>
      </c>
      <c r="G51" s="77"/>
      <c r="H51" s="77"/>
      <c r="I51" s="77"/>
      <c r="J51" s="78"/>
    </row>
    <row r="52" spans="2:10" ht="18" customHeight="1" x14ac:dyDescent="0.4">
      <c r="B52" s="107"/>
      <c r="C52" s="21" t="s">
        <v>133</v>
      </c>
      <c r="D52" s="27">
        <v>3.25</v>
      </c>
      <c r="E52" s="12">
        <f t="shared" si="1"/>
        <v>0</v>
      </c>
      <c r="F52" s="77" t="s">
        <v>155</v>
      </c>
      <c r="G52" s="77"/>
      <c r="H52" s="77"/>
      <c r="I52" s="77"/>
      <c r="J52" s="78"/>
    </row>
    <row r="53" spans="2:10" ht="18" customHeight="1" x14ac:dyDescent="0.4">
      <c r="B53" s="107"/>
      <c r="C53" s="21" t="s">
        <v>63</v>
      </c>
      <c r="D53" s="28">
        <v>1.9500000000000002</v>
      </c>
      <c r="E53" s="12">
        <f t="shared" si="1"/>
        <v>0</v>
      </c>
      <c r="F53" s="77" t="s">
        <v>155</v>
      </c>
      <c r="G53" s="77"/>
      <c r="H53" s="77"/>
      <c r="I53" s="77"/>
      <c r="J53" s="78"/>
    </row>
    <row r="54" spans="2:10" ht="18" customHeight="1" x14ac:dyDescent="0.4">
      <c r="B54" s="107"/>
      <c r="C54" s="32" t="s">
        <v>60</v>
      </c>
      <c r="D54" s="33">
        <v>0.65</v>
      </c>
      <c r="E54" s="12">
        <f t="shared" si="1"/>
        <v>0</v>
      </c>
      <c r="F54" s="77" t="s">
        <v>155</v>
      </c>
      <c r="G54" s="77"/>
      <c r="H54" s="77"/>
      <c r="I54" s="77"/>
      <c r="J54" s="78"/>
    </row>
    <row r="55" spans="2:10" ht="18" customHeight="1" x14ac:dyDescent="0.4">
      <c r="B55" s="134"/>
      <c r="C55" s="21" t="s">
        <v>15</v>
      </c>
      <c r="D55" s="27">
        <v>1.3</v>
      </c>
      <c r="E55" s="12">
        <f t="shared" si="1"/>
        <v>0</v>
      </c>
      <c r="F55" s="77" t="s">
        <v>155</v>
      </c>
      <c r="G55" s="77"/>
      <c r="H55" s="77"/>
      <c r="I55" s="77"/>
      <c r="J55" s="78"/>
    </row>
    <row r="56" spans="2:10" ht="18" customHeight="1" x14ac:dyDescent="0.4">
      <c r="B56" s="74" t="s">
        <v>224</v>
      </c>
      <c r="C56" s="10" t="s">
        <v>115</v>
      </c>
      <c r="D56" s="12">
        <v>26</v>
      </c>
      <c r="E56" s="12">
        <f t="shared" si="1"/>
        <v>0</v>
      </c>
      <c r="F56" s="72" t="s">
        <v>225</v>
      </c>
      <c r="G56" s="72"/>
      <c r="H56" s="72"/>
      <c r="I56" s="72"/>
      <c r="J56" s="73"/>
    </row>
    <row r="57" spans="2:10" ht="18" customHeight="1" x14ac:dyDescent="0.4">
      <c r="B57" s="75"/>
      <c r="C57" s="10" t="s">
        <v>82</v>
      </c>
      <c r="D57" s="29">
        <v>0.65</v>
      </c>
      <c r="E57" s="12">
        <f t="shared" si="1"/>
        <v>0</v>
      </c>
      <c r="F57" s="72"/>
      <c r="G57" s="72"/>
      <c r="H57" s="72"/>
      <c r="I57" s="72"/>
      <c r="J57" s="73"/>
    </row>
    <row r="58" spans="2:10" ht="18" customHeight="1" x14ac:dyDescent="0.4">
      <c r="B58" s="75"/>
      <c r="C58" s="10" t="s">
        <v>64</v>
      </c>
      <c r="D58" s="29">
        <v>0.13</v>
      </c>
      <c r="E58" s="12">
        <f t="shared" si="1"/>
        <v>0</v>
      </c>
      <c r="F58" s="72"/>
      <c r="G58" s="72"/>
      <c r="H58" s="72"/>
      <c r="I58" s="72"/>
      <c r="J58" s="73"/>
    </row>
    <row r="59" spans="2:10" ht="18" customHeight="1" x14ac:dyDescent="0.4">
      <c r="B59" s="75"/>
      <c r="C59" s="10" t="s">
        <v>63</v>
      </c>
      <c r="D59" s="12">
        <v>5.2</v>
      </c>
      <c r="E59" s="12">
        <f t="shared" si="1"/>
        <v>0</v>
      </c>
      <c r="F59" s="72"/>
      <c r="G59" s="72"/>
      <c r="H59" s="72"/>
      <c r="I59" s="72"/>
      <c r="J59" s="73"/>
    </row>
    <row r="60" spans="2:10" ht="18" customHeight="1" x14ac:dyDescent="0.4">
      <c r="B60" s="76"/>
      <c r="C60" s="10" t="s">
        <v>78</v>
      </c>
      <c r="D60" s="19">
        <v>1.9500000000000002</v>
      </c>
      <c r="E60" s="12">
        <f t="shared" si="1"/>
        <v>0</v>
      </c>
      <c r="F60" s="72"/>
      <c r="G60" s="72"/>
      <c r="H60" s="72"/>
      <c r="I60" s="72"/>
      <c r="J60" s="73"/>
    </row>
    <row r="61" spans="2:10" ht="18" customHeight="1" thickBot="1" x14ac:dyDescent="0.45">
      <c r="B61" s="34" t="s">
        <v>117</v>
      </c>
      <c r="C61" s="35" t="s">
        <v>118</v>
      </c>
      <c r="D61" s="18">
        <v>13</v>
      </c>
      <c r="E61" s="18">
        <f t="shared" si="1"/>
        <v>0</v>
      </c>
      <c r="F61" s="148" t="s">
        <v>33</v>
      </c>
      <c r="G61" s="148"/>
      <c r="H61" s="148"/>
      <c r="I61" s="148"/>
      <c r="J61" s="149"/>
    </row>
    <row r="62" spans="2:10" ht="80.099999999999994" customHeight="1" thickTop="1" x14ac:dyDescent="0.4">
      <c r="B62" s="117"/>
      <c r="C62" s="117"/>
      <c r="D62" s="117"/>
      <c r="E62" s="117"/>
      <c r="F62" s="117"/>
      <c r="G62" s="117"/>
      <c r="H62" s="117"/>
      <c r="I62" s="117"/>
      <c r="J62" s="117"/>
    </row>
    <row r="63" spans="2:10" ht="18" customHeight="1" thickBot="1" x14ac:dyDescent="0.45"/>
    <row r="64" spans="2:10" ht="21" customHeight="1" thickTop="1" x14ac:dyDescent="0.4">
      <c r="B64" s="130" t="s">
        <v>119</v>
      </c>
      <c r="C64" s="131"/>
      <c r="D64" s="131"/>
      <c r="E64" s="131"/>
      <c r="F64" s="131"/>
      <c r="G64" s="131"/>
      <c r="H64" s="131"/>
      <c r="I64" s="131"/>
      <c r="J64" s="132"/>
    </row>
    <row r="65" spans="2:10" ht="18" customHeight="1" x14ac:dyDescent="0.4">
      <c r="B65" s="123" t="s">
        <v>2</v>
      </c>
      <c r="C65" s="124" t="s">
        <v>3</v>
      </c>
      <c r="D65" s="24" t="s">
        <v>4</v>
      </c>
      <c r="E65" s="24" t="s">
        <v>5</v>
      </c>
      <c r="F65" s="124" t="s">
        <v>6</v>
      </c>
      <c r="G65" s="124"/>
      <c r="H65" s="124"/>
      <c r="I65" s="124"/>
      <c r="J65" s="133"/>
    </row>
    <row r="66" spans="2:10" ht="18" customHeight="1" x14ac:dyDescent="0.4">
      <c r="B66" s="123"/>
      <c r="C66" s="124"/>
      <c r="D66" s="24" t="s">
        <v>1</v>
      </c>
      <c r="E66" s="25" t="s">
        <v>1</v>
      </c>
      <c r="F66" s="124"/>
      <c r="G66" s="124"/>
      <c r="H66" s="124"/>
      <c r="I66" s="124"/>
      <c r="J66" s="133"/>
    </row>
    <row r="67" spans="2:10" ht="18" customHeight="1" x14ac:dyDescent="0.4">
      <c r="B67" s="71" t="s">
        <v>67</v>
      </c>
      <c r="C67" s="10" t="s">
        <v>57</v>
      </c>
      <c r="D67" s="27">
        <v>32.5</v>
      </c>
      <c r="E67" s="12">
        <f t="shared" ref="E67:E91" si="2">D67*D$2</f>
        <v>0</v>
      </c>
      <c r="F67" s="81" t="s">
        <v>8</v>
      </c>
      <c r="G67" s="82"/>
      <c r="H67" s="82"/>
      <c r="I67" s="82"/>
      <c r="J67" s="83"/>
    </row>
    <row r="68" spans="2:10" ht="18" customHeight="1" x14ac:dyDescent="0.4">
      <c r="B68" s="71"/>
      <c r="C68" s="10" t="s">
        <v>68</v>
      </c>
      <c r="D68" s="27">
        <v>1.625</v>
      </c>
      <c r="E68" s="12">
        <f t="shared" si="2"/>
        <v>0</v>
      </c>
      <c r="F68" s="84"/>
      <c r="G68" s="85"/>
      <c r="H68" s="85"/>
      <c r="I68" s="85"/>
      <c r="J68" s="86"/>
    </row>
    <row r="69" spans="2:10" ht="18" customHeight="1" x14ac:dyDescent="0.4">
      <c r="B69" s="79" t="s">
        <v>111</v>
      </c>
      <c r="C69" s="10" t="s">
        <v>37</v>
      </c>
      <c r="D69" s="12">
        <v>1.3</v>
      </c>
      <c r="E69" s="12">
        <f t="shared" si="2"/>
        <v>0</v>
      </c>
      <c r="F69" s="81" t="s">
        <v>226</v>
      </c>
      <c r="G69" s="82"/>
      <c r="H69" s="82"/>
      <c r="I69" s="82"/>
      <c r="J69" s="83"/>
    </row>
    <row r="70" spans="2:10" ht="18" customHeight="1" x14ac:dyDescent="0.4">
      <c r="B70" s="87"/>
      <c r="C70" s="10" t="s">
        <v>60</v>
      </c>
      <c r="D70" s="29">
        <v>0.32500000000000001</v>
      </c>
      <c r="E70" s="12">
        <f t="shared" si="2"/>
        <v>0</v>
      </c>
      <c r="F70" s="151"/>
      <c r="G70" s="152"/>
      <c r="H70" s="152"/>
      <c r="I70" s="152"/>
      <c r="J70" s="153"/>
    </row>
    <row r="71" spans="2:10" ht="18" customHeight="1" x14ac:dyDescent="0.4">
      <c r="B71" s="87"/>
      <c r="C71" s="10" t="s">
        <v>13</v>
      </c>
      <c r="D71" s="29">
        <v>0.65</v>
      </c>
      <c r="E71" s="12">
        <f t="shared" si="2"/>
        <v>0</v>
      </c>
      <c r="F71" s="151"/>
      <c r="G71" s="152"/>
      <c r="H71" s="152"/>
      <c r="I71" s="152"/>
      <c r="J71" s="153"/>
    </row>
    <row r="72" spans="2:10" ht="18" customHeight="1" x14ac:dyDescent="0.4">
      <c r="B72" s="87"/>
      <c r="C72" s="10" t="s">
        <v>21</v>
      </c>
      <c r="D72" s="29">
        <v>0.32500000000000001</v>
      </c>
      <c r="E72" s="12">
        <f t="shared" si="2"/>
        <v>0</v>
      </c>
      <c r="F72" s="151"/>
      <c r="G72" s="152"/>
      <c r="H72" s="152"/>
      <c r="I72" s="152"/>
      <c r="J72" s="153"/>
    </row>
    <row r="73" spans="2:10" ht="18" customHeight="1" x14ac:dyDescent="0.4">
      <c r="B73" s="80"/>
      <c r="C73" s="10" t="s">
        <v>14</v>
      </c>
      <c r="D73" s="29">
        <v>0.65</v>
      </c>
      <c r="E73" s="12">
        <f t="shared" si="2"/>
        <v>0</v>
      </c>
      <c r="F73" s="84"/>
      <c r="G73" s="85"/>
      <c r="H73" s="85"/>
      <c r="I73" s="85"/>
      <c r="J73" s="86"/>
    </row>
    <row r="74" spans="2:10" ht="18" customHeight="1" x14ac:dyDescent="0.4">
      <c r="B74" s="127" t="s">
        <v>227</v>
      </c>
      <c r="C74" s="10" t="s">
        <v>61</v>
      </c>
      <c r="D74" s="27">
        <v>29.25</v>
      </c>
      <c r="E74" s="12">
        <f t="shared" si="2"/>
        <v>0</v>
      </c>
      <c r="F74" s="77" t="s">
        <v>228</v>
      </c>
      <c r="G74" s="77"/>
      <c r="H74" s="77"/>
      <c r="I74" s="77"/>
      <c r="J74" s="78"/>
    </row>
    <row r="75" spans="2:10" ht="18" customHeight="1" x14ac:dyDescent="0.4">
      <c r="B75" s="127"/>
      <c r="C75" s="10" t="s">
        <v>109</v>
      </c>
      <c r="D75" s="27">
        <v>9.75</v>
      </c>
      <c r="E75" s="12">
        <f t="shared" si="2"/>
        <v>0</v>
      </c>
      <c r="F75" s="77" t="s">
        <v>155</v>
      </c>
      <c r="G75" s="77"/>
      <c r="H75" s="77"/>
      <c r="I75" s="77"/>
      <c r="J75" s="78"/>
    </row>
    <row r="76" spans="2:10" ht="18" customHeight="1" x14ac:dyDescent="0.4">
      <c r="B76" s="127"/>
      <c r="C76" s="10" t="s">
        <v>71</v>
      </c>
      <c r="D76" s="27">
        <v>19.5</v>
      </c>
      <c r="E76" s="12">
        <f t="shared" si="2"/>
        <v>0</v>
      </c>
      <c r="F76" s="77" t="s">
        <v>155</v>
      </c>
      <c r="G76" s="77"/>
      <c r="H76" s="77"/>
      <c r="I76" s="77"/>
      <c r="J76" s="78"/>
    </row>
    <row r="77" spans="2:10" ht="18" customHeight="1" x14ac:dyDescent="0.4">
      <c r="B77" s="127"/>
      <c r="C77" s="10" t="s">
        <v>60</v>
      </c>
      <c r="D77" s="27">
        <v>0.65</v>
      </c>
      <c r="E77" s="12">
        <f t="shared" si="2"/>
        <v>0</v>
      </c>
      <c r="F77" s="77" t="s">
        <v>155</v>
      </c>
      <c r="G77" s="77"/>
      <c r="H77" s="77"/>
      <c r="I77" s="77"/>
      <c r="J77" s="78"/>
    </row>
    <row r="78" spans="2:10" ht="18" customHeight="1" x14ac:dyDescent="0.4">
      <c r="B78" s="127"/>
      <c r="C78" s="10" t="s">
        <v>63</v>
      </c>
      <c r="D78" s="27">
        <v>1.3</v>
      </c>
      <c r="E78" s="12">
        <f t="shared" si="2"/>
        <v>0</v>
      </c>
      <c r="F78" s="77" t="s">
        <v>155</v>
      </c>
      <c r="G78" s="77"/>
      <c r="H78" s="77"/>
      <c r="I78" s="77"/>
      <c r="J78" s="78"/>
    </row>
    <row r="79" spans="2:10" ht="18" customHeight="1" x14ac:dyDescent="0.4">
      <c r="B79" s="127"/>
      <c r="C79" s="10" t="s">
        <v>78</v>
      </c>
      <c r="D79" s="28">
        <v>1.9500000000000002</v>
      </c>
      <c r="E79" s="12">
        <f t="shared" si="2"/>
        <v>0</v>
      </c>
      <c r="F79" s="77" t="s">
        <v>155</v>
      </c>
      <c r="G79" s="77"/>
      <c r="H79" s="77"/>
      <c r="I79" s="77"/>
      <c r="J79" s="78"/>
    </row>
    <row r="80" spans="2:10" ht="18" customHeight="1" x14ac:dyDescent="0.4">
      <c r="B80" s="127"/>
      <c r="C80" s="10" t="s">
        <v>73</v>
      </c>
      <c r="D80" s="27">
        <v>0.65</v>
      </c>
      <c r="E80" s="12">
        <f t="shared" si="2"/>
        <v>0</v>
      </c>
      <c r="F80" s="77" t="s">
        <v>155</v>
      </c>
      <c r="G80" s="77"/>
      <c r="H80" s="77"/>
      <c r="I80" s="77"/>
      <c r="J80" s="78"/>
    </row>
    <row r="81" spans="2:10" ht="18" customHeight="1" x14ac:dyDescent="0.4">
      <c r="B81" s="127"/>
      <c r="C81" s="10" t="s">
        <v>74</v>
      </c>
      <c r="D81" s="27">
        <v>6.5000000000000002E-2</v>
      </c>
      <c r="E81" s="12">
        <f t="shared" si="2"/>
        <v>0</v>
      </c>
      <c r="F81" s="77"/>
      <c r="G81" s="77"/>
      <c r="H81" s="77"/>
      <c r="I81" s="77"/>
      <c r="J81" s="78"/>
    </row>
    <row r="82" spans="2:10" ht="18" customHeight="1" x14ac:dyDescent="0.4">
      <c r="B82" s="127"/>
      <c r="C82" s="10" t="s">
        <v>82</v>
      </c>
      <c r="D82" s="27">
        <v>0.65</v>
      </c>
      <c r="E82" s="12">
        <f t="shared" si="2"/>
        <v>0</v>
      </c>
      <c r="F82" s="77" t="s">
        <v>155</v>
      </c>
      <c r="G82" s="77"/>
      <c r="H82" s="77"/>
      <c r="I82" s="77"/>
      <c r="J82" s="78"/>
    </row>
    <row r="83" spans="2:10" ht="18" customHeight="1" x14ac:dyDescent="0.4">
      <c r="B83" s="127"/>
      <c r="C83" s="10" t="s">
        <v>64</v>
      </c>
      <c r="D83" s="27">
        <v>0.65</v>
      </c>
      <c r="E83" s="12">
        <f t="shared" si="2"/>
        <v>0</v>
      </c>
      <c r="F83" s="77" t="s">
        <v>155</v>
      </c>
      <c r="G83" s="77"/>
      <c r="H83" s="77"/>
      <c r="I83" s="77"/>
      <c r="J83" s="78"/>
    </row>
    <row r="84" spans="2:10" ht="18" customHeight="1" x14ac:dyDescent="0.4">
      <c r="B84" s="127"/>
      <c r="C84" s="10" t="s">
        <v>19</v>
      </c>
      <c r="D84" s="27">
        <v>0.65</v>
      </c>
      <c r="E84" s="12">
        <f t="shared" si="2"/>
        <v>0</v>
      </c>
      <c r="F84" s="77" t="s">
        <v>155</v>
      </c>
      <c r="G84" s="77"/>
      <c r="H84" s="77"/>
      <c r="I84" s="77"/>
      <c r="J84" s="78"/>
    </row>
    <row r="85" spans="2:10" ht="18" customHeight="1" x14ac:dyDescent="0.4">
      <c r="B85" s="129" t="s">
        <v>116</v>
      </c>
      <c r="C85" s="10" t="s">
        <v>30</v>
      </c>
      <c r="D85" s="12">
        <v>19.5</v>
      </c>
      <c r="E85" s="12">
        <f t="shared" si="2"/>
        <v>0</v>
      </c>
      <c r="F85" s="77" t="s">
        <v>229</v>
      </c>
      <c r="G85" s="77"/>
      <c r="H85" s="77"/>
      <c r="I85" s="77"/>
      <c r="J85" s="78"/>
    </row>
    <row r="86" spans="2:10" ht="18" customHeight="1" x14ac:dyDescent="0.4">
      <c r="B86" s="129"/>
      <c r="C86" s="10" t="s">
        <v>11</v>
      </c>
      <c r="D86" s="29">
        <v>0.19500000000000001</v>
      </c>
      <c r="E86" s="12">
        <f t="shared" si="2"/>
        <v>0</v>
      </c>
      <c r="F86" s="77" t="s">
        <v>155</v>
      </c>
      <c r="G86" s="77"/>
      <c r="H86" s="77"/>
      <c r="I86" s="77"/>
      <c r="J86" s="78"/>
    </row>
    <row r="87" spans="2:10" ht="18" customHeight="1" x14ac:dyDescent="0.4">
      <c r="B87" s="129"/>
      <c r="C87" s="10" t="s">
        <v>15</v>
      </c>
      <c r="D87" s="29">
        <v>0.13</v>
      </c>
      <c r="E87" s="12">
        <f t="shared" si="2"/>
        <v>0</v>
      </c>
      <c r="F87" s="77" t="s">
        <v>155</v>
      </c>
      <c r="G87" s="77"/>
      <c r="H87" s="77"/>
      <c r="I87" s="77"/>
      <c r="J87" s="78"/>
    </row>
    <row r="88" spans="2:10" ht="18" customHeight="1" x14ac:dyDescent="0.4">
      <c r="B88" s="129"/>
      <c r="C88" s="10" t="s">
        <v>21</v>
      </c>
      <c r="D88" s="29">
        <v>6.5000000000000002E-2</v>
      </c>
      <c r="E88" s="12">
        <f t="shared" si="2"/>
        <v>0</v>
      </c>
      <c r="F88" s="77" t="s">
        <v>155</v>
      </c>
      <c r="G88" s="77"/>
      <c r="H88" s="77"/>
      <c r="I88" s="77"/>
      <c r="J88" s="78"/>
    </row>
    <row r="89" spans="2:10" ht="18" customHeight="1" x14ac:dyDescent="0.4">
      <c r="B89" s="129"/>
      <c r="C89" s="10" t="s">
        <v>14</v>
      </c>
      <c r="D89" s="29">
        <v>0.13</v>
      </c>
      <c r="E89" s="12">
        <f t="shared" si="2"/>
        <v>0</v>
      </c>
      <c r="F89" s="77" t="s">
        <v>155</v>
      </c>
      <c r="G89" s="77"/>
      <c r="H89" s="77"/>
      <c r="I89" s="77"/>
      <c r="J89" s="78"/>
    </row>
    <row r="90" spans="2:10" ht="18" customHeight="1" x14ac:dyDescent="0.4">
      <c r="B90" s="129"/>
      <c r="C90" s="10" t="s">
        <v>22</v>
      </c>
      <c r="D90" s="29">
        <v>0.13</v>
      </c>
      <c r="E90" s="12">
        <f t="shared" si="2"/>
        <v>0</v>
      </c>
      <c r="F90" s="77" t="s">
        <v>155</v>
      </c>
      <c r="G90" s="77"/>
      <c r="H90" s="77"/>
      <c r="I90" s="77"/>
      <c r="J90" s="78"/>
    </row>
    <row r="91" spans="2:10" ht="18" customHeight="1" thickBot="1" x14ac:dyDescent="0.45">
      <c r="B91" s="15" t="s">
        <v>65</v>
      </c>
      <c r="C91" s="16" t="s">
        <v>66</v>
      </c>
      <c r="D91" s="17">
        <v>13</v>
      </c>
      <c r="E91" s="18">
        <f t="shared" si="2"/>
        <v>0</v>
      </c>
      <c r="F91" s="103" t="s">
        <v>23</v>
      </c>
      <c r="G91" s="104"/>
      <c r="H91" s="104"/>
      <c r="I91" s="104"/>
      <c r="J91" s="105"/>
    </row>
    <row r="92" spans="2:10" ht="80.099999999999994" customHeight="1" thickTop="1" x14ac:dyDescent="0.4">
      <c r="B92" s="117"/>
      <c r="C92" s="117"/>
      <c r="D92" s="117"/>
      <c r="E92" s="117"/>
      <c r="F92" s="117"/>
      <c r="G92" s="117"/>
      <c r="H92" s="117"/>
      <c r="I92" s="117"/>
      <c r="J92" s="117"/>
    </row>
    <row r="93" spans="2:10" ht="18" customHeight="1" thickBot="1" x14ac:dyDescent="0.45"/>
    <row r="94" spans="2:10" ht="21" customHeight="1" thickTop="1" x14ac:dyDescent="0.4">
      <c r="B94" s="130" t="s">
        <v>122</v>
      </c>
      <c r="C94" s="131"/>
      <c r="D94" s="131"/>
      <c r="E94" s="131"/>
      <c r="F94" s="131"/>
      <c r="G94" s="131"/>
      <c r="H94" s="131"/>
      <c r="I94" s="131"/>
      <c r="J94" s="132"/>
    </row>
    <row r="95" spans="2:10" ht="18" customHeight="1" x14ac:dyDescent="0.4">
      <c r="B95" s="123" t="s">
        <v>2</v>
      </c>
      <c r="C95" s="124" t="s">
        <v>3</v>
      </c>
      <c r="D95" s="24" t="s">
        <v>4</v>
      </c>
      <c r="E95" s="24" t="s">
        <v>5</v>
      </c>
      <c r="F95" s="124" t="s">
        <v>6</v>
      </c>
      <c r="G95" s="124"/>
      <c r="H95" s="124"/>
      <c r="I95" s="124"/>
      <c r="J95" s="133"/>
    </row>
    <row r="96" spans="2:10" ht="18" customHeight="1" x14ac:dyDescent="0.4">
      <c r="B96" s="123"/>
      <c r="C96" s="124"/>
      <c r="D96" s="24" t="s">
        <v>1</v>
      </c>
      <c r="E96" s="25" t="s">
        <v>1</v>
      </c>
      <c r="F96" s="124"/>
      <c r="G96" s="124"/>
      <c r="H96" s="124"/>
      <c r="I96" s="124"/>
      <c r="J96" s="133"/>
    </row>
    <row r="97" spans="2:10" ht="18" customHeight="1" x14ac:dyDescent="0.4">
      <c r="B97" s="79" t="s">
        <v>86</v>
      </c>
      <c r="C97" s="10" t="s">
        <v>57</v>
      </c>
      <c r="D97" s="11">
        <v>32.5</v>
      </c>
      <c r="E97" s="12">
        <f t="shared" ref="E97:E114" si="3">D97*D$2</f>
        <v>0</v>
      </c>
      <c r="F97" s="81" t="s">
        <v>147</v>
      </c>
      <c r="G97" s="82"/>
      <c r="H97" s="82"/>
      <c r="I97" s="82"/>
      <c r="J97" s="83"/>
    </row>
    <row r="98" spans="2:10" ht="18" customHeight="1" x14ac:dyDescent="0.4">
      <c r="B98" s="80"/>
      <c r="C98" s="10" t="s">
        <v>148</v>
      </c>
      <c r="D98" s="11">
        <v>1.625</v>
      </c>
      <c r="E98" s="12">
        <f t="shared" si="3"/>
        <v>0</v>
      </c>
      <c r="F98" s="84"/>
      <c r="G98" s="85"/>
      <c r="H98" s="85"/>
      <c r="I98" s="85"/>
      <c r="J98" s="86"/>
    </row>
    <row r="99" spans="2:10" ht="18" customHeight="1" x14ac:dyDescent="0.4">
      <c r="B99" s="74" t="s">
        <v>144</v>
      </c>
      <c r="C99" s="10" t="s">
        <v>36</v>
      </c>
      <c r="D99" s="12">
        <v>13</v>
      </c>
      <c r="E99" s="12">
        <f t="shared" si="3"/>
        <v>0</v>
      </c>
      <c r="F99" s="77" t="s">
        <v>174</v>
      </c>
      <c r="G99" s="77"/>
      <c r="H99" s="77"/>
      <c r="I99" s="77"/>
      <c r="J99" s="78"/>
    </row>
    <row r="100" spans="2:10" ht="18" customHeight="1" x14ac:dyDescent="0.4">
      <c r="B100" s="75"/>
      <c r="C100" s="10" t="s">
        <v>15</v>
      </c>
      <c r="D100" s="29">
        <v>3.25</v>
      </c>
      <c r="E100" s="12">
        <f t="shared" si="3"/>
        <v>0</v>
      </c>
      <c r="F100" s="77" t="s">
        <v>155</v>
      </c>
      <c r="G100" s="77"/>
      <c r="H100" s="77"/>
      <c r="I100" s="77"/>
      <c r="J100" s="78"/>
    </row>
    <row r="101" spans="2:10" ht="18" customHeight="1" x14ac:dyDescent="0.4">
      <c r="B101" s="75"/>
      <c r="C101" s="10" t="s">
        <v>10</v>
      </c>
      <c r="D101" s="12">
        <v>1.3</v>
      </c>
      <c r="E101" s="12">
        <f t="shared" si="3"/>
        <v>0</v>
      </c>
      <c r="F101" s="77" t="s">
        <v>155</v>
      </c>
      <c r="G101" s="77"/>
      <c r="H101" s="77"/>
      <c r="I101" s="77"/>
      <c r="J101" s="78"/>
    </row>
    <row r="102" spans="2:10" ht="18" customHeight="1" x14ac:dyDescent="0.4">
      <c r="B102" s="75"/>
      <c r="C102" s="10" t="s">
        <v>12</v>
      </c>
      <c r="D102" s="12">
        <v>1.3</v>
      </c>
      <c r="E102" s="12">
        <f t="shared" si="3"/>
        <v>0</v>
      </c>
      <c r="F102" s="77" t="s">
        <v>155</v>
      </c>
      <c r="G102" s="77"/>
      <c r="H102" s="77"/>
      <c r="I102" s="77"/>
      <c r="J102" s="78"/>
    </row>
    <row r="103" spans="2:10" ht="18" customHeight="1" x14ac:dyDescent="0.4">
      <c r="B103" s="75"/>
      <c r="C103" s="10" t="s">
        <v>60</v>
      </c>
      <c r="D103" s="29">
        <v>0.32500000000000001</v>
      </c>
      <c r="E103" s="12">
        <f t="shared" si="3"/>
        <v>0</v>
      </c>
      <c r="F103" s="77" t="s">
        <v>155</v>
      </c>
      <c r="G103" s="77"/>
      <c r="H103" s="77"/>
      <c r="I103" s="77"/>
      <c r="J103" s="78"/>
    </row>
    <row r="104" spans="2:10" ht="18" customHeight="1" x14ac:dyDescent="0.4">
      <c r="B104" s="76"/>
      <c r="C104" s="10" t="s">
        <v>21</v>
      </c>
      <c r="D104" s="29">
        <v>0.32500000000000001</v>
      </c>
      <c r="E104" s="12">
        <f t="shared" si="3"/>
        <v>0</v>
      </c>
      <c r="F104" s="77" t="s">
        <v>155</v>
      </c>
      <c r="G104" s="77"/>
      <c r="H104" s="77"/>
      <c r="I104" s="77"/>
      <c r="J104" s="78"/>
    </row>
    <row r="105" spans="2:10" ht="18" customHeight="1" x14ac:dyDescent="0.4">
      <c r="B105" s="150" t="s">
        <v>230</v>
      </c>
      <c r="C105" s="10" t="s">
        <v>231</v>
      </c>
      <c r="D105" s="19">
        <v>26</v>
      </c>
      <c r="E105" s="12">
        <f t="shared" si="3"/>
        <v>0</v>
      </c>
      <c r="F105" s="77" t="s">
        <v>232</v>
      </c>
      <c r="G105" s="77"/>
      <c r="H105" s="77"/>
      <c r="I105" s="77"/>
      <c r="J105" s="78"/>
    </row>
    <row r="106" spans="2:10" ht="18" customHeight="1" x14ac:dyDescent="0.4">
      <c r="B106" s="150"/>
      <c r="C106" s="10" t="s">
        <v>13</v>
      </c>
      <c r="D106" s="29">
        <v>3.25</v>
      </c>
      <c r="E106" s="12">
        <f t="shared" si="3"/>
        <v>0</v>
      </c>
      <c r="F106" s="77" t="s">
        <v>155</v>
      </c>
      <c r="G106" s="77"/>
      <c r="H106" s="77"/>
      <c r="I106" s="77"/>
      <c r="J106" s="78"/>
    </row>
    <row r="107" spans="2:10" ht="18" customHeight="1" x14ac:dyDescent="0.4">
      <c r="B107" s="150"/>
      <c r="C107" s="10" t="s">
        <v>51</v>
      </c>
      <c r="D107" s="29">
        <v>1.3</v>
      </c>
      <c r="E107" s="12">
        <f t="shared" si="3"/>
        <v>0</v>
      </c>
      <c r="F107" s="77" t="s">
        <v>155</v>
      </c>
      <c r="G107" s="77"/>
      <c r="H107" s="77"/>
      <c r="I107" s="77"/>
      <c r="J107" s="78"/>
    </row>
    <row r="108" spans="2:10" ht="18" customHeight="1" x14ac:dyDescent="0.4">
      <c r="B108" s="97" t="s">
        <v>233</v>
      </c>
      <c r="C108" s="10" t="s">
        <v>32</v>
      </c>
      <c r="D108" s="28">
        <v>26</v>
      </c>
      <c r="E108" s="12">
        <f t="shared" si="3"/>
        <v>0</v>
      </c>
      <c r="F108" s="77" t="s">
        <v>234</v>
      </c>
      <c r="G108" s="77"/>
      <c r="H108" s="77"/>
      <c r="I108" s="77"/>
      <c r="J108" s="78"/>
    </row>
    <row r="109" spans="2:10" ht="18" customHeight="1" x14ac:dyDescent="0.4">
      <c r="B109" s="98"/>
      <c r="C109" s="10" t="s">
        <v>63</v>
      </c>
      <c r="D109" s="27">
        <v>0.65</v>
      </c>
      <c r="E109" s="12">
        <f t="shared" si="3"/>
        <v>0</v>
      </c>
      <c r="F109" s="77" t="s">
        <v>155</v>
      </c>
      <c r="G109" s="77"/>
      <c r="H109" s="77"/>
      <c r="I109" s="77"/>
      <c r="J109" s="78"/>
    </row>
    <row r="110" spans="2:10" ht="18" customHeight="1" x14ac:dyDescent="0.4">
      <c r="B110" s="98"/>
      <c r="C110" s="10" t="s">
        <v>60</v>
      </c>
      <c r="D110" s="27">
        <v>0.32500000000000001</v>
      </c>
      <c r="E110" s="12">
        <f t="shared" si="3"/>
        <v>0</v>
      </c>
      <c r="F110" s="77" t="s">
        <v>155</v>
      </c>
      <c r="G110" s="77"/>
      <c r="H110" s="77"/>
      <c r="I110" s="77"/>
      <c r="J110" s="78"/>
    </row>
    <row r="111" spans="2:10" ht="18" customHeight="1" x14ac:dyDescent="0.4">
      <c r="B111" s="98"/>
      <c r="C111" s="10" t="s">
        <v>14</v>
      </c>
      <c r="D111" s="27">
        <v>0.32500000000000001</v>
      </c>
      <c r="E111" s="12">
        <f t="shared" si="3"/>
        <v>0</v>
      </c>
      <c r="F111" s="77" t="s">
        <v>155</v>
      </c>
      <c r="G111" s="77"/>
      <c r="H111" s="77"/>
      <c r="I111" s="77"/>
      <c r="J111" s="78"/>
    </row>
    <row r="112" spans="2:10" ht="18" customHeight="1" x14ac:dyDescent="0.4">
      <c r="B112" s="98"/>
      <c r="C112" s="10" t="s">
        <v>21</v>
      </c>
      <c r="D112" s="27">
        <v>0.13</v>
      </c>
      <c r="E112" s="12">
        <f t="shared" si="3"/>
        <v>0</v>
      </c>
      <c r="F112" s="77"/>
      <c r="G112" s="77"/>
      <c r="H112" s="77"/>
      <c r="I112" s="77"/>
      <c r="J112" s="78"/>
    </row>
    <row r="113" spans="2:10" ht="18" customHeight="1" x14ac:dyDescent="0.4">
      <c r="B113" s="99"/>
      <c r="C113" s="10" t="s">
        <v>22</v>
      </c>
      <c r="D113" s="27">
        <v>0.13</v>
      </c>
      <c r="E113" s="12">
        <f t="shared" si="3"/>
        <v>0</v>
      </c>
      <c r="F113" s="77" t="s">
        <v>155</v>
      </c>
      <c r="G113" s="77"/>
      <c r="H113" s="77"/>
      <c r="I113" s="77"/>
      <c r="J113" s="78"/>
    </row>
    <row r="114" spans="2:10" ht="18" customHeight="1" thickBot="1" x14ac:dyDescent="0.45">
      <c r="B114" s="15" t="s">
        <v>65</v>
      </c>
      <c r="C114" s="16" t="s">
        <v>66</v>
      </c>
      <c r="D114" s="17">
        <v>13</v>
      </c>
      <c r="E114" s="18">
        <f t="shared" si="3"/>
        <v>0</v>
      </c>
      <c r="F114" s="103" t="s">
        <v>23</v>
      </c>
      <c r="G114" s="104"/>
      <c r="H114" s="104"/>
      <c r="I114" s="104"/>
      <c r="J114" s="105"/>
    </row>
    <row r="115" spans="2:10" ht="80.099999999999994" customHeight="1" thickTop="1" x14ac:dyDescent="0.4">
      <c r="B115" s="117"/>
      <c r="C115" s="117"/>
      <c r="D115" s="117"/>
      <c r="E115" s="117"/>
      <c r="F115" s="117"/>
      <c r="G115" s="117"/>
      <c r="H115" s="117"/>
      <c r="I115" s="117"/>
      <c r="J115" s="117"/>
    </row>
    <row r="116" spans="2:10" ht="18" customHeight="1" thickBot="1" x14ac:dyDescent="0.45"/>
    <row r="117" spans="2:10" ht="21" customHeight="1" thickTop="1" x14ac:dyDescent="0.4">
      <c r="B117" s="130" t="s">
        <v>125</v>
      </c>
      <c r="C117" s="131"/>
      <c r="D117" s="131"/>
      <c r="E117" s="131"/>
      <c r="F117" s="131"/>
      <c r="G117" s="131"/>
      <c r="H117" s="131"/>
      <c r="I117" s="131"/>
      <c r="J117" s="132"/>
    </row>
    <row r="118" spans="2:10" ht="18" customHeight="1" x14ac:dyDescent="0.4">
      <c r="B118" s="123" t="s">
        <v>2</v>
      </c>
      <c r="C118" s="124" t="s">
        <v>3</v>
      </c>
      <c r="D118" s="24" t="s">
        <v>4</v>
      </c>
      <c r="E118" s="24" t="s">
        <v>5</v>
      </c>
      <c r="F118" s="124" t="s">
        <v>6</v>
      </c>
      <c r="G118" s="124"/>
      <c r="H118" s="124"/>
      <c r="I118" s="124"/>
      <c r="J118" s="133"/>
    </row>
    <row r="119" spans="2:10" ht="18" customHeight="1" x14ac:dyDescent="0.4">
      <c r="B119" s="123"/>
      <c r="C119" s="124"/>
      <c r="D119" s="24" t="s">
        <v>1</v>
      </c>
      <c r="E119" s="25" t="s">
        <v>1</v>
      </c>
      <c r="F119" s="124"/>
      <c r="G119" s="124"/>
      <c r="H119" s="124"/>
      <c r="I119" s="124"/>
      <c r="J119" s="133"/>
    </row>
    <row r="120" spans="2:10" ht="18" customHeight="1" x14ac:dyDescent="0.4">
      <c r="B120" s="71" t="s">
        <v>157</v>
      </c>
      <c r="C120" s="20" t="s">
        <v>7</v>
      </c>
      <c r="D120" s="27">
        <v>32.5</v>
      </c>
      <c r="E120" s="12">
        <f t="shared" ref="E120:E140" si="4">D120*D$2</f>
        <v>0</v>
      </c>
      <c r="F120" s="81" t="s">
        <v>158</v>
      </c>
      <c r="G120" s="82"/>
      <c r="H120" s="82"/>
      <c r="I120" s="82"/>
      <c r="J120" s="83"/>
    </row>
    <row r="121" spans="2:10" ht="18" customHeight="1" x14ac:dyDescent="0.4">
      <c r="B121" s="71"/>
      <c r="C121" s="20" t="s">
        <v>159</v>
      </c>
      <c r="D121" s="27">
        <v>1.625</v>
      </c>
      <c r="E121" s="12">
        <f t="shared" si="4"/>
        <v>0</v>
      </c>
      <c r="F121" s="84"/>
      <c r="G121" s="85"/>
      <c r="H121" s="85"/>
      <c r="I121" s="85"/>
      <c r="J121" s="86"/>
    </row>
    <row r="122" spans="2:10" ht="18" customHeight="1" x14ac:dyDescent="0.4">
      <c r="B122" s="74" t="s">
        <v>235</v>
      </c>
      <c r="C122" s="10" t="s">
        <v>46</v>
      </c>
      <c r="D122" s="28">
        <v>13</v>
      </c>
      <c r="E122" s="12">
        <f t="shared" si="4"/>
        <v>0</v>
      </c>
      <c r="F122" s="77" t="s">
        <v>236</v>
      </c>
      <c r="G122" s="77"/>
      <c r="H122" s="77"/>
      <c r="I122" s="77"/>
      <c r="J122" s="78"/>
    </row>
    <row r="123" spans="2:10" ht="18" customHeight="1" x14ac:dyDescent="0.4">
      <c r="B123" s="75"/>
      <c r="C123" s="10" t="s">
        <v>12</v>
      </c>
      <c r="D123" s="27">
        <v>0.65</v>
      </c>
      <c r="E123" s="12">
        <f t="shared" si="4"/>
        <v>0</v>
      </c>
      <c r="F123" s="77" t="s">
        <v>155</v>
      </c>
      <c r="G123" s="77"/>
      <c r="H123" s="77"/>
      <c r="I123" s="77"/>
      <c r="J123" s="78"/>
    </row>
    <row r="124" spans="2:10" ht="18" customHeight="1" x14ac:dyDescent="0.4">
      <c r="B124" s="75"/>
      <c r="C124" s="10" t="s">
        <v>10</v>
      </c>
      <c r="D124" s="27">
        <v>0.65</v>
      </c>
      <c r="E124" s="12">
        <f t="shared" si="4"/>
        <v>0</v>
      </c>
      <c r="F124" s="77" t="s">
        <v>155</v>
      </c>
      <c r="G124" s="77"/>
      <c r="H124" s="77"/>
      <c r="I124" s="77"/>
      <c r="J124" s="78"/>
    </row>
    <row r="125" spans="2:10" ht="18" customHeight="1" x14ac:dyDescent="0.4">
      <c r="B125" s="75"/>
      <c r="C125" s="10" t="s">
        <v>60</v>
      </c>
      <c r="D125" s="27">
        <v>0.19500000000000001</v>
      </c>
      <c r="E125" s="12">
        <f t="shared" si="4"/>
        <v>0</v>
      </c>
      <c r="F125" s="77" t="s">
        <v>155</v>
      </c>
      <c r="G125" s="77"/>
      <c r="H125" s="77"/>
      <c r="I125" s="77"/>
      <c r="J125" s="78"/>
    </row>
    <row r="126" spans="2:10" ht="18" customHeight="1" x14ac:dyDescent="0.4">
      <c r="B126" s="75"/>
      <c r="C126" s="10" t="s">
        <v>15</v>
      </c>
      <c r="D126" s="27">
        <v>0.32500000000000001</v>
      </c>
      <c r="E126" s="12">
        <f t="shared" si="4"/>
        <v>0</v>
      </c>
      <c r="F126" s="77" t="s">
        <v>155</v>
      </c>
      <c r="G126" s="77"/>
      <c r="H126" s="77"/>
      <c r="I126" s="77"/>
      <c r="J126" s="78"/>
    </row>
    <row r="127" spans="2:10" ht="18" customHeight="1" x14ac:dyDescent="0.4">
      <c r="B127" s="76"/>
      <c r="C127" s="10" t="s">
        <v>73</v>
      </c>
      <c r="D127" s="27">
        <v>0.65</v>
      </c>
      <c r="E127" s="12">
        <f t="shared" si="4"/>
        <v>0</v>
      </c>
      <c r="F127" s="77" t="s">
        <v>155</v>
      </c>
      <c r="G127" s="77"/>
      <c r="H127" s="77"/>
      <c r="I127" s="77"/>
      <c r="J127" s="78"/>
    </row>
    <row r="128" spans="2:10" ht="18" customHeight="1" x14ac:dyDescent="0.4">
      <c r="B128" s="71" t="s">
        <v>237</v>
      </c>
      <c r="C128" s="10" t="s">
        <v>91</v>
      </c>
      <c r="D128" s="13">
        <v>26</v>
      </c>
      <c r="E128" s="12">
        <f t="shared" si="4"/>
        <v>0</v>
      </c>
      <c r="F128" s="101" t="s">
        <v>238</v>
      </c>
      <c r="G128" s="101"/>
      <c r="H128" s="101"/>
      <c r="I128" s="101"/>
      <c r="J128" s="102"/>
    </row>
    <row r="129" spans="2:10" ht="18" customHeight="1" x14ac:dyDescent="0.4">
      <c r="B129" s="71"/>
      <c r="C129" s="10" t="s">
        <v>71</v>
      </c>
      <c r="D129" s="27">
        <v>6.5</v>
      </c>
      <c r="E129" s="12">
        <f t="shared" si="4"/>
        <v>0</v>
      </c>
      <c r="F129" s="101"/>
      <c r="G129" s="101"/>
      <c r="H129" s="101"/>
      <c r="I129" s="101"/>
      <c r="J129" s="102"/>
    </row>
    <row r="130" spans="2:10" ht="18" customHeight="1" x14ac:dyDescent="0.4">
      <c r="B130" s="71"/>
      <c r="C130" s="10" t="s">
        <v>75</v>
      </c>
      <c r="D130" s="27">
        <v>1.3</v>
      </c>
      <c r="E130" s="12">
        <f t="shared" si="4"/>
        <v>0</v>
      </c>
      <c r="F130" s="101"/>
      <c r="G130" s="101"/>
      <c r="H130" s="101"/>
      <c r="I130" s="101"/>
      <c r="J130" s="102"/>
    </row>
    <row r="131" spans="2:10" ht="18" customHeight="1" x14ac:dyDescent="0.4">
      <c r="B131" s="71"/>
      <c r="C131" s="10" t="s">
        <v>73</v>
      </c>
      <c r="D131" s="27">
        <v>0.65</v>
      </c>
      <c r="E131" s="12">
        <f t="shared" si="4"/>
        <v>0</v>
      </c>
      <c r="F131" s="101"/>
      <c r="G131" s="101"/>
      <c r="H131" s="101"/>
      <c r="I131" s="101"/>
      <c r="J131" s="102"/>
    </row>
    <row r="132" spans="2:10" ht="18" customHeight="1" x14ac:dyDescent="0.4">
      <c r="B132" s="71"/>
      <c r="C132" s="10" t="s">
        <v>177</v>
      </c>
      <c r="D132" s="27">
        <v>0.65</v>
      </c>
      <c r="E132" s="12">
        <f t="shared" si="4"/>
        <v>0</v>
      </c>
      <c r="F132" s="101"/>
      <c r="G132" s="101"/>
      <c r="H132" s="101"/>
      <c r="I132" s="101"/>
      <c r="J132" s="102"/>
    </row>
    <row r="133" spans="2:10" ht="18" customHeight="1" x14ac:dyDescent="0.4">
      <c r="B133" s="71"/>
      <c r="C133" s="10" t="s">
        <v>74</v>
      </c>
      <c r="D133" s="27">
        <v>0.13</v>
      </c>
      <c r="E133" s="12">
        <f t="shared" si="4"/>
        <v>0</v>
      </c>
      <c r="F133" s="101"/>
      <c r="G133" s="101"/>
      <c r="H133" s="101"/>
      <c r="I133" s="101"/>
      <c r="J133" s="102"/>
    </row>
    <row r="134" spans="2:10" ht="18" customHeight="1" x14ac:dyDescent="0.4">
      <c r="B134" s="71" t="s">
        <v>239</v>
      </c>
      <c r="C134" s="10" t="s">
        <v>35</v>
      </c>
      <c r="D134" s="28">
        <v>26</v>
      </c>
      <c r="E134" s="12">
        <f t="shared" si="4"/>
        <v>0</v>
      </c>
      <c r="F134" s="88" t="s">
        <v>240</v>
      </c>
      <c r="G134" s="89"/>
      <c r="H134" s="89"/>
      <c r="I134" s="89"/>
      <c r="J134" s="90"/>
    </row>
    <row r="135" spans="2:10" ht="18" customHeight="1" x14ac:dyDescent="0.4">
      <c r="B135" s="71"/>
      <c r="C135" s="10" t="s">
        <v>21</v>
      </c>
      <c r="D135" s="27">
        <v>0.65</v>
      </c>
      <c r="E135" s="12">
        <f t="shared" si="4"/>
        <v>0</v>
      </c>
      <c r="F135" s="91"/>
      <c r="G135" s="92"/>
      <c r="H135" s="92"/>
      <c r="I135" s="92"/>
      <c r="J135" s="93"/>
    </row>
    <row r="136" spans="2:10" ht="18" customHeight="1" x14ac:dyDescent="0.4">
      <c r="B136" s="71"/>
      <c r="C136" s="10" t="s">
        <v>14</v>
      </c>
      <c r="D136" s="27">
        <v>0.65</v>
      </c>
      <c r="E136" s="12">
        <f t="shared" si="4"/>
        <v>0</v>
      </c>
      <c r="F136" s="91"/>
      <c r="G136" s="92"/>
      <c r="H136" s="92"/>
      <c r="I136" s="92"/>
      <c r="J136" s="93"/>
    </row>
    <row r="137" spans="2:10" ht="18" customHeight="1" x14ac:dyDescent="0.4">
      <c r="B137" s="71"/>
      <c r="C137" s="10" t="s">
        <v>15</v>
      </c>
      <c r="D137" s="27">
        <v>0.32500000000000001</v>
      </c>
      <c r="E137" s="12">
        <f t="shared" si="4"/>
        <v>0</v>
      </c>
      <c r="F137" s="91"/>
      <c r="G137" s="92"/>
      <c r="H137" s="92"/>
      <c r="I137" s="92"/>
      <c r="J137" s="93"/>
    </row>
    <row r="138" spans="2:10" ht="18" customHeight="1" x14ac:dyDescent="0.4">
      <c r="B138" s="71"/>
      <c r="C138" s="10" t="s">
        <v>60</v>
      </c>
      <c r="D138" s="27">
        <v>0.32500000000000001</v>
      </c>
      <c r="E138" s="12">
        <f t="shared" si="4"/>
        <v>0</v>
      </c>
      <c r="F138" s="91"/>
      <c r="G138" s="92"/>
      <c r="H138" s="92"/>
      <c r="I138" s="92"/>
      <c r="J138" s="93"/>
    </row>
    <row r="139" spans="2:10" ht="18" customHeight="1" x14ac:dyDescent="0.4">
      <c r="B139" s="71"/>
      <c r="C139" s="10" t="s">
        <v>22</v>
      </c>
      <c r="D139" s="27">
        <v>0.13</v>
      </c>
      <c r="E139" s="12">
        <f t="shared" si="4"/>
        <v>0</v>
      </c>
      <c r="F139" s="94"/>
      <c r="G139" s="95"/>
      <c r="H139" s="95"/>
      <c r="I139" s="95"/>
      <c r="J139" s="96"/>
    </row>
    <row r="140" spans="2:10" ht="18" customHeight="1" thickBot="1" x14ac:dyDescent="0.45">
      <c r="B140" s="34" t="s">
        <v>117</v>
      </c>
      <c r="C140" s="35" t="s">
        <v>118</v>
      </c>
      <c r="D140" s="18">
        <v>13</v>
      </c>
      <c r="E140" s="18">
        <f t="shared" si="4"/>
        <v>0</v>
      </c>
      <c r="F140" s="148" t="s">
        <v>33</v>
      </c>
      <c r="G140" s="148"/>
      <c r="H140" s="148"/>
      <c r="I140" s="148"/>
      <c r="J140" s="149"/>
    </row>
    <row r="141" spans="2:10" ht="80.099999999999994" customHeight="1" thickTop="1" x14ac:dyDescent="0.4">
      <c r="B141" s="57"/>
      <c r="C141" s="57"/>
      <c r="D141" s="57"/>
      <c r="E141" s="57"/>
      <c r="F141" s="57"/>
      <c r="G141" s="57"/>
      <c r="H141" s="57"/>
      <c r="I141" s="57"/>
      <c r="J141" s="57"/>
    </row>
    <row r="142" spans="2:10" ht="18" customHeight="1" x14ac:dyDescent="0.4"/>
    <row r="143" spans="2:10" x14ac:dyDescent="0.4">
      <c r="B143" s="36"/>
      <c r="C143" s="37"/>
      <c r="D143" s="38"/>
      <c r="E143" s="39"/>
      <c r="F143" s="40"/>
      <c r="G143" s="40"/>
      <c r="H143" s="40"/>
      <c r="I143" s="40"/>
      <c r="J143" s="40"/>
    </row>
    <row r="144" spans="2:10" x14ac:dyDescent="0.4">
      <c r="B144" s="41"/>
      <c r="C144" s="37"/>
      <c r="D144" s="42"/>
      <c r="E144" s="43"/>
      <c r="F144" s="40"/>
      <c r="G144" s="40"/>
      <c r="H144" s="40"/>
      <c r="I144" s="40"/>
      <c r="J144" s="40"/>
    </row>
    <row r="145" spans="2:10" x14ac:dyDescent="0.4">
      <c r="B145" s="41"/>
      <c r="C145" s="37"/>
      <c r="D145" s="44"/>
      <c r="E145" s="43"/>
      <c r="F145" s="40"/>
      <c r="G145" s="40"/>
      <c r="H145" s="40"/>
      <c r="I145" s="40"/>
      <c r="J145" s="40"/>
    </row>
    <row r="146" spans="2:10" ht="16.5" customHeight="1" x14ac:dyDescent="0.4">
      <c r="B146" s="37"/>
      <c r="C146" s="37"/>
      <c r="D146" s="45"/>
      <c r="E146" s="39"/>
      <c r="F146" s="40"/>
      <c r="G146" s="40"/>
      <c r="H146" s="40"/>
      <c r="I146" s="40"/>
      <c r="J146" s="40"/>
    </row>
    <row r="147" spans="2:10" ht="16.5" customHeight="1" x14ac:dyDescent="0.4">
      <c r="B147" s="36"/>
      <c r="C147" s="37"/>
      <c r="D147" s="38"/>
      <c r="E147" s="39"/>
      <c r="F147" s="40"/>
      <c r="G147" s="40"/>
      <c r="H147" s="40"/>
      <c r="I147" s="40"/>
      <c r="J147" s="40"/>
    </row>
    <row r="148" spans="2:10" ht="16.5" customHeight="1" x14ac:dyDescent="0.4">
      <c r="B148" s="36"/>
      <c r="C148" s="37"/>
      <c r="D148" s="45"/>
      <c r="E148" s="39"/>
      <c r="F148" s="40"/>
      <c r="G148" s="40"/>
      <c r="H148" s="40"/>
      <c r="I148" s="40"/>
      <c r="J148" s="40"/>
    </row>
    <row r="149" spans="2:10" ht="16.5" customHeight="1" x14ac:dyDescent="0.4">
      <c r="B149" s="36"/>
      <c r="C149" s="37"/>
      <c r="D149" s="45"/>
      <c r="E149" s="39"/>
      <c r="F149" s="40"/>
      <c r="G149" s="40"/>
      <c r="H149" s="40"/>
      <c r="I149" s="40"/>
      <c r="J149" s="40"/>
    </row>
    <row r="150" spans="2:10" ht="16.5" customHeight="1" x14ac:dyDescent="0.4">
      <c r="B150" s="36"/>
      <c r="C150" s="37"/>
      <c r="D150" s="45"/>
      <c r="E150" s="39"/>
      <c r="F150" s="40"/>
      <c r="G150" s="40"/>
      <c r="H150" s="40"/>
      <c r="I150" s="40"/>
      <c r="J150" s="40"/>
    </row>
    <row r="151" spans="2:10" ht="17.25" customHeight="1" x14ac:dyDescent="0.4">
      <c r="B151" s="36"/>
      <c r="C151" s="37"/>
      <c r="D151" s="38"/>
      <c r="E151" s="39"/>
      <c r="F151" s="40"/>
      <c r="G151" s="40"/>
      <c r="H151" s="40"/>
      <c r="I151" s="40"/>
      <c r="J151" s="40"/>
    </row>
    <row r="152" spans="2:10" ht="16.5" customHeight="1" x14ac:dyDescent="0.4">
      <c r="B152" s="41"/>
      <c r="C152" s="37"/>
      <c r="D152" s="42"/>
      <c r="E152" s="43"/>
      <c r="F152" s="40"/>
      <c r="G152" s="40"/>
      <c r="H152" s="40"/>
      <c r="I152" s="40"/>
      <c r="J152" s="40"/>
    </row>
    <row r="153" spans="2:10" ht="16.5" customHeight="1" x14ac:dyDescent="0.4">
      <c r="B153" s="41"/>
      <c r="C153" s="37"/>
      <c r="D153" s="44"/>
      <c r="E153" s="43"/>
      <c r="F153" s="40"/>
      <c r="G153" s="40"/>
      <c r="H153" s="40"/>
      <c r="I153" s="40"/>
      <c r="J153" s="40"/>
    </row>
    <row r="154" spans="2:10" ht="16.5" customHeight="1" x14ac:dyDescent="0.4">
      <c r="B154" s="41"/>
      <c r="C154" s="37"/>
      <c r="D154" s="44"/>
      <c r="E154" s="43"/>
      <c r="F154" s="40"/>
      <c r="G154" s="40"/>
      <c r="H154" s="40"/>
      <c r="I154" s="40"/>
      <c r="J154" s="40"/>
    </row>
    <row r="155" spans="2:10" ht="16.5" customHeight="1" x14ac:dyDescent="0.4">
      <c r="B155" s="41"/>
      <c r="C155" s="37"/>
      <c r="D155" s="44"/>
      <c r="E155" s="43"/>
      <c r="F155" s="31"/>
      <c r="G155" s="31"/>
      <c r="H155" s="31"/>
      <c r="I155" s="31"/>
      <c r="J155" s="31"/>
    </row>
    <row r="156" spans="2:10" ht="16.5" customHeight="1" x14ac:dyDescent="0.4">
      <c r="B156" s="41"/>
      <c r="C156" s="37"/>
      <c r="D156" s="44"/>
      <c r="E156" s="43"/>
      <c r="F156" s="31"/>
      <c r="G156" s="31"/>
      <c r="H156" s="31"/>
      <c r="I156" s="31"/>
      <c r="J156" s="31"/>
    </row>
    <row r="157" spans="2:10" ht="16.5" customHeight="1" x14ac:dyDescent="0.4">
      <c r="B157" s="41"/>
      <c r="C157" s="37"/>
      <c r="D157" s="44"/>
      <c r="E157" s="43"/>
      <c r="F157" s="31"/>
      <c r="G157" s="31"/>
      <c r="H157" s="31"/>
      <c r="I157" s="31"/>
      <c r="J157" s="31"/>
    </row>
    <row r="158" spans="2:10" ht="16.5" customHeight="1" x14ac:dyDescent="0.4">
      <c r="B158" s="41"/>
      <c r="C158" s="37"/>
      <c r="D158" s="44"/>
      <c r="E158" s="43"/>
      <c r="F158" s="31"/>
      <c r="G158" s="31"/>
      <c r="H158" s="31"/>
      <c r="I158" s="31"/>
      <c r="J158" s="31"/>
    </row>
    <row r="159" spans="2:10" ht="16.5" customHeight="1" x14ac:dyDescent="0.4">
      <c r="B159" s="41"/>
      <c r="C159" s="37"/>
      <c r="D159" s="44"/>
      <c r="E159" s="43"/>
      <c r="F159" s="31"/>
      <c r="G159" s="31"/>
      <c r="H159" s="31"/>
      <c r="I159" s="31"/>
      <c r="J159" s="31"/>
    </row>
    <row r="160" spans="2:10" ht="16.5" customHeight="1" x14ac:dyDescent="0.4">
      <c r="B160" s="41"/>
      <c r="C160" s="37"/>
      <c r="D160" s="44"/>
      <c r="E160" s="43"/>
      <c r="F160" s="31"/>
      <c r="G160" s="31"/>
      <c r="H160" s="31"/>
      <c r="I160" s="31"/>
      <c r="J160" s="31"/>
    </row>
    <row r="161" spans="2:10" ht="16.5" customHeight="1" x14ac:dyDescent="0.4">
      <c r="B161" s="46"/>
      <c r="C161" s="46"/>
      <c r="D161" s="42"/>
      <c r="E161" s="43"/>
      <c r="F161" s="31"/>
      <c r="G161" s="31"/>
      <c r="H161" s="31"/>
      <c r="I161" s="31"/>
      <c r="J161" s="31"/>
    </row>
    <row r="162" spans="2:10" x14ac:dyDescent="0.4">
      <c r="B162" s="1"/>
      <c r="C162" s="1"/>
      <c r="D162" s="1"/>
      <c r="E162" s="1"/>
      <c r="F162" s="1"/>
      <c r="G162" s="1"/>
      <c r="H162" s="1"/>
      <c r="I162" s="1"/>
      <c r="J162" s="1"/>
    </row>
  </sheetData>
  <mergeCells count="69">
    <mergeCell ref="F61:J61"/>
    <mergeCell ref="B62:J62"/>
    <mergeCell ref="B64:J64"/>
    <mergeCell ref="B7:B8"/>
    <mergeCell ref="C7:C8"/>
    <mergeCell ref="F34:J34"/>
    <mergeCell ref="B35:J35"/>
    <mergeCell ref="B37:J37"/>
    <mergeCell ref="B38:B39"/>
    <mergeCell ref="C38:C39"/>
    <mergeCell ref="F38:J39"/>
    <mergeCell ref="B10:B16"/>
    <mergeCell ref="F10:J16"/>
    <mergeCell ref="B17:B27"/>
    <mergeCell ref="F17:J27"/>
    <mergeCell ref="B28:B33"/>
    <mergeCell ref="F97:J98"/>
    <mergeCell ref="B65:B66"/>
    <mergeCell ref="C65:C66"/>
    <mergeCell ref="F65:J66"/>
    <mergeCell ref="B67:B68"/>
    <mergeCell ref="F67:J68"/>
    <mergeCell ref="B69:B73"/>
    <mergeCell ref="F69:J73"/>
    <mergeCell ref="B92:J92"/>
    <mergeCell ref="B94:J94"/>
    <mergeCell ref="B95:B96"/>
    <mergeCell ref="C95:C96"/>
    <mergeCell ref="F95:J96"/>
    <mergeCell ref="B74:B84"/>
    <mergeCell ref="F74:J84"/>
    <mergeCell ref="F85:J90"/>
    <mergeCell ref="F91:J91"/>
    <mergeCell ref="B122:B127"/>
    <mergeCell ref="F122:J127"/>
    <mergeCell ref="B99:B104"/>
    <mergeCell ref="F99:J104"/>
    <mergeCell ref="B105:B107"/>
    <mergeCell ref="F105:J107"/>
    <mergeCell ref="B118:B119"/>
    <mergeCell ref="C118:C119"/>
    <mergeCell ref="F118:J119"/>
    <mergeCell ref="B120:B121"/>
    <mergeCell ref="F120:J121"/>
    <mergeCell ref="B108:B113"/>
    <mergeCell ref="F108:J113"/>
    <mergeCell ref="B97:B98"/>
    <mergeCell ref="F140:J140"/>
    <mergeCell ref="B141:J141"/>
    <mergeCell ref="B128:B133"/>
    <mergeCell ref="F128:J133"/>
    <mergeCell ref="B40:B48"/>
    <mergeCell ref="F40:J48"/>
    <mergeCell ref="B49:B55"/>
    <mergeCell ref="F49:J55"/>
    <mergeCell ref="B56:B60"/>
    <mergeCell ref="F56:J60"/>
    <mergeCell ref="F114:J114"/>
    <mergeCell ref="B115:J115"/>
    <mergeCell ref="B117:J117"/>
    <mergeCell ref="B134:B139"/>
    <mergeCell ref="F134:J139"/>
    <mergeCell ref="B85:B90"/>
    <mergeCell ref="F28:J33"/>
    <mergeCell ref="E2:J2"/>
    <mergeCell ref="B3:J5"/>
    <mergeCell ref="B6:J6"/>
    <mergeCell ref="F7:J8"/>
    <mergeCell ref="F9:J9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19"/>
  <sheetViews>
    <sheetView workbookViewId="0">
      <selection activeCell="K4" sqref="K4"/>
    </sheetView>
  </sheetViews>
  <sheetFormatPr defaultColWidth="9" defaultRowHeight="14.4" x14ac:dyDescent="0.4"/>
  <cols>
    <col min="1" max="1" width="4.8984375" style="3" customWidth="1"/>
    <col min="2" max="2" width="18.59765625" style="3" customWidth="1"/>
    <col min="3" max="10" width="11.59765625" style="3" customWidth="1"/>
    <col min="11" max="11" width="4.8984375" style="3" customWidth="1"/>
    <col min="12" max="16384" width="9" style="3"/>
  </cols>
  <sheetData>
    <row r="1" spans="2:10" ht="15" thickBot="1" x14ac:dyDescent="0.45"/>
    <row r="2" spans="2:10" ht="18" customHeight="1" thickTop="1" thickBot="1" x14ac:dyDescent="0.45">
      <c r="B2" s="5" t="s">
        <v>0</v>
      </c>
      <c r="C2" s="5" t="s">
        <v>1</v>
      </c>
      <c r="D2" s="26"/>
      <c r="E2" s="121" t="s">
        <v>145</v>
      </c>
      <c r="F2" s="121"/>
      <c r="G2" s="121"/>
      <c r="H2" s="121"/>
      <c r="I2" s="121"/>
      <c r="J2" s="121"/>
    </row>
    <row r="3" spans="2:10" ht="34.5" customHeight="1" thickTop="1" x14ac:dyDescent="0.4">
      <c r="B3" s="122" t="s">
        <v>146</v>
      </c>
      <c r="C3" s="122"/>
      <c r="D3" s="122"/>
      <c r="E3" s="122"/>
      <c r="F3" s="122"/>
      <c r="G3" s="122"/>
      <c r="H3" s="122"/>
      <c r="I3" s="122"/>
      <c r="J3" s="122"/>
    </row>
    <row r="4" spans="2:10" ht="16.5" customHeight="1" x14ac:dyDescent="0.4">
      <c r="B4" s="122"/>
      <c r="C4" s="122"/>
      <c r="D4" s="122"/>
      <c r="E4" s="122"/>
      <c r="F4" s="122"/>
      <c r="G4" s="122"/>
      <c r="H4" s="122"/>
      <c r="I4" s="122"/>
      <c r="J4" s="122"/>
    </row>
    <row r="5" spans="2:10" ht="16.5" customHeight="1" thickBot="1" x14ac:dyDescent="0.45">
      <c r="B5" s="122"/>
      <c r="C5" s="122"/>
      <c r="D5" s="122"/>
      <c r="E5" s="122"/>
      <c r="F5" s="122"/>
      <c r="G5" s="122"/>
      <c r="H5" s="122"/>
      <c r="I5" s="122"/>
      <c r="J5" s="122"/>
    </row>
    <row r="6" spans="2:10" ht="21" customHeight="1" thickTop="1" x14ac:dyDescent="0.4">
      <c r="B6" s="58" t="s">
        <v>126</v>
      </c>
      <c r="C6" s="59"/>
      <c r="D6" s="59"/>
      <c r="E6" s="59"/>
      <c r="F6" s="59"/>
      <c r="G6" s="59"/>
      <c r="H6" s="59"/>
      <c r="I6" s="59"/>
      <c r="J6" s="60"/>
    </row>
    <row r="7" spans="2:10" ht="18" customHeight="1" x14ac:dyDescent="0.4">
      <c r="B7" s="61" t="s">
        <v>2</v>
      </c>
      <c r="C7" s="63" t="s">
        <v>3</v>
      </c>
      <c r="D7" s="7" t="s">
        <v>4</v>
      </c>
      <c r="E7" s="7" t="s">
        <v>5</v>
      </c>
      <c r="F7" s="65" t="s">
        <v>6</v>
      </c>
      <c r="G7" s="66"/>
      <c r="H7" s="66"/>
      <c r="I7" s="66"/>
      <c r="J7" s="67"/>
    </row>
    <row r="8" spans="2:10" ht="18" customHeight="1" x14ac:dyDescent="0.4">
      <c r="B8" s="62"/>
      <c r="C8" s="64"/>
      <c r="D8" s="24" t="s">
        <v>1</v>
      </c>
      <c r="E8" s="9" t="s">
        <v>1</v>
      </c>
      <c r="F8" s="68"/>
      <c r="G8" s="69"/>
      <c r="H8" s="69"/>
      <c r="I8" s="69"/>
      <c r="J8" s="70"/>
    </row>
    <row r="9" spans="2:10" ht="18" customHeight="1" x14ac:dyDescent="0.4">
      <c r="B9" s="79" t="s">
        <v>86</v>
      </c>
      <c r="C9" s="10" t="s">
        <v>57</v>
      </c>
      <c r="D9" s="11">
        <v>32.5</v>
      </c>
      <c r="E9" s="12">
        <f t="shared" ref="E9:E28" si="0">D9*D$2</f>
        <v>0</v>
      </c>
      <c r="F9" s="81" t="s">
        <v>147</v>
      </c>
      <c r="G9" s="82"/>
      <c r="H9" s="82"/>
      <c r="I9" s="82"/>
      <c r="J9" s="83"/>
    </row>
    <row r="10" spans="2:10" ht="18" customHeight="1" x14ac:dyDescent="0.4">
      <c r="B10" s="80"/>
      <c r="C10" s="10" t="s">
        <v>148</v>
      </c>
      <c r="D10" s="11">
        <v>1.625</v>
      </c>
      <c r="E10" s="12">
        <f t="shared" si="0"/>
        <v>0</v>
      </c>
      <c r="F10" s="84"/>
      <c r="G10" s="85"/>
      <c r="H10" s="85"/>
      <c r="I10" s="85"/>
      <c r="J10" s="86"/>
    </row>
    <row r="11" spans="2:10" ht="18" customHeight="1" x14ac:dyDescent="0.4">
      <c r="B11" s="97" t="s">
        <v>241</v>
      </c>
      <c r="C11" s="21" t="s">
        <v>16</v>
      </c>
      <c r="D11" s="28">
        <v>13</v>
      </c>
      <c r="E11" s="12">
        <f t="shared" si="0"/>
        <v>0</v>
      </c>
      <c r="F11" s="77" t="s">
        <v>242</v>
      </c>
      <c r="G11" s="77"/>
      <c r="H11" s="77"/>
      <c r="I11" s="77"/>
      <c r="J11" s="78"/>
    </row>
    <row r="12" spans="2:10" ht="18" customHeight="1" x14ac:dyDescent="0.4">
      <c r="B12" s="98"/>
      <c r="C12" s="21" t="s">
        <v>243</v>
      </c>
      <c r="D12" s="27">
        <v>3.25</v>
      </c>
      <c r="E12" s="12">
        <f t="shared" si="0"/>
        <v>0</v>
      </c>
      <c r="F12" s="77" t="s">
        <v>155</v>
      </c>
      <c r="G12" s="77"/>
      <c r="H12" s="77"/>
      <c r="I12" s="77"/>
      <c r="J12" s="78"/>
    </row>
    <row r="13" spans="2:10" ht="18" customHeight="1" x14ac:dyDescent="0.4">
      <c r="B13" s="98"/>
      <c r="C13" s="21" t="s">
        <v>41</v>
      </c>
      <c r="D13" s="27">
        <v>3.25</v>
      </c>
      <c r="E13" s="12">
        <f t="shared" si="0"/>
        <v>0</v>
      </c>
      <c r="F13" s="77" t="s">
        <v>155</v>
      </c>
      <c r="G13" s="77"/>
      <c r="H13" s="77"/>
      <c r="I13" s="77"/>
      <c r="J13" s="78"/>
    </row>
    <row r="14" spans="2:10" ht="18" customHeight="1" x14ac:dyDescent="0.4">
      <c r="B14" s="98"/>
      <c r="C14" s="21" t="s">
        <v>15</v>
      </c>
      <c r="D14" s="28">
        <v>1.9500000000000002</v>
      </c>
      <c r="E14" s="12">
        <f t="shared" si="0"/>
        <v>0</v>
      </c>
      <c r="F14" s="77" t="s">
        <v>155</v>
      </c>
      <c r="G14" s="77"/>
      <c r="H14" s="77"/>
      <c r="I14" s="77"/>
      <c r="J14" s="78"/>
    </row>
    <row r="15" spans="2:10" ht="18" customHeight="1" x14ac:dyDescent="0.4">
      <c r="B15" s="98"/>
      <c r="C15" s="21" t="s">
        <v>13</v>
      </c>
      <c r="D15" s="27">
        <v>0.65</v>
      </c>
      <c r="E15" s="12">
        <f t="shared" si="0"/>
        <v>0</v>
      </c>
      <c r="F15" s="77" t="s">
        <v>155</v>
      </c>
      <c r="G15" s="77"/>
      <c r="H15" s="77"/>
      <c r="I15" s="77"/>
      <c r="J15" s="78"/>
    </row>
    <row r="16" spans="2:10" ht="18" customHeight="1" x14ac:dyDescent="0.4">
      <c r="B16" s="99"/>
      <c r="C16" s="21" t="s">
        <v>21</v>
      </c>
      <c r="D16" s="27">
        <v>0.32500000000000001</v>
      </c>
      <c r="E16" s="12">
        <f t="shared" si="0"/>
        <v>0</v>
      </c>
      <c r="F16" s="77" t="s">
        <v>155</v>
      </c>
      <c r="G16" s="77"/>
      <c r="H16" s="77"/>
      <c r="I16" s="77"/>
      <c r="J16" s="78"/>
    </row>
    <row r="17" spans="2:10" ht="18" customHeight="1" x14ac:dyDescent="0.4">
      <c r="B17" s="97" t="s">
        <v>151</v>
      </c>
      <c r="C17" s="2" t="s">
        <v>36</v>
      </c>
      <c r="D17" s="19">
        <v>26</v>
      </c>
      <c r="E17" s="12">
        <f t="shared" si="0"/>
        <v>0</v>
      </c>
      <c r="F17" s="108" t="s">
        <v>244</v>
      </c>
      <c r="G17" s="109"/>
      <c r="H17" s="109"/>
      <c r="I17" s="109"/>
      <c r="J17" s="110"/>
    </row>
    <row r="18" spans="2:10" ht="18" customHeight="1" x14ac:dyDescent="0.4">
      <c r="B18" s="98"/>
      <c r="C18" s="2" t="s">
        <v>17</v>
      </c>
      <c r="D18" s="29">
        <v>3.25</v>
      </c>
      <c r="E18" s="12">
        <f t="shared" si="0"/>
        <v>0</v>
      </c>
      <c r="F18" s="111"/>
      <c r="G18" s="112"/>
      <c r="H18" s="112"/>
      <c r="I18" s="112"/>
      <c r="J18" s="113"/>
    </row>
    <row r="19" spans="2:10" ht="18" customHeight="1" x14ac:dyDescent="0.4">
      <c r="B19" s="98"/>
      <c r="C19" s="2" t="s">
        <v>9</v>
      </c>
      <c r="D19" s="29">
        <v>3.25</v>
      </c>
      <c r="E19" s="12">
        <f t="shared" si="0"/>
        <v>0</v>
      </c>
      <c r="F19" s="111"/>
      <c r="G19" s="112"/>
      <c r="H19" s="112"/>
      <c r="I19" s="112"/>
      <c r="J19" s="113"/>
    </row>
    <row r="20" spans="2:10" ht="18" customHeight="1" x14ac:dyDescent="0.4">
      <c r="B20" s="98"/>
      <c r="C20" s="2" t="s">
        <v>15</v>
      </c>
      <c r="D20" s="19">
        <v>1.9500000000000002</v>
      </c>
      <c r="E20" s="12">
        <f t="shared" si="0"/>
        <v>0</v>
      </c>
      <c r="F20" s="111"/>
      <c r="G20" s="112"/>
      <c r="H20" s="112"/>
      <c r="I20" s="112"/>
      <c r="J20" s="113"/>
    </row>
    <row r="21" spans="2:10" ht="18" customHeight="1" x14ac:dyDescent="0.4">
      <c r="B21" s="98"/>
      <c r="C21" s="2" t="s">
        <v>73</v>
      </c>
      <c r="D21" s="29">
        <v>0.32500000000000001</v>
      </c>
      <c r="E21" s="12">
        <f t="shared" si="0"/>
        <v>0</v>
      </c>
      <c r="F21" s="111"/>
      <c r="G21" s="112"/>
      <c r="H21" s="112"/>
      <c r="I21" s="112"/>
      <c r="J21" s="113"/>
    </row>
    <row r="22" spans="2:10" ht="18" customHeight="1" x14ac:dyDescent="0.4">
      <c r="B22" s="98"/>
      <c r="C22" s="2" t="s">
        <v>14</v>
      </c>
      <c r="D22" s="19">
        <v>0.97500000000000009</v>
      </c>
      <c r="E22" s="12">
        <f t="shared" si="0"/>
        <v>0</v>
      </c>
      <c r="F22" s="114"/>
      <c r="G22" s="115"/>
      <c r="H22" s="115"/>
      <c r="I22" s="115"/>
      <c r="J22" s="116"/>
    </row>
    <row r="23" spans="2:10" ht="18" customHeight="1" x14ac:dyDescent="0.4">
      <c r="B23" s="97" t="s">
        <v>178</v>
      </c>
      <c r="C23" s="10" t="s">
        <v>41</v>
      </c>
      <c r="D23" s="29">
        <v>19.5</v>
      </c>
      <c r="E23" s="12">
        <f t="shared" si="0"/>
        <v>0</v>
      </c>
      <c r="F23" s="88" t="s">
        <v>179</v>
      </c>
      <c r="G23" s="89"/>
      <c r="H23" s="89"/>
      <c r="I23" s="89"/>
      <c r="J23" s="90"/>
    </row>
    <row r="24" spans="2:10" ht="18" customHeight="1" x14ac:dyDescent="0.4">
      <c r="B24" s="98"/>
      <c r="C24" s="10" t="s">
        <v>60</v>
      </c>
      <c r="D24" s="29">
        <v>0.65</v>
      </c>
      <c r="E24" s="12">
        <f t="shared" si="0"/>
        <v>0</v>
      </c>
      <c r="F24" s="91"/>
      <c r="G24" s="92"/>
      <c r="H24" s="92"/>
      <c r="I24" s="92"/>
      <c r="J24" s="93"/>
    </row>
    <row r="25" spans="2:10" ht="18" customHeight="1" x14ac:dyDescent="0.4">
      <c r="B25" s="98"/>
      <c r="C25" s="10" t="s">
        <v>21</v>
      </c>
      <c r="D25" s="29">
        <v>0.32500000000000001</v>
      </c>
      <c r="E25" s="12">
        <f t="shared" si="0"/>
        <v>0</v>
      </c>
      <c r="F25" s="91"/>
      <c r="G25" s="92"/>
      <c r="H25" s="92"/>
      <c r="I25" s="92"/>
      <c r="J25" s="93"/>
    </row>
    <row r="26" spans="2:10" ht="18" customHeight="1" x14ac:dyDescent="0.4">
      <c r="B26" s="98"/>
      <c r="C26" s="10" t="s">
        <v>44</v>
      </c>
      <c r="D26" s="29">
        <v>1.3</v>
      </c>
      <c r="E26" s="12">
        <f t="shared" si="0"/>
        <v>0</v>
      </c>
      <c r="F26" s="91"/>
      <c r="G26" s="92"/>
      <c r="H26" s="92"/>
      <c r="I26" s="92"/>
      <c r="J26" s="93"/>
    </row>
    <row r="27" spans="2:10" ht="18" customHeight="1" x14ac:dyDescent="0.4">
      <c r="B27" s="99"/>
      <c r="C27" s="10" t="s">
        <v>22</v>
      </c>
      <c r="D27" s="29">
        <v>0.13</v>
      </c>
      <c r="E27" s="12">
        <f t="shared" si="0"/>
        <v>0</v>
      </c>
      <c r="F27" s="94"/>
      <c r="G27" s="95"/>
      <c r="H27" s="95"/>
      <c r="I27" s="95"/>
      <c r="J27" s="96"/>
    </row>
    <row r="28" spans="2:10" ht="18" customHeight="1" thickBot="1" x14ac:dyDescent="0.45">
      <c r="B28" s="15" t="s">
        <v>65</v>
      </c>
      <c r="C28" s="16" t="s">
        <v>66</v>
      </c>
      <c r="D28" s="17">
        <v>13</v>
      </c>
      <c r="E28" s="18">
        <f t="shared" si="0"/>
        <v>0</v>
      </c>
      <c r="F28" s="103" t="s">
        <v>23</v>
      </c>
      <c r="G28" s="104"/>
      <c r="H28" s="104"/>
      <c r="I28" s="104"/>
      <c r="J28" s="105"/>
    </row>
    <row r="29" spans="2:10" ht="80.099999999999994" customHeight="1" thickTop="1" x14ac:dyDescent="0.4">
      <c r="B29" s="57"/>
      <c r="C29" s="57"/>
      <c r="D29" s="57"/>
      <c r="E29" s="57"/>
      <c r="F29" s="57"/>
      <c r="G29" s="57"/>
      <c r="H29" s="57"/>
      <c r="I29" s="57"/>
      <c r="J29" s="57"/>
    </row>
    <row r="30" spans="2:10" ht="18" customHeight="1" thickBot="1" x14ac:dyDescent="0.45"/>
    <row r="31" spans="2:10" ht="21" customHeight="1" thickTop="1" x14ac:dyDescent="0.4">
      <c r="B31" s="130" t="s">
        <v>128</v>
      </c>
      <c r="C31" s="131"/>
      <c r="D31" s="131"/>
      <c r="E31" s="131"/>
      <c r="F31" s="131"/>
      <c r="G31" s="131"/>
      <c r="H31" s="131"/>
      <c r="I31" s="131"/>
      <c r="J31" s="132"/>
    </row>
    <row r="32" spans="2:10" ht="18" customHeight="1" x14ac:dyDescent="0.4">
      <c r="B32" s="123" t="s">
        <v>2</v>
      </c>
      <c r="C32" s="124" t="s">
        <v>3</v>
      </c>
      <c r="D32" s="24" t="s">
        <v>4</v>
      </c>
      <c r="E32" s="24" t="s">
        <v>5</v>
      </c>
      <c r="F32" s="124" t="s">
        <v>6</v>
      </c>
      <c r="G32" s="124"/>
      <c r="H32" s="124"/>
      <c r="I32" s="124"/>
      <c r="J32" s="133"/>
    </row>
    <row r="33" spans="2:10" ht="18" customHeight="1" x14ac:dyDescent="0.4">
      <c r="B33" s="123"/>
      <c r="C33" s="124"/>
      <c r="D33" s="24" t="s">
        <v>1</v>
      </c>
      <c r="E33" s="25" t="s">
        <v>1</v>
      </c>
      <c r="F33" s="124"/>
      <c r="G33" s="124"/>
      <c r="H33" s="124"/>
      <c r="I33" s="124"/>
      <c r="J33" s="133"/>
    </row>
    <row r="34" spans="2:10" ht="18" customHeight="1" x14ac:dyDescent="0.4">
      <c r="B34" s="71" t="s">
        <v>97</v>
      </c>
      <c r="C34" s="20" t="s">
        <v>7</v>
      </c>
      <c r="D34" s="27">
        <v>32.5</v>
      </c>
      <c r="E34" s="12">
        <f t="shared" ref="E34:E46" si="1">D34*D$2</f>
        <v>0</v>
      </c>
      <c r="F34" s="81" t="s">
        <v>166</v>
      </c>
      <c r="G34" s="82"/>
      <c r="H34" s="82"/>
      <c r="I34" s="82"/>
      <c r="J34" s="83"/>
    </row>
    <row r="35" spans="2:10" ht="18" customHeight="1" x14ac:dyDescent="0.4">
      <c r="B35" s="71"/>
      <c r="C35" s="20" t="s">
        <v>167</v>
      </c>
      <c r="D35" s="27">
        <v>1.625</v>
      </c>
      <c r="E35" s="12">
        <f t="shared" si="1"/>
        <v>0</v>
      </c>
      <c r="F35" s="84"/>
      <c r="G35" s="85"/>
      <c r="H35" s="85"/>
      <c r="I35" s="85"/>
      <c r="J35" s="86"/>
    </row>
    <row r="36" spans="2:10" ht="18" customHeight="1" x14ac:dyDescent="0.4">
      <c r="B36" s="129" t="s">
        <v>108</v>
      </c>
      <c r="C36" s="21" t="s">
        <v>39</v>
      </c>
      <c r="D36" s="13">
        <v>13</v>
      </c>
      <c r="E36" s="12">
        <f t="shared" si="1"/>
        <v>0</v>
      </c>
      <c r="F36" s="88" t="s">
        <v>245</v>
      </c>
      <c r="G36" s="89"/>
      <c r="H36" s="89"/>
      <c r="I36" s="89"/>
      <c r="J36" s="90"/>
    </row>
    <row r="37" spans="2:10" ht="18" customHeight="1" x14ac:dyDescent="0.4">
      <c r="B37" s="129"/>
      <c r="C37" s="21" t="s">
        <v>9</v>
      </c>
      <c r="D37" s="11">
        <v>6.5</v>
      </c>
      <c r="E37" s="12">
        <f t="shared" si="1"/>
        <v>0</v>
      </c>
      <c r="F37" s="91"/>
      <c r="G37" s="92"/>
      <c r="H37" s="92"/>
      <c r="I37" s="92"/>
      <c r="J37" s="93"/>
    </row>
    <row r="38" spans="2:10" ht="18" customHeight="1" x14ac:dyDescent="0.4">
      <c r="B38" s="129"/>
      <c r="C38" s="21" t="s">
        <v>15</v>
      </c>
      <c r="D38" s="11">
        <v>1.3</v>
      </c>
      <c r="E38" s="12">
        <f t="shared" si="1"/>
        <v>0</v>
      </c>
      <c r="F38" s="91"/>
      <c r="G38" s="92"/>
      <c r="H38" s="92"/>
      <c r="I38" s="92"/>
      <c r="J38" s="93"/>
    </row>
    <row r="39" spans="2:10" ht="18" customHeight="1" x14ac:dyDescent="0.4">
      <c r="B39" s="129"/>
      <c r="C39" s="21" t="s">
        <v>60</v>
      </c>
      <c r="D39" s="11">
        <v>0.32500000000000001</v>
      </c>
      <c r="E39" s="12">
        <f t="shared" si="1"/>
        <v>0</v>
      </c>
      <c r="F39" s="91"/>
      <c r="G39" s="92"/>
      <c r="H39" s="92"/>
      <c r="I39" s="92"/>
      <c r="J39" s="93"/>
    </row>
    <row r="40" spans="2:10" ht="18" customHeight="1" x14ac:dyDescent="0.4">
      <c r="B40" s="129"/>
      <c r="C40" s="21" t="s">
        <v>21</v>
      </c>
      <c r="D40" s="11">
        <v>0.32500000000000001</v>
      </c>
      <c r="E40" s="12">
        <f t="shared" si="1"/>
        <v>0</v>
      </c>
      <c r="F40" s="91"/>
      <c r="G40" s="92"/>
      <c r="H40" s="92"/>
      <c r="I40" s="92"/>
      <c r="J40" s="93"/>
    </row>
    <row r="41" spans="2:10" ht="18" customHeight="1" x14ac:dyDescent="0.4">
      <c r="B41" s="129"/>
      <c r="C41" s="21" t="s">
        <v>13</v>
      </c>
      <c r="D41" s="11">
        <v>0.32500000000000001</v>
      </c>
      <c r="E41" s="12">
        <f t="shared" si="1"/>
        <v>0</v>
      </c>
      <c r="F41" s="91"/>
      <c r="G41" s="92"/>
      <c r="H41" s="92"/>
      <c r="I41" s="92"/>
      <c r="J41" s="93"/>
    </row>
    <row r="42" spans="2:10" ht="18" customHeight="1" x14ac:dyDescent="0.4">
      <c r="B42" s="129"/>
      <c r="C42" s="21" t="s">
        <v>80</v>
      </c>
      <c r="D42" s="11">
        <v>1.3</v>
      </c>
      <c r="E42" s="12">
        <f t="shared" si="1"/>
        <v>0</v>
      </c>
      <c r="F42" s="91"/>
      <c r="G42" s="92"/>
      <c r="H42" s="92"/>
      <c r="I42" s="92"/>
      <c r="J42" s="93"/>
    </row>
    <row r="43" spans="2:10" ht="18" customHeight="1" x14ac:dyDescent="0.4">
      <c r="B43" s="129"/>
      <c r="C43" s="21" t="s">
        <v>81</v>
      </c>
      <c r="D43" s="11">
        <v>1.3</v>
      </c>
      <c r="E43" s="12">
        <f t="shared" si="1"/>
        <v>0</v>
      </c>
      <c r="F43" s="94"/>
      <c r="G43" s="95"/>
      <c r="H43" s="95"/>
      <c r="I43" s="95"/>
      <c r="J43" s="96"/>
    </row>
    <row r="44" spans="2:10" ht="18" customHeight="1" x14ac:dyDescent="0.4">
      <c r="B44" s="106" t="s">
        <v>246</v>
      </c>
      <c r="C44" s="10" t="s">
        <v>50</v>
      </c>
      <c r="D44" s="13">
        <v>26</v>
      </c>
      <c r="E44" s="12">
        <f t="shared" si="1"/>
        <v>0</v>
      </c>
      <c r="F44" s="77" t="s">
        <v>247</v>
      </c>
      <c r="G44" s="77"/>
      <c r="H44" s="77"/>
      <c r="I44" s="77"/>
      <c r="J44" s="78"/>
    </row>
    <row r="45" spans="2:10" ht="18" customHeight="1" x14ac:dyDescent="0.4">
      <c r="B45" s="107"/>
      <c r="C45" s="10" t="s">
        <v>9</v>
      </c>
      <c r="D45" s="11">
        <v>6.5</v>
      </c>
      <c r="E45" s="12">
        <f t="shared" si="1"/>
        <v>0</v>
      </c>
      <c r="F45" s="77" t="s">
        <v>155</v>
      </c>
      <c r="G45" s="77"/>
      <c r="H45" s="77"/>
      <c r="I45" s="77"/>
      <c r="J45" s="78"/>
    </row>
    <row r="46" spans="2:10" ht="18" customHeight="1" x14ac:dyDescent="0.4">
      <c r="B46" s="107"/>
      <c r="C46" s="10" t="s">
        <v>19</v>
      </c>
      <c r="D46" s="11">
        <v>1.3</v>
      </c>
      <c r="E46" s="12">
        <f t="shared" si="1"/>
        <v>0</v>
      </c>
      <c r="F46" s="77" t="s">
        <v>155</v>
      </c>
      <c r="G46" s="77"/>
      <c r="H46" s="77"/>
      <c r="I46" s="77"/>
      <c r="J46" s="78"/>
    </row>
    <row r="47" spans="2:10" ht="18" customHeight="1" x14ac:dyDescent="0.4">
      <c r="B47" s="107"/>
      <c r="C47" s="163" t="s">
        <v>248</v>
      </c>
      <c r="D47" s="163"/>
      <c r="E47" s="163"/>
      <c r="F47" s="77" t="s">
        <v>155</v>
      </c>
      <c r="G47" s="77"/>
      <c r="H47" s="77"/>
      <c r="I47" s="77"/>
      <c r="J47" s="78"/>
    </row>
    <row r="48" spans="2:10" ht="18" customHeight="1" x14ac:dyDescent="0.4">
      <c r="B48" s="107"/>
      <c r="C48" s="10" t="s">
        <v>13</v>
      </c>
      <c r="D48" s="11">
        <v>3.25</v>
      </c>
      <c r="E48" s="12">
        <f t="shared" ref="E48:E57" si="2">D48*D$2</f>
        <v>0</v>
      </c>
      <c r="F48" s="77" t="s">
        <v>155</v>
      </c>
      <c r="G48" s="77"/>
      <c r="H48" s="77"/>
      <c r="I48" s="77"/>
      <c r="J48" s="78"/>
    </row>
    <row r="49" spans="2:10" ht="18" customHeight="1" x14ac:dyDescent="0.4">
      <c r="B49" s="107"/>
      <c r="C49" s="10" t="s">
        <v>249</v>
      </c>
      <c r="D49" s="11">
        <v>3.25</v>
      </c>
      <c r="E49" s="12">
        <f t="shared" si="2"/>
        <v>0</v>
      </c>
      <c r="F49" s="77" t="s">
        <v>155</v>
      </c>
      <c r="G49" s="77"/>
      <c r="H49" s="77"/>
      <c r="I49" s="77"/>
      <c r="J49" s="78"/>
    </row>
    <row r="50" spans="2:10" ht="18" customHeight="1" x14ac:dyDescent="0.4">
      <c r="B50" s="107"/>
      <c r="C50" s="10" t="s">
        <v>250</v>
      </c>
      <c r="D50" s="11">
        <v>3.25</v>
      </c>
      <c r="E50" s="12">
        <f t="shared" si="2"/>
        <v>0</v>
      </c>
      <c r="F50" s="77" t="s">
        <v>155</v>
      </c>
      <c r="G50" s="77"/>
      <c r="H50" s="77"/>
      <c r="I50" s="77"/>
      <c r="J50" s="78"/>
    </row>
    <row r="51" spans="2:10" ht="18" customHeight="1" x14ac:dyDescent="0.4">
      <c r="B51" s="107"/>
      <c r="C51" s="10" t="s">
        <v>251</v>
      </c>
      <c r="D51" s="11">
        <v>3.25</v>
      </c>
      <c r="E51" s="12">
        <f t="shared" si="2"/>
        <v>0</v>
      </c>
      <c r="F51" s="77" t="s">
        <v>155</v>
      </c>
      <c r="G51" s="77"/>
      <c r="H51" s="77"/>
      <c r="I51" s="77"/>
      <c r="J51" s="78"/>
    </row>
    <row r="52" spans="2:10" ht="18" customHeight="1" x14ac:dyDescent="0.4">
      <c r="B52" s="107"/>
      <c r="C52" s="10" t="s">
        <v>27</v>
      </c>
      <c r="D52" s="13">
        <v>1.9500000000000002</v>
      </c>
      <c r="E52" s="12">
        <f t="shared" si="2"/>
        <v>0</v>
      </c>
      <c r="F52" s="77" t="s">
        <v>155</v>
      </c>
      <c r="G52" s="77"/>
      <c r="H52" s="77"/>
      <c r="I52" s="77"/>
      <c r="J52" s="78"/>
    </row>
    <row r="53" spans="2:10" ht="18" customHeight="1" x14ac:dyDescent="0.4">
      <c r="B53" s="107"/>
      <c r="C53" s="10" t="s">
        <v>10</v>
      </c>
      <c r="D53" s="11">
        <v>1.3</v>
      </c>
      <c r="E53" s="12">
        <f t="shared" si="2"/>
        <v>0</v>
      </c>
      <c r="F53" s="77" t="s">
        <v>155</v>
      </c>
      <c r="G53" s="77"/>
      <c r="H53" s="77"/>
      <c r="I53" s="77"/>
      <c r="J53" s="78"/>
    </row>
    <row r="54" spans="2:10" ht="18" customHeight="1" x14ac:dyDescent="0.4">
      <c r="B54" s="74" t="s">
        <v>252</v>
      </c>
      <c r="C54" s="10" t="s">
        <v>253</v>
      </c>
      <c r="D54" s="28">
        <v>1.9500000000000002</v>
      </c>
      <c r="E54" s="12">
        <f t="shared" si="2"/>
        <v>0</v>
      </c>
      <c r="F54" s="77" t="s">
        <v>254</v>
      </c>
      <c r="G54" s="77"/>
      <c r="H54" s="77"/>
      <c r="I54" s="77"/>
      <c r="J54" s="78"/>
    </row>
    <row r="55" spans="2:10" ht="18" customHeight="1" x14ac:dyDescent="0.4">
      <c r="B55" s="75"/>
      <c r="C55" s="10" t="s">
        <v>14</v>
      </c>
      <c r="D55" s="27">
        <v>1.3</v>
      </c>
      <c r="E55" s="12">
        <f t="shared" si="2"/>
        <v>0</v>
      </c>
      <c r="F55" s="77" t="s">
        <v>155</v>
      </c>
      <c r="G55" s="77"/>
      <c r="H55" s="77"/>
      <c r="I55" s="77"/>
      <c r="J55" s="78"/>
    </row>
    <row r="56" spans="2:10" ht="18" customHeight="1" x14ac:dyDescent="0.4">
      <c r="B56" s="75"/>
      <c r="C56" s="10" t="s">
        <v>21</v>
      </c>
      <c r="D56" s="27">
        <v>0.32500000000000001</v>
      </c>
      <c r="E56" s="12">
        <f t="shared" si="2"/>
        <v>0</v>
      </c>
      <c r="F56" s="77" t="s">
        <v>155</v>
      </c>
      <c r="G56" s="77"/>
      <c r="H56" s="77"/>
      <c r="I56" s="77"/>
      <c r="J56" s="78"/>
    </row>
    <row r="57" spans="2:10" ht="18" customHeight="1" thickBot="1" x14ac:dyDescent="0.45">
      <c r="B57" s="15" t="s">
        <v>65</v>
      </c>
      <c r="C57" s="16" t="s">
        <v>66</v>
      </c>
      <c r="D57" s="17">
        <v>13</v>
      </c>
      <c r="E57" s="18">
        <f t="shared" si="2"/>
        <v>0</v>
      </c>
      <c r="F57" s="103" t="s">
        <v>23</v>
      </c>
      <c r="G57" s="104"/>
      <c r="H57" s="104"/>
      <c r="I57" s="104"/>
      <c r="J57" s="105"/>
    </row>
    <row r="58" spans="2:10" ht="80.099999999999994" customHeight="1" thickTop="1" x14ac:dyDescent="0.4">
      <c r="B58" s="57"/>
      <c r="C58" s="57"/>
      <c r="D58" s="57"/>
      <c r="E58" s="57"/>
      <c r="F58" s="57"/>
      <c r="G58" s="57"/>
      <c r="H58" s="57"/>
      <c r="I58" s="57"/>
      <c r="J58" s="57"/>
    </row>
    <row r="59" spans="2:10" ht="18" customHeight="1" thickBot="1" x14ac:dyDescent="0.45"/>
    <row r="60" spans="2:10" ht="21" customHeight="1" thickTop="1" x14ac:dyDescent="0.4">
      <c r="B60" s="58" t="s">
        <v>134</v>
      </c>
      <c r="C60" s="59"/>
      <c r="D60" s="59"/>
      <c r="E60" s="59"/>
      <c r="F60" s="59"/>
      <c r="G60" s="59"/>
      <c r="H60" s="59"/>
      <c r="I60" s="59"/>
      <c r="J60" s="60"/>
    </row>
    <row r="61" spans="2:10" ht="18" customHeight="1" x14ac:dyDescent="0.4">
      <c r="B61" s="123" t="s">
        <v>2</v>
      </c>
      <c r="C61" s="124" t="s">
        <v>3</v>
      </c>
      <c r="D61" s="24" t="s">
        <v>4</v>
      </c>
      <c r="E61" s="24" t="s">
        <v>5</v>
      </c>
      <c r="F61" s="124" t="s">
        <v>6</v>
      </c>
      <c r="G61" s="124"/>
      <c r="H61" s="124"/>
      <c r="I61" s="124"/>
      <c r="J61" s="133"/>
    </row>
    <row r="62" spans="2:10" ht="18" customHeight="1" x14ac:dyDescent="0.4">
      <c r="B62" s="123"/>
      <c r="C62" s="124"/>
      <c r="D62" s="24" t="s">
        <v>1</v>
      </c>
      <c r="E62" s="25" t="s">
        <v>1</v>
      </c>
      <c r="F62" s="124"/>
      <c r="G62" s="124"/>
      <c r="H62" s="124"/>
      <c r="I62" s="124"/>
      <c r="J62" s="133"/>
    </row>
    <row r="63" spans="2:10" ht="18" customHeight="1" x14ac:dyDescent="0.4">
      <c r="B63" s="71" t="s">
        <v>67</v>
      </c>
      <c r="C63" s="10" t="s">
        <v>7</v>
      </c>
      <c r="D63" s="27">
        <v>32.5</v>
      </c>
      <c r="E63" s="12">
        <f t="shared" ref="E63:E88" si="3">D63*D$2</f>
        <v>0</v>
      </c>
      <c r="F63" s="81" t="s">
        <v>8</v>
      </c>
      <c r="G63" s="82"/>
      <c r="H63" s="82"/>
      <c r="I63" s="82"/>
      <c r="J63" s="83"/>
    </row>
    <row r="64" spans="2:10" ht="18" customHeight="1" x14ac:dyDescent="0.4">
      <c r="B64" s="71"/>
      <c r="C64" s="10" t="s">
        <v>255</v>
      </c>
      <c r="D64" s="27">
        <v>1.625</v>
      </c>
      <c r="E64" s="12">
        <f t="shared" si="3"/>
        <v>0</v>
      </c>
      <c r="F64" s="84"/>
      <c r="G64" s="85"/>
      <c r="H64" s="85"/>
      <c r="I64" s="85"/>
      <c r="J64" s="86"/>
    </row>
    <row r="65" spans="2:10" ht="18" customHeight="1" x14ac:dyDescent="0.4">
      <c r="B65" s="97" t="s">
        <v>69</v>
      </c>
      <c r="C65" s="21" t="s">
        <v>20</v>
      </c>
      <c r="D65" s="27">
        <v>19.5</v>
      </c>
      <c r="E65" s="12">
        <f t="shared" si="3"/>
        <v>0</v>
      </c>
      <c r="F65" s="77" t="s">
        <v>256</v>
      </c>
      <c r="G65" s="77"/>
      <c r="H65" s="77"/>
      <c r="I65" s="77"/>
      <c r="J65" s="78"/>
    </row>
    <row r="66" spans="2:10" ht="18" customHeight="1" x14ac:dyDescent="0.4">
      <c r="B66" s="98"/>
      <c r="C66" s="21" t="s">
        <v>9</v>
      </c>
      <c r="D66" s="27">
        <v>6.5</v>
      </c>
      <c r="E66" s="12">
        <f t="shared" si="3"/>
        <v>0</v>
      </c>
      <c r="F66" s="77" t="s">
        <v>155</v>
      </c>
      <c r="G66" s="77"/>
      <c r="H66" s="77"/>
      <c r="I66" s="77"/>
      <c r="J66" s="78"/>
    </row>
    <row r="67" spans="2:10" ht="18" customHeight="1" x14ac:dyDescent="0.4">
      <c r="B67" s="98"/>
      <c r="C67" s="21" t="s">
        <v>70</v>
      </c>
      <c r="D67" s="28">
        <v>1.9500000000000002</v>
      </c>
      <c r="E67" s="12">
        <f t="shared" si="3"/>
        <v>0</v>
      </c>
      <c r="F67" s="77" t="s">
        <v>155</v>
      </c>
      <c r="G67" s="77"/>
      <c r="H67" s="77"/>
      <c r="I67" s="77"/>
      <c r="J67" s="78"/>
    </row>
    <row r="68" spans="2:10" ht="18" customHeight="1" x14ac:dyDescent="0.4">
      <c r="B68" s="98"/>
      <c r="C68" s="21" t="s">
        <v>60</v>
      </c>
      <c r="D68" s="27">
        <v>0.65</v>
      </c>
      <c r="E68" s="12">
        <f t="shared" si="3"/>
        <v>0</v>
      </c>
      <c r="F68" s="77" t="s">
        <v>155</v>
      </c>
      <c r="G68" s="77"/>
      <c r="H68" s="77"/>
      <c r="I68" s="77"/>
      <c r="J68" s="78"/>
    </row>
    <row r="69" spans="2:10" ht="18" customHeight="1" x14ac:dyDescent="0.4">
      <c r="B69" s="98"/>
      <c r="C69" s="21" t="s">
        <v>10</v>
      </c>
      <c r="D69" s="27">
        <v>1.3</v>
      </c>
      <c r="E69" s="12">
        <f t="shared" si="3"/>
        <v>0</v>
      </c>
      <c r="F69" s="77" t="s">
        <v>155</v>
      </c>
      <c r="G69" s="77"/>
      <c r="H69" s="77"/>
      <c r="I69" s="77"/>
      <c r="J69" s="78"/>
    </row>
    <row r="70" spans="2:10" ht="18" customHeight="1" x14ac:dyDescent="0.4">
      <c r="B70" s="98"/>
      <c r="C70" s="21" t="s">
        <v>12</v>
      </c>
      <c r="D70" s="27">
        <v>1.3</v>
      </c>
      <c r="E70" s="12">
        <f t="shared" si="3"/>
        <v>0</v>
      </c>
      <c r="F70" s="77" t="s">
        <v>155</v>
      </c>
      <c r="G70" s="77"/>
      <c r="H70" s="77"/>
      <c r="I70" s="77"/>
      <c r="J70" s="78"/>
    </row>
    <row r="71" spans="2:10" ht="18" customHeight="1" x14ac:dyDescent="0.4">
      <c r="B71" s="144" t="s">
        <v>257</v>
      </c>
      <c r="C71" s="47" t="s">
        <v>31</v>
      </c>
      <c r="D71" s="48">
        <v>26</v>
      </c>
      <c r="E71" s="49">
        <f t="shared" si="3"/>
        <v>0</v>
      </c>
      <c r="F71" s="164" t="s">
        <v>258</v>
      </c>
      <c r="G71" s="165"/>
      <c r="H71" s="165"/>
      <c r="I71" s="165"/>
      <c r="J71" s="166"/>
    </row>
    <row r="72" spans="2:10" ht="18" customHeight="1" x14ac:dyDescent="0.4">
      <c r="B72" s="145"/>
      <c r="C72" s="47" t="s">
        <v>120</v>
      </c>
      <c r="D72" s="50">
        <v>6.5</v>
      </c>
      <c r="E72" s="49">
        <f t="shared" si="3"/>
        <v>0</v>
      </c>
      <c r="F72" s="167"/>
      <c r="G72" s="168"/>
      <c r="H72" s="168"/>
      <c r="I72" s="168"/>
      <c r="J72" s="169"/>
    </row>
    <row r="73" spans="2:10" ht="18" customHeight="1" x14ac:dyDescent="0.4">
      <c r="B73" s="145"/>
      <c r="C73" s="47" t="s">
        <v>55</v>
      </c>
      <c r="D73" s="50">
        <v>3.25</v>
      </c>
      <c r="E73" s="49">
        <f t="shared" si="3"/>
        <v>0</v>
      </c>
      <c r="F73" s="167"/>
      <c r="G73" s="168"/>
      <c r="H73" s="168"/>
      <c r="I73" s="168"/>
      <c r="J73" s="169"/>
    </row>
    <row r="74" spans="2:10" ht="18" customHeight="1" x14ac:dyDescent="0.4">
      <c r="B74" s="145"/>
      <c r="C74" s="47" t="s">
        <v>71</v>
      </c>
      <c r="D74" s="50">
        <v>3.25</v>
      </c>
      <c r="E74" s="49">
        <f t="shared" si="3"/>
        <v>0</v>
      </c>
      <c r="F74" s="167"/>
      <c r="G74" s="168"/>
      <c r="H74" s="168"/>
      <c r="I74" s="168"/>
      <c r="J74" s="169"/>
    </row>
    <row r="75" spans="2:10" ht="18" customHeight="1" x14ac:dyDescent="0.4">
      <c r="B75" s="145"/>
      <c r="C75" s="47" t="s">
        <v>72</v>
      </c>
      <c r="D75" s="50">
        <v>3.25</v>
      </c>
      <c r="E75" s="49">
        <f t="shared" si="3"/>
        <v>0</v>
      </c>
      <c r="F75" s="167"/>
      <c r="G75" s="168"/>
      <c r="H75" s="168"/>
      <c r="I75" s="168"/>
      <c r="J75" s="169"/>
    </row>
    <row r="76" spans="2:10" ht="18" customHeight="1" x14ac:dyDescent="0.4">
      <c r="B76" s="145"/>
      <c r="C76" s="47" t="s">
        <v>63</v>
      </c>
      <c r="D76" s="48">
        <v>1.9500000000000002</v>
      </c>
      <c r="E76" s="49">
        <f t="shared" si="3"/>
        <v>0</v>
      </c>
      <c r="F76" s="167"/>
      <c r="G76" s="168"/>
      <c r="H76" s="168"/>
      <c r="I76" s="168"/>
      <c r="J76" s="169"/>
    </row>
    <row r="77" spans="2:10" ht="18" customHeight="1" x14ac:dyDescent="0.4">
      <c r="B77" s="145"/>
      <c r="C77" s="47" t="s">
        <v>75</v>
      </c>
      <c r="D77" s="50">
        <v>1.3</v>
      </c>
      <c r="E77" s="49">
        <f t="shared" si="3"/>
        <v>0</v>
      </c>
      <c r="F77" s="167"/>
      <c r="G77" s="168"/>
      <c r="H77" s="168"/>
      <c r="I77" s="168"/>
      <c r="J77" s="169"/>
    </row>
    <row r="78" spans="2:10" ht="18" customHeight="1" x14ac:dyDescent="0.4">
      <c r="B78" s="145"/>
      <c r="C78" s="51" t="s">
        <v>60</v>
      </c>
      <c r="D78" s="50">
        <v>0.65</v>
      </c>
      <c r="E78" s="49">
        <f t="shared" si="3"/>
        <v>0</v>
      </c>
      <c r="F78" s="167"/>
      <c r="G78" s="168"/>
      <c r="H78" s="168"/>
      <c r="I78" s="168"/>
      <c r="J78" s="169"/>
    </row>
    <row r="79" spans="2:10" ht="18" customHeight="1" x14ac:dyDescent="0.4">
      <c r="B79" s="145"/>
      <c r="C79" s="51" t="s">
        <v>78</v>
      </c>
      <c r="D79" s="50">
        <v>0.32500000000000001</v>
      </c>
      <c r="E79" s="49">
        <f t="shared" si="3"/>
        <v>0</v>
      </c>
      <c r="F79" s="167"/>
      <c r="G79" s="168"/>
      <c r="H79" s="168"/>
      <c r="I79" s="168"/>
      <c r="J79" s="169"/>
    </row>
    <row r="80" spans="2:10" ht="18" customHeight="1" x14ac:dyDescent="0.4">
      <c r="B80" s="145"/>
      <c r="C80" s="51" t="s">
        <v>82</v>
      </c>
      <c r="D80" s="50">
        <v>0.19500000000000001</v>
      </c>
      <c r="E80" s="49">
        <f t="shared" si="3"/>
        <v>0</v>
      </c>
      <c r="F80" s="167"/>
      <c r="G80" s="168"/>
      <c r="H80" s="168"/>
      <c r="I80" s="168"/>
      <c r="J80" s="169"/>
    </row>
    <row r="81" spans="2:10" ht="18" customHeight="1" x14ac:dyDescent="0.4">
      <c r="B81" s="145"/>
      <c r="C81" s="51" t="s">
        <v>74</v>
      </c>
      <c r="D81" s="50">
        <v>6.5000000000000002E-2</v>
      </c>
      <c r="E81" s="49">
        <f t="shared" si="3"/>
        <v>0</v>
      </c>
      <c r="F81" s="167"/>
      <c r="G81" s="168"/>
      <c r="H81" s="168"/>
      <c r="I81" s="168"/>
      <c r="J81" s="169"/>
    </row>
    <row r="82" spans="2:10" ht="18" customHeight="1" x14ac:dyDescent="0.4">
      <c r="B82" s="144" t="s">
        <v>259</v>
      </c>
      <c r="C82" s="51" t="s">
        <v>260</v>
      </c>
      <c r="D82" s="52">
        <v>22.75</v>
      </c>
      <c r="E82" s="49">
        <f t="shared" si="3"/>
        <v>0</v>
      </c>
      <c r="F82" s="170" t="s">
        <v>261</v>
      </c>
      <c r="G82" s="171"/>
      <c r="H82" s="171"/>
      <c r="I82" s="171"/>
      <c r="J82" s="172"/>
    </row>
    <row r="83" spans="2:10" ht="18" customHeight="1" x14ac:dyDescent="0.4">
      <c r="B83" s="145"/>
      <c r="C83" s="51" t="s">
        <v>63</v>
      </c>
      <c r="D83" s="53">
        <v>13</v>
      </c>
      <c r="E83" s="49">
        <f t="shared" si="3"/>
        <v>0</v>
      </c>
      <c r="F83" s="173"/>
      <c r="G83" s="174"/>
      <c r="H83" s="174"/>
      <c r="I83" s="174"/>
      <c r="J83" s="175"/>
    </row>
    <row r="84" spans="2:10" ht="18" customHeight="1" x14ac:dyDescent="0.4">
      <c r="B84" s="145"/>
      <c r="C84" s="51" t="s">
        <v>60</v>
      </c>
      <c r="D84" s="52">
        <v>0.32500000000000001</v>
      </c>
      <c r="E84" s="49">
        <f t="shared" si="3"/>
        <v>0</v>
      </c>
      <c r="F84" s="173"/>
      <c r="G84" s="174"/>
      <c r="H84" s="174"/>
      <c r="I84" s="174"/>
      <c r="J84" s="175"/>
    </row>
    <row r="85" spans="2:10" ht="18" customHeight="1" x14ac:dyDescent="0.4">
      <c r="B85" s="145"/>
      <c r="C85" s="51" t="s">
        <v>82</v>
      </c>
      <c r="D85" s="52">
        <v>0.13</v>
      </c>
      <c r="E85" s="49">
        <f t="shared" si="3"/>
        <v>0</v>
      </c>
      <c r="F85" s="173"/>
      <c r="G85" s="174"/>
      <c r="H85" s="174"/>
      <c r="I85" s="174"/>
      <c r="J85" s="175"/>
    </row>
    <row r="86" spans="2:10" ht="18" customHeight="1" x14ac:dyDescent="0.4">
      <c r="B86" s="145"/>
      <c r="C86" s="51" t="s">
        <v>90</v>
      </c>
      <c r="D86" s="52">
        <v>0.13</v>
      </c>
      <c r="E86" s="49">
        <f t="shared" si="3"/>
        <v>0</v>
      </c>
      <c r="F86" s="173"/>
      <c r="G86" s="174"/>
      <c r="H86" s="174"/>
      <c r="I86" s="174"/>
      <c r="J86" s="175"/>
    </row>
    <row r="87" spans="2:10" ht="18" customHeight="1" x14ac:dyDescent="0.4">
      <c r="B87" s="146"/>
      <c r="C87" s="51" t="s">
        <v>78</v>
      </c>
      <c r="D87" s="52">
        <v>6.5000000000000002E-2</v>
      </c>
      <c r="E87" s="49">
        <f t="shared" si="3"/>
        <v>0</v>
      </c>
      <c r="F87" s="176"/>
      <c r="G87" s="177"/>
      <c r="H87" s="177"/>
      <c r="I87" s="177"/>
      <c r="J87" s="178"/>
    </row>
    <row r="88" spans="2:10" ht="18" customHeight="1" thickBot="1" x14ac:dyDescent="0.45">
      <c r="B88" s="34" t="s">
        <v>117</v>
      </c>
      <c r="C88" s="35" t="s">
        <v>118</v>
      </c>
      <c r="D88" s="18">
        <v>13</v>
      </c>
      <c r="E88" s="18">
        <f t="shared" si="3"/>
        <v>0</v>
      </c>
      <c r="F88" s="148" t="s">
        <v>33</v>
      </c>
      <c r="G88" s="148"/>
      <c r="H88" s="148"/>
      <c r="I88" s="148"/>
      <c r="J88" s="149"/>
    </row>
    <row r="89" spans="2:10" ht="80.099999999999994" customHeight="1" thickTop="1" x14ac:dyDescent="0.4">
      <c r="B89" s="117"/>
      <c r="C89" s="117"/>
      <c r="D89" s="117"/>
      <c r="E89" s="117"/>
      <c r="F89" s="117"/>
      <c r="G89" s="117"/>
      <c r="H89" s="117"/>
      <c r="I89" s="117"/>
      <c r="J89" s="117"/>
    </row>
    <row r="90" spans="2:10" ht="18" customHeight="1" thickBot="1" x14ac:dyDescent="0.45"/>
    <row r="91" spans="2:10" ht="21" customHeight="1" thickTop="1" x14ac:dyDescent="0.4">
      <c r="B91" s="130" t="s">
        <v>135</v>
      </c>
      <c r="C91" s="131"/>
      <c r="D91" s="131"/>
      <c r="E91" s="131"/>
      <c r="F91" s="131"/>
      <c r="G91" s="131"/>
      <c r="H91" s="131"/>
      <c r="I91" s="131"/>
      <c r="J91" s="132"/>
    </row>
    <row r="92" spans="2:10" ht="18" customHeight="1" x14ac:dyDescent="0.4">
      <c r="B92" s="123" t="s">
        <v>262</v>
      </c>
      <c r="C92" s="124" t="s">
        <v>3</v>
      </c>
      <c r="D92" s="24" t="s">
        <v>4</v>
      </c>
      <c r="E92" s="24" t="s">
        <v>5</v>
      </c>
      <c r="F92" s="124" t="s">
        <v>6</v>
      </c>
      <c r="G92" s="124"/>
      <c r="H92" s="124"/>
      <c r="I92" s="124"/>
      <c r="J92" s="133"/>
    </row>
    <row r="93" spans="2:10" ht="18" customHeight="1" x14ac:dyDescent="0.4">
      <c r="B93" s="123"/>
      <c r="C93" s="124"/>
      <c r="D93" s="24" t="s">
        <v>1</v>
      </c>
      <c r="E93" s="25" t="s">
        <v>1</v>
      </c>
      <c r="F93" s="124"/>
      <c r="G93" s="124"/>
      <c r="H93" s="124"/>
      <c r="I93" s="124"/>
      <c r="J93" s="133"/>
    </row>
    <row r="94" spans="2:10" ht="18" customHeight="1" x14ac:dyDescent="0.4">
      <c r="B94" s="79" t="s">
        <v>86</v>
      </c>
      <c r="C94" s="10" t="s">
        <v>57</v>
      </c>
      <c r="D94" s="11">
        <v>32.5</v>
      </c>
      <c r="E94" s="12">
        <f t="shared" ref="E94:E117" si="4">D94*D$2</f>
        <v>0</v>
      </c>
      <c r="F94" s="81" t="s">
        <v>147</v>
      </c>
      <c r="G94" s="82"/>
      <c r="H94" s="82"/>
      <c r="I94" s="82"/>
      <c r="J94" s="83"/>
    </row>
    <row r="95" spans="2:10" ht="18" customHeight="1" x14ac:dyDescent="0.4">
      <c r="B95" s="80"/>
      <c r="C95" s="10" t="s">
        <v>148</v>
      </c>
      <c r="D95" s="11">
        <v>1.625</v>
      </c>
      <c r="E95" s="12">
        <f t="shared" si="4"/>
        <v>0</v>
      </c>
      <c r="F95" s="84"/>
      <c r="G95" s="85"/>
      <c r="H95" s="85"/>
      <c r="I95" s="85"/>
      <c r="J95" s="86"/>
    </row>
    <row r="96" spans="2:10" ht="18" customHeight="1" x14ac:dyDescent="0.4">
      <c r="B96" s="71" t="s">
        <v>93</v>
      </c>
      <c r="C96" s="10" t="s">
        <v>47</v>
      </c>
      <c r="D96" s="28">
        <v>13</v>
      </c>
      <c r="E96" s="12">
        <f t="shared" si="4"/>
        <v>0</v>
      </c>
      <c r="F96" s="77" t="s">
        <v>263</v>
      </c>
      <c r="G96" s="77"/>
      <c r="H96" s="77"/>
      <c r="I96" s="77"/>
      <c r="J96" s="78"/>
    </row>
    <row r="97" spans="2:10" ht="18" customHeight="1" x14ac:dyDescent="0.4">
      <c r="B97" s="71"/>
      <c r="C97" s="10" t="s">
        <v>10</v>
      </c>
      <c r="D97" s="27">
        <v>1.3</v>
      </c>
      <c r="E97" s="12">
        <f t="shared" si="4"/>
        <v>0</v>
      </c>
      <c r="F97" s="77" t="s">
        <v>155</v>
      </c>
      <c r="G97" s="77"/>
      <c r="H97" s="77"/>
      <c r="I97" s="77"/>
      <c r="J97" s="78"/>
    </row>
    <row r="98" spans="2:10" ht="18" customHeight="1" x14ac:dyDescent="0.4">
      <c r="B98" s="71"/>
      <c r="C98" s="10" t="s">
        <v>12</v>
      </c>
      <c r="D98" s="27">
        <v>1.3</v>
      </c>
      <c r="E98" s="12">
        <f t="shared" si="4"/>
        <v>0</v>
      </c>
      <c r="F98" s="77" t="s">
        <v>155</v>
      </c>
      <c r="G98" s="77"/>
      <c r="H98" s="77"/>
      <c r="I98" s="77"/>
      <c r="J98" s="78"/>
    </row>
    <row r="99" spans="2:10" ht="18" customHeight="1" x14ac:dyDescent="0.4">
      <c r="B99" s="71"/>
      <c r="C99" s="10" t="s">
        <v>13</v>
      </c>
      <c r="D99" s="27">
        <v>0.65</v>
      </c>
      <c r="E99" s="12">
        <f t="shared" si="4"/>
        <v>0</v>
      </c>
      <c r="F99" s="77" t="s">
        <v>155</v>
      </c>
      <c r="G99" s="77"/>
      <c r="H99" s="77"/>
      <c r="I99" s="77"/>
      <c r="J99" s="78"/>
    </row>
    <row r="100" spans="2:10" ht="18" customHeight="1" x14ac:dyDescent="0.4">
      <c r="B100" s="71"/>
      <c r="C100" s="10" t="s">
        <v>21</v>
      </c>
      <c r="D100" s="27">
        <v>0.32500000000000001</v>
      </c>
      <c r="E100" s="12">
        <f t="shared" si="4"/>
        <v>0</v>
      </c>
      <c r="F100" s="77" t="s">
        <v>155</v>
      </c>
      <c r="G100" s="77"/>
      <c r="H100" s="77"/>
      <c r="I100" s="77"/>
      <c r="J100" s="78"/>
    </row>
    <row r="101" spans="2:10" ht="18" customHeight="1" x14ac:dyDescent="0.4">
      <c r="B101" s="71"/>
      <c r="C101" s="10" t="s">
        <v>60</v>
      </c>
      <c r="D101" s="27">
        <v>0.32500000000000001</v>
      </c>
      <c r="E101" s="12">
        <f t="shared" si="4"/>
        <v>0</v>
      </c>
      <c r="F101" s="77" t="s">
        <v>155</v>
      </c>
      <c r="G101" s="77"/>
      <c r="H101" s="77"/>
      <c r="I101" s="77"/>
      <c r="J101" s="78"/>
    </row>
    <row r="102" spans="2:10" ht="18" customHeight="1" x14ac:dyDescent="0.4">
      <c r="B102" s="71"/>
      <c r="C102" s="10" t="s">
        <v>15</v>
      </c>
      <c r="D102" s="27">
        <v>1.3</v>
      </c>
      <c r="E102" s="12">
        <f t="shared" si="4"/>
        <v>0</v>
      </c>
      <c r="F102" s="77" t="s">
        <v>155</v>
      </c>
      <c r="G102" s="77"/>
      <c r="H102" s="77"/>
      <c r="I102" s="77"/>
      <c r="J102" s="78"/>
    </row>
    <row r="103" spans="2:10" ht="18" customHeight="1" x14ac:dyDescent="0.4">
      <c r="B103" s="118" t="s">
        <v>264</v>
      </c>
      <c r="C103" s="54" t="s">
        <v>61</v>
      </c>
      <c r="D103" s="53">
        <v>26</v>
      </c>
      <c r="E103" s="49">
        <f t="shared" si="4"/>
        <v>0</v>
      </c>
      <c r="F103" s="154" t="s">
        <v>265</v>
      </c>
      <c r="G103" s="155"/>
      <c r="H103" s="155"/>
      <c r="I103" s="155"/>
      <c r="J103" s="156"/>
    </row>
    <row r="104" spans="2:10" ht="18" customHeight="1" x14ac:dyDescent="0.4">
      <c r="B104" s="119"/>
      <c r="C104" s="54" t="s">
        <v>76</v>
      </c>
      <c r="D104" s="53">
        <v>13</v>
      </c>
      <c r="E104" s="49">
        <f t="shared" si="4"/>
        <v>0</v>
      </c>
      <c r="F104" s="157"/>
      <c r="G104" s="158"/>
      <c r="H104" s="158"/>
      <c r="I104" s="158"/>
      <c r="J104" s="159"/>
    </row>
    <row r="105" spans="2:10" ht="18" customHeight="1" x14ac:dyDescent="0.4">
      <c r="B105" s="119"/>
      <c r="C105" s="54" t="s">
        <v>60</v>
      </c>
      <c r="D105" s="52">
        <v>3.25</v>
      </c>
      <c r="E105" s="49">
        <f t="shared" si="4"/>
        <v>0</v>
      </c>
      <c r="F105" s="157"/>
      <c r="G105" s="158"/>
      <c r="H105" s="158"/>
      <c r="I105" s="158"/>
      <c r="J105" s="159"/>
    </row>
    <row r="106" spans="2:10" ht="18" customHeight="1" x14ac:dyDescent="0.4">
      <c r="B106" s="119"/>
      <c r="C106" s="54" t="s">
        <v>71</v>
      </c>
      <c r="D106" s="52">
        <v>3.25</v>
      </c>
      <c r="E106" s="49">
        <f t="shared" si="4"/>
        <v>0</v>
      </c>
      <c r="F106" s="157"/>
      <c r="G106" s="158"/>
      <c r="H106" s="158"/>
      <c r="I106" s="158"/>
      <c r="J106" s="159"/>
    </row>
    <row r="107" spans="2:10" ht="18" customHeight="1" x14ac:dyDescent="0.4">
      <c r="B107" s="119"/>
      <c r="C107" s="54" t="s">
        <v>72</v>
      </c>
      <c r="D107" s="52">
        <v>3.25</v>
      </c>
      <c r="E107" s="49">
        <f t="shared" si="4"/>
        <v>0</v>
      </c>
      <c r="F107" s="157"/>
      <c r="G107" s="158"/>
      <c r="H107" s="158"/>
      <c r="I107" s="158"/>
      <c r="J107" s="159"/>
    </row>
    <row r="108" spans="2:10" ht="18" customHeight="1" x14ac:dyDescent="0.4">
      <c r="B108" s="119"/>
      <c r="C108" s="54" t="s">
        <v>63</v>
      </c>
      <c r="D108" s="53">
        <v>1.9500000000000002</v>
      </c>
      <c r="E108" s="49">
        <f t="shared" si="4"/>
        <v>0</v>
      </c>
      <c r="F108" s="157"/>
      <c r="G108" s="158"/>
      <c r="H108" s="158"/>
      <c r="I108" s="158"/>
      <c r="J108" s="159"/>
    </row>
    <row r="109" spans="2:10" ht="18" customHeight="1" x14ac:dyDescent="0.4">
      <c r="B109" s="119"/>
      <c r="C109" s="54" t="s">
        <v>78</v>
      </c>
      <c r="D109" s="53">
        <v>1.9500000000000002</v>
      </c>
      <c r="E109" s="49">
        <f t="shared" si="4"/>
        <v>0</v>
      </c>
      <c r="F109" s="157"/>
      <c r="G109" s="158"/>
      <c r="H109" s="158"/>
      <c r="I109" s="158"/>
      <c r="J109" s="159"/>
    </row>
    <row r="110" spans="2:10" ht="18" customHeight="1" x14ac:dyDescent="0.4">
      <c r="B110" s="119"/>
      <c r="C110" s="55" t="s">
        <v>177</v>
      </c>
      <c r="D110" s="53">
        <v>1.9500000000000002</v>
      </c>
      <c r="E110" s="49">
        <f t="shared" si="4"/>
        <v>0</v>
      </c>
      <c r="F110" s="157"/>
      <c r="G110" s="158"/>
      <c r="H110" s="158"/>
      <c r="I110" s="158"/>
      <c r="J110" s="159"/>
    </row>
    <row r="111" spans="2:10" ht="18" customHeight="1" x14ac:dyDescent="0.4">
      <c r="B111" s="119"/>
      <c r="C111" s="54" t="s">
        <v>80</v>
      </c>
      <c r="D111" s="52">
        <v>1.3</v>
      </c>
      <c r="E111" s="49">
        <f t="shared" si="4"/>
        <v>0</v>
      </c>
      <c r="F111" s="157"/>
      <c r="G111" s="158"/>
      <c r="H111" s="158"/>
      <c r="I111" s="158"/>
      <c r="J111" s="159"/>
    </row>
    <row r="112" spans="2:10" ht="18" customHeight="1" x14ac:dyDescent="0.4">
      <c r="B112" s="120"/>
      <c r="C112" s="54" t="s">
        <v>74</v>
      </c>
      <c r="D112" s="52">
        <v>0.13</v>
      </c>
      <c r="E112" s="49">
        <f t="shared" si="4"/>
        <v>0</v>
      </c>
      <c r="F112" s="160"/>
      <c r="G112" s="161"/>
      <c r="H112" s="161"/>
      <c r="I112" s="161"/>
      <c r="J112" s="162"/>
    </row>
    <row r="113" spans="2:10" ht="18" customHeight="1" x14ac:dyDescent="0.4">
      <c r="B113" s="74" t="s">
        <v>127</v>
      </c>
      <c r="C113" s="10" t="s">
        <v>89</v>
      </c>
      <c r="D113" s="12">
        <v>19.5</v>
      </c>
      <c r="E113" s="12">
        <f t="shared" si="4"/>
        <v>0</v>
      </c>
      <c r="F113" s="77" t="s">
        <v>266</v>
      </c>
      <c r="G113" s="77"/>
      <c r="H113" s="77"/>
      <c r="I113" s="77"/>
      <c r="J113" s="78"/>
    </row>
    <row r="114" spans="2:10" ht="18" customHeight="1" x14ac:dyDescent="0.4">
      <c r="B114" s="75"/>
      <c r="C114" s="10" t="s">
        <v>73</v>
      </c>
      <c r="D114" s="29">
        <v>0.65</v>
      </c>
      <c r="E114" s="12">
        <f t="shared" si="4"/>
        <v>0</v>
      </c>
      <c r="F114" s="77" t="s">
        <v>155</v>
      </c>
      <c r="G114" s="77"/>
      <c r="H114" s="77"/>
      <c r="I114" s="77"/>
      <c r="J114" s="78"/>
    </row>
    <row r="115" spans="2:10" ht="18" customHeight="1" x14ac:dyDescent="0.4">
      <c r="B115" s="75"/>
      <c r="C115" s="10" t="s">
        <v>82</v>
      </c>
      <c r="D115" s="29">
        <v>0.65</v>
      </c>
      <c r="E115" s="12">
        <f t="shared" si="4"/>
        <v>0</v>
      </c>
      <c r="F115" s="77" t="s">
        <v>155</v>
      </c>
      <c r="G115" s="77"/>
      <c r="H115" s="77"/>
      <c r="I115" s="77"/>
      <c r="J115" s="78"/>
    </row>
    <row r="116" spans="2:10" ht="18" customHeight="1" x14ac:dyDescent="0.4">
      <c r="B116" s="76"/>
      <c r="C116" s="10" t="s">
        <v>22</v>
      </c>
      <c r="D116" s="29">
        <v>0.19500000000000001</v>
      </c>
      <c r="E116" s="12">
        <f t="shared" si="4"/>
        <v>0</v>
      </c>
      <c r="F116" s="77" t="s">
        <v>155</v>
      </c>
      <c r="G116" s="77"/>
      <c r="H116" s="77"/>
      <c r="I116" s="77"/>
      <c r="J116" s="78"/>
    </row>
    <row r="117" spans="2:10" ht="18" customHeight="1" thickBot="1" x14ac:dyDescent="0.45">
      <c r="B117" s="15" t="s">
        <v>65</v>
      </c>
      <c r="C117" s="16" t="s">
        <v>66</v>
      </c>
      <c r="D117" s="17">
        <v>13</v>
      </c>
      <c r="E117" s="18">
        <f t="shared" si="4"/>
        <v>0</v>
      </c>
      <c r="F117" s="103" t="s">
        <v>23</v>
      </c>
      <c r="G117" s="104"/>
      <c r="H117" s="104"/>
      <c r="I117" s="104"/>
      <c r="J117" s="105"/>
    </row>
    <row r="118" spans="2:10" ht="80.099999999999994" customHeight="1" thickTop="1" x14ac:dyDescent="0.4">
      <c r="B118" s="117"/>
      <c r="C118" s="117"/>
      <c r="D118" s="117"/>
      <c r="E118" s="117"/>
      <c r="F118" s="117"/>
      <c r="G118" s="117"/>
      <c r="H118" s="117"/>
      <c r="I118" s="117"/>
      <c r="J118" s="117"/>
    </row>
    <row r="119" spans="2:10" ht="18" customHeight="1" x14ac:dyDescent="0.4"/>
  </sheetData>
  <mergeCells count="59">
    <mergeCell ref="F28:J28"/>
    <mergeCell ref="B29:J29"/>
    <mergeCell ref="B31:J31"/>
    <mergeCell ref="B32:B33"/>
    <mergeCell ref="C32:C33"/>
    <mergeCell ref="B11:B16"/>
    <mergeCell ref="F11:J16"/>
    <mergeCell ref="B17:B22"/>
    <mergeCell ref="F17:J22"/>
    <mergeCell ref="B23:B27"/>
    <mergeCell ref="F23:J27"/>
    <mergeCell ref="F117:J117"/>
    <mergeCell ref="B118:J118"/>
    <mergeCell ref="B71:B81"/>
    <mergeCell ref="F71:J81"/>
    <mergeCell ref="B82:B87"/>
    <mergeCell ref="F82:J87"/>
    <mergeCell ref="F88:J88"/>
    <mergeCell ref="B89:J89"/>
    <mergeCell ref="B91:J91"/>
    <mergeCell ref="B92:B93"/>
    <mergeCell ref="C92:C93"/>
    <mergeCell ref="F92:J93"/>
    <mergeCell ref="B94:B95"/>
    <mergeCell ref="B113:B116"/>
    <mergeCell ref="F113:J116"/>
    <mergeCell ref="F94:J95"/>
    <mergeCell ref="E2:J2"/>
    <mergeCell ref="B3:J5"/>
    <mergeCell ref="B6:J6"/>
    <mergeCell ref="F7:J8"/>
    <mergeCell ref="B9:B10"/>
    <mergeCell ref="F9:J10"/>
    <mergeCell ref="B7:B8"/>
    <mergeCell ref="C7:C8"/>
    <mergeCell ref="F32:J33"/>
    <mergeCell ref="B34:B35"/>
    <mergeCell ref="F34:J35"/>
    <mergeCell ref="B36:B43"/>
    <mergeCell ref="F36:J43"/>
    <mergeCell ref="B44:B53"/>
    <mergeCell ref="F44:J53"/>
    <mergeCell ref="C47:E47"/>
    <mergeCell ref="B54:B56"/>
    <mergeCell ref="F54:J56"/>
    <mergeCell ref="F57:J57"/>
    <mergeCell ref="B58:J58"/>
    <mergeCell ref="B60:J60"/>
    <mergeCell ref="B61:B62"/>
    <mergeCell ref="C61:C62"/>
    <mergeCell ref="F61:J62"/>
    <mergeCell ref="B63:B64"/>
    <mergeCell ref="F63:J64"/>
    <mergeCell ref="B96:B102"/>
    <mergeCell ref="F96:J102"/>
    <mergeCell ref="B103:B112"/>
    <mergeCell ref="F103:J112"/>
    <mergeCell ref="B65:B70"/>
    <mergeCell ref="F65:J70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99"/>
  <sheetViews>
    <sheetView tabSelected="1" workbookViewId="0">
      <selection activeCell="O9" sqref="O9"/>
    </sheetView>
  </sheetViews>
  <sheetFormatPr defaultColWidth="9" defaultRowHeight="14.4" x14ac:dyDescent="0.4"/>
  <cols>
    <col min="1" max="1" width="4.8984375" style="3" customWidth="1"/>
    <col min="2" max="2" width="18.59765625" style="3" customWidth="1"/>
    <col min="3" max="10" width="11.59765625" style="3" customWidth="1"/>
    <col min="11" max="11" width="4.8984375" style="3" customWidth="1"/>
    <col min="12" max="16384" width="9" style="3"/>
  </cols>
  <sheetData>
    <row r="1" spans="2:10" ht="15" thickBot="1" x14ac:dyDescent="0.45"/>
    <row r="2" spans="2:10" ht="18" customHeight="1" thickTop="1" thickBot="1" x14ac:dyDescent="0.45">
      <c r="B2" s="5" t="s">
        <v>0</v>
      </c>
      <c r="C2" s="5" t="s">
        <v>1</v>
      </c>
      <c r="D2" s="26"/>
      <c r="E2" s="121" t="s">
        <v>145</v>
      </c>
      <c r="F2" s="121"/>
      <c r="G2" s="121"/>
      <c r="H2" s="121"/>
      <c r="I2" s="121"/>
      <c r="J2" s="121"/>
    </row>
    <row r="3" spans="2:10" ht="34.5" customHeight="1" thickTop="1" x14ac:dyDescent="0.4">
      <c r="B3" s="122" t="s">
        <v>146</v>
      </c>
      <c r="C3" s="122"/>
      <c r="D3" s="122"/>
      <c r="E3" s="122"/>
      <c r="F3" s="122"/>
      <c r="G3" s="122"/>
      <c r="H3" s="122"/>
      <c r="I3" s="122"/>
      <c r="J3" s="122"/>
    </row>
    <row r="4" spans="2:10" ht="16.5" customHeight="1" x14ac:dyDescent="0.4">
      <c r="B4" s="122"/>
      <c r="C4" s="122"/>
      <c r="D4" s="122"/>
      <c r="E4" s="122"/>
      <c r="F4" s="122"/>
      <c r="G4" s="122"/>
      <c r="H4" s="122"/>
      <c r="I4" s="122"/>
      <c r="J4" s="122"/>
    </row>
    <row r="5" spans="2:10" ht="16.5" customHeight="1" thickBot="1" x14ac:dyDescent="0.45">
      <c r="B5" s="122"/>
      <c r="C5" s="122"/>
      <c r="D5" s="122"/>
      <c r="E5" s="122"/>
      <c r="F5" s="122"/>
      <c r="G5" s="122"/>
      <c r="H5" s="122"/>
      <c r="I5" s="122"/>
      <c r="J5" s="122"/>
    </row>
    <row r="6" spans="2:10" ht="21" customHeight="1" thickTop="1" x14ac:dyDescent="0.4">
      <c r="B6" s="130" t="s">
        <v>137</v>
      </c>
      <c r="C6" s="131"/>
      <c r="D6" s="131"/>
      <c r="E6" s="131"/>
      <c r="F6" s="131"/>
      <c r="G6" s="131"/>
      <c r="H6" s="131"/>
      <c r="I6" s="131"/>
      <c r="J6" s="132"/>
    </row>
    <row r="7" spans="2:10" ht="18" customHeight="1" x14ac:dyDescent="0.4">
      <c r="B7" s="123" t="s">
        <v>2</v>
      </c>
      <c r="C7" s="124" t="s">
        <v>3</v>
      </c>
      <c r="D7" s="24" t="s">
        <v>4</v>
      </c>
      <c r="E7" s="24" t="s">
        <v>5</v>
      </c>
      <c r="F7" s="124" t="s">
        <v>6</v>
      </c>
      <c r="G7" s="124"/>
      <c r="H7" s="124"/>
      <c r="I7" s="124"/>
      <c r="J7" s="133"/>
    </row>
    <row r="8" spans="2:10" ht="18" customHeight="1" x14ac:dyDescent="0.4">
      <c r="B8" s="123"/>
      <c r="C8" s="124"/>
      <c r="D8" s="24" t="s">
        <v>1</v>
      </c>
      <c r="E8" s="25" t="s">
        <v>1</v>
      </c>
      <c r="F8" s="124"/>
      <c r="G8" s="124"/>
      <c r="H8" s="124"/>
      <c r="I8" s="124"/>
      <c r="J8" s="133"/>
    </row>
    <row r="9" spans="2:10" ht="18" customHeight="1" x14ac:dyDescent="0.4">
      <c r="B9" s="79" t="s">
        <v>67</v>
      </c>
      <c r="C9" s="10" t="s">
        <v>57</v>
      </c>
      <c r="D9" s="11">
        <v>32.5</v>
      </c>
      <c r="E9" s="12">
        <f t="shared" ref="E9:E32" si="0">D9*D$2</f>
        <v>0</v>
      </c>
      <c r="F9" s="81" t="s">
        <v>8</v>
      </c>
      <c r="G9" s="82"/>
      <c r="H9" s="82"/>
      <c r="I9" s="82"/>
      <c r="J9" s="83"/>
    </row>
    <row r="10" spans="2:10" ht="18" customHeight="1" x14ac:dyDescent="0.4">
      <c r="B10" s="80"/>
      <c r="C10" s="10" t="s">
        <v>68</v>
      </c>
      <c r="D10" s="11">
        <v>1.625</v>
      </c>
      <c r="E10" s="12">
        <f t="shared" si="0"/>
        <v>0</v>
      </c>
      <c r="F10" s="84"/>
      <c r="G10" s="85"/>
      <c r="H10" s="85"/>
      <c r="I10" s="85"/>
      <c r="J10" s="86"/>
    </row>
    <row r="11" spans="2:10" ht="18" customHeight="1" x14ac:dyDescent="0.4">
      <c r="B11" s="74" t="s">
        <v>267</v>
      </c>
      <c r="C11" s="21" t="s">
        <v>87</v>
      </c>
      <c r="D11" s="19">
        <v>52</v>
      </c>
      <c r="E11" s="30">
        <f t="shared" si="0"/>
        <v>0</v>
      </c>
      <c r="F11" s="88" t="s">
        <v>268</v>
      </c>
      <c r="G11" s="89"/>
      <c r="H11" s="89"/>
      <c r="I11" s="89"/>
      <c r="J11" s="90"/>
    </row>
    <row r="12" spans="2:10" ht="18" customHeight="1" x14ac:dyDescent="0.4">
      <c r="B12" s="75"/>
      <c r="C12" s="21" t="s">
        <v>76</v>
      </c>
      <c r="D12" s="29">
        <v>9.75</v>
      </c>
      <c r="E12" s="30">
        <f t="shared" si="0"/>
        <v>0</v>
      </c>
      <c r="F12" s="91"/>
      <c r="G12" s="92"/>
      <c r="H12" s="92"/>
      <c r="I12" s="92"/>
      <c r="J12" s="93"/>
    </row>
    <row r="13" spans="2:10" ht="18" customHeight="1" x14ac:dyDescent="0.4">
      <c r="B13" s="75"/>
      <c r="C13" s="21" t="s">
        <v>71</v>
      </c>
      <c r="D13" s="29">
        <v>9.75</v>
      </c>
      <c r="E13" s="30">
        <f t="shared" si="0"/>
        <v>0</v>
      </c>
      <c r="F13" s="91"/>
      <c r="G13" s="92"/>
      <c r="H13" s="92"/>
      <c r="I13" s="92"/>
      <c r="J13" s="93"/>
    </row>
    <row r="14" spans="2:10" ht="18" customHeight="1" x14ac:dyDescent="0.4">
      <c r="B14" s="75"/>
      <c r="C14" s="21" t="s">
        <v>72</v>
      </c>
      <c r="D14" s="19">
        <v>1.9500000000000002</v>
      </c>
      <c r="E14" s="30">
        <f t="shared" si="0"/>
        <v>0</v>
      </c>
      <c r="F14" s="91"/>
      <c r="G14" s="92"/>
      <c r="H14" s="92"/>
      <c r="I14" s="92"/>
      <c r="J14" s="93"/>
    </row>
    <row r="15" spans="2:10" ht="18" customHeight="1" x14ac:dyDescent="0.4">
      <c r="B15" s="75"/>
      <c r="C15" s="21" t="s">
        <v>60</v>
      </c>
      <c r="D15" s="29">
        <v>1.3</v>
      </c>
      <c r="E15" s="30">
        <f t="shared" si="0"/>
        <v>0</v>
      </c>
      <c r="F15" s="91"/>
      <c r="G15" s="92"/>
      <c r="H15" s="92"/>
      <c r="I15" s="92"/>
      <c r="J15" s="93"/>
    </row>
    <row r="16" spans="2:10" ht="18" customHeight="1" x14ac:dyDescent="0.4">
      <c r="B16" s="75"/>
      <c r="C16" s="21" t="s">
        <v>73</v>
      </c>
      <c r="D16" s="19">
        <v>0.97500000000000009</v>
      </c>
      <c r="E16" s="30">
        <f t="shared" si="0"/>
        <v>0</v>
      </c>
      <c r="F16" s="91"/>
      <c r="G16" s="92"/>
      <c r="H16" s="92"/>
      <c r="I16" s="92"/>
      <c r="J16" s="93"/>
    </row>
    <row r="17" spans="2:10" ht="18" customHeight="1" x14ac:dyDescent="0.4">
      <c r="B17" s="75"/>
      <c r="C17" s="21" t="s">
        <v>74</v>
      </c>
      <c r="D17" s="29">
        <v>0.13</v>
      </c>
      <c r="E17" s="30">
        <f t="shared" si="0"/>
        <v>0</v>
      </c>
      <c r="F17" s="94"/>
      <c r="G17" s="95"/>
      <c r="H17" s="95"/>
      <c r="I17" s="95"/>
      <c r="J17" s="96"/>
    </row>
    <row r="18" spans="2:10" ht="18" customHeight="1" x14ac:dyDescent="0.4">
      <c r="B18" s="97" t="s">
        <v>269</v>
      </c>
      <c r="C18" s="10" t="s">
        <v>270</v>
      </c>
      <c r="D18" s="13">
        <v>26</v>
      </c>
      <c r="E18" s="12">
        <f t="shared" si="0"/>
        <v>0</v>
      </c>
      <c r="F18" s="77" t="s">
        <v>271</v>
      </c>
      <c r="G18" s="77"/>
      <c r="H18" s="77"/>
      <c r="I18" s="77"/>
      <c r="J18" s="78"/>
    </row>
    <row r="19" spans="2:10" ht="18" customHeight="1" x14ac:dyDescent="0.4">
      <c r="B19" s="98"/>
      <c r="C19" s="10" t="s">
        <v>36</v>
      </c>
      <c r="D19" s="11">
        <v>3.25</v>
      </c>
      <c r="E19" s="12">
        <f t="shared" si="0"/>
        <v>0</v>
      </c>
      <c r="F19" s="77" t="s">
        <v>155</v>
      </c>
      <c r="G19" s="77"/>
      <c r="H19" s="77"/>
      <c r="I19" s="77"/>
      <c r="J19" s="78"/>
    </row>
    <row r="20" spans="2:10" ht="18" customHeight="1" x14ac:dyDescent="0.4">
      <c r="B20" s="98"/>
      <c r="C20" s="10" t="s">
        <v>17</v>
      </c>
      <c r="D20" s="11">
        <v>3.25</v>
      </c>
      <c r="E20" s="12">
        <f t="shared" si="0"/>
        <v>0</v>
      </c>
      <c r="F20" s="77" t="s">
        <v>155</v>
      </c>
      <c r="G20" s="77"/>
      <c r="H20" s="77"/>
      <c r="I20" s="77"/>
      <c r="J20" s="78"/>
    </row>
    <row r="21" spans="2:10" ht="18" customHeight="1" x14ac:dyDescent="0.4">
      <c r="B21" s="98"/>
      <c r="C21" s="10" t="s">
        <v>9</v>
      </c>
      <c r="D21" s="11">
        <v>6.5</v>
      </c>
      <c r="E21" s="12">
        <f t="shared" si="0"/>
        <v>0</v>
      </c>
      <c r="F21" s="77" t="s">
        <v>155</v>
      </c>
      <c r="G21" s="77"/>
      <c r="H21" s="77"/>
      <c r="I21" s="77"/>
      <c r="J21" s="78"/>
    </row>
    <row r="22" spans="2:10" ht="18" customHeight="1" x14ac:dyDescent="0.4">
      <c r="B22" s="98"/>
      <c r="C22" s="10" t="s">
        <v>45</v>
      </c>
      <c r="D22" s="11">
        <v>1.3</v>
      </c>
      <c r="E22" s="12">
        <f t="shared" si="0"/>
        <v>0</v>
      </c>
      <c r="F22" s="77" t="s">
        <v>155</v>
      </c>
      <c r="G22" s="77"/>
      <c r="H22" s="77"/>
      <c r="I22" s="77"/>
      <c r="J22" s="78"/>
    </row>
    <row r="23" spans="2:10" ht="18" customHeight="1" x14ac:dyDescent="0.4">
      <c r="B23" s="98"/>
      <c r="C23" s="10" t="s">
        <v>21</v>
      </c>
      <c r="D23" s="11">
        <v>0.32500000000000001</v>
      </c>
      <c r="E23" s="12">
        <f t="shared" si="0"/>
        <v>0</v>
      </c>
      <c r="F23" s="77" t="s">
        <v>155</v>
      </c>
      <c r="G23" s="77"/>
      <c r="H23" s="77"/>
      <c r="I23" s="77"/>
      <c r="J23" s="78"/>
    </row>
    <row r="24" spans="2:10" ht="18" customHeight="1" x14ac:dyDescent="0.4">
      <c r="B24" s="98"/>
      <c r="C24" s="10" t="s">
        <v>19</v>
      </c>
      <c r="D24" s="13">
        <v>1.9500000000000002</v>
      </c>
      <c r="E24" s="12">
        <f t="shared" si="0"/>
        <v>0</v>
      </c>
      <c r="F24" s="77" t="s">
        <v>155</v>
      </c>
      <c r="G24" s="77"/>
      <c r="H24" s="77"/>
      <c r="I24" s="77"/>
      <c r="J24" s="78"/>
    </row>
    <row r="25" spans="2:10" ht="18" customHeight="1" x14ac:dyDescent="0.4">
      <c r="B25" s="97" t="s">
        <v>272</v>
      </c>
      <c r="C25" s="10" t="s">
        <v>138</v>
      </c>
      <c r="D25" s="11">
        <v>19.5</v>
      </c>
      <c r="E25" s="12">
        <f t="shared" si="0"/>
        <v>0</v>
      </c>
      <c r="F25" s="77" t="s">
        <v>273</v>
      </c>
      <c r="G25" s="77"/>
      <c r="H25" s="77"/>
      <c r="I25" s="77"/>
      <c r="J25" s="78"/>
    </row>
    <row r="26" spans="2:10" ht="18" customHeight="1" x14ac:dyDescent="0.4">
      <c r="B26" s="98"/>
      <c r="C26" s="10" t="s">
        <v>139</v>
      </c>
      <c r="D26" s="13">
        <v>1.9500000000000002</v>
      </c>
      <c r="E26" s="12">
        <f t="shared" si="0"/>
        <v>0</v>
      </c>
      <c r="F26" s="77" t="s">
        <v>155</v>
      </c>
      <c r="G26" s="77"/>
      <c r="H26" s="77"/>
      <c r="I26" s="77"/>
      <c r="J26" s="78"/>
    </row>
    <row r="27" spans="2:10" ht="18" customHeight="1" x14ac:dyDescent="0.4">
      <c r="B27" s="98"/>
      <c r="C27" s="10" t="s">
        <v>73</v>
      </c>
      <c r="D27" s="11">
        <v>0.65</v>
      </c>
      <c r="E27" s="12">
        <f t="shared" si="0"/>
        <v>0</v>
      </c>
      <c r="F27" s="77" t="s">
        <v>155</v>
      </c>
      <c r="G27" s="77"/>
      <c r="H27" s="77"/>
      <c r="I27" s="77"/>
      <c r="J27" s="78"/>
    </row>
    <row r="28" spans="2:10" ht="18" customHeight="1" x14ac:dyDescent="0.4">
      <c r="B28" s="98"/>
      <c r="C28" s="10" t="s">
        <v>82</v>
      </c>
      <c r="D28" s="11">
        <v>0.32500000000000001</v>
      </c>
      <c r="E28" s="12">
        <f t="shared" si="0"/>
        <v>0</v>
      </c>
      <c r="F28" s="77" t="s">
        <v>155</v>
      </c>
      <c r="G28" s="77"/>
      <c r="H28" s="77"/>
      <c r="I28" s="77"/>
      <c r="J28" s="78"/>
    </row>
    <row r="29" spans="2:10" ht="18" customHeight="1" x14ac:dyDescent="0.4">
      <c r="B29" s="98"/>
      <c r="C29" s="10" t="s">
        <v>60</v>
      </c>
      <c r="D29" s="11">
        <v>0.65</v>
      </c>
      <c r="E29" s="12">
        <f t="shared" si="0"/>
        <v>0</v>
      </c>
      <c r="F29" s="77" t="s">
        <v>155</v>
      </c>
      <c r="G29" s="77"/>
      <c r="H29" s="77"/>
      <c r="I29" s="77"/>
      <c r="J29" s="78"/>
    </row>
    <row r="30" spans="2:10" ht="18" customHeight="1" x14ac:dyDescent="0.4">
      <c r="B30" s="98"/>
      <c r="C30" s="10" t="s">
        <v>72</v>
      </c>
      <c r="D30" s="11">
        <v>0.65</v>
      </c>
      <c r="E30" s="12">
        <f t="shared" si="0"/>
        <v>0</v>
      </c>
      <c r="F30" s="77" t="s">
        <v>155</v>
      </c>
      <c r="G30" s="77"/>
      <c r="H30" s="77"/>
      <c r="I30" s="77"/>
      <c r="J30" s="78"/>
    </row>
    <row r="31" spans="2:10" ht="18" customHeight="1" x14ac:dyDescent="0.4">
      <c r="B31" s="99"/>
      <c r="C31" s="10" t="s">
        <v>64</v>
      </c>
      <c r="D31" s="11">
        <v>0.32500000000000001</v>
      </c>
      <c r="E31" s="12">
        <f t="shared" si="0"/>
        <v>0</v>
      </c>
      <c r="F31" s="77" t="s">
        <v>155</v>
      </c>
      <c r="G31" s="77"/>
      <c r="H31" s="77"/>
      <c r="I31" s="77"/>
      <c r="J31" s="78"/>
    </row>
    <row r="32" spans="2:10" ht="18" customHeight="1" thickBot="1" x14ac:dyDescent="0.45">
      <c r="B32" s="15" t="s">
        <v>117</v>
      </c>
      <c r="C32" s="35" t="s">
        <v>118</v>
      </c>
      <c r="D32" s="56">
        <v>13</v>
      </c>
      <c r="E32" s="18">
        <f t="shared" si="0"/>
        <v>0</v>
      </c>
      <c r="F32" s="148" t="s">
        <v>33</v>
      </c>
      <c r="G32" s="148"/>
      <c r="H32" s="148"/>
      <c r="I32" s="148"/>
      <c r="J32" s="149"/>
    </row>
    <row r="33" spans="2:10" ht="80.099999999999994" customHeight="1" thickTop="1" x14ac:dyDescent="0.4">
      <c r="B33" s="117"/>
      <c r="C33" s="117"/>
      <c r="D33" s="117"/>
      <c r="E33" s="117"/>
      <c r="F33" s="117"/>
      <c r="G33" s="117"/>
      <c r="H33" s="117"/>
      <c r="I33" s="117"/>
      <c r="J33" s="117"/>
    </row>
    <row r="34" spans="2:10" ht="15" thickBot="1" x14ac:dyDescent="0.45"/>
    <row r="35" spans="2:10" ht="21" customHeight="1" thickTop="1" x14ac:dyDescent="0.4">
      <c r="B35" s="130" t="s">
        <v>142</v>
      </c>
      <c r="C35" s="131"/>
      <c r="D35" s="131"/>
      <c r="E35" s="131"/>
      <c r="F35" s="131"/>
      <c r="G35" s="131"/>
      <c r="H35" s="131"/>
      <c r="I35" s="131"/>
      <c r="J35" s="132"/>
    </row>
    <row r="36" spans="2:10" ht="18" customHeight="1" x14ac:dyDescent="0.4">
      <c r="B36" s="123" t="s">
        <v>2</v>
      </c>
      <c r="C36" s="124" t="s">
        <v>3</v>
      </c>
      <c r="D36" s="24" t="s">
        <v>4</v>
      </c>
      <c r="E36" s="24" t="s">
        <v>5</v>
      </c>
      <c r="F36" s="124" t="s">
        <v>6</v>
      </c>
      <c r="G36" s="124"/>
      <c r="H36" s="124"/>
      <c r="I36" s="124"/>
      <c r="J36" s="133"/>
    </row>
    <row r="37" spans="2:10" ht="18" customHeight="1" x14ac:dyDescent="0.4">
      <c r="B37" s="123"/>
      <c r="C37" s="124"/>
      <c r="D37" s="24" t="s">
        <v>1</v>
      </c>
      <c r="E37" s="25" t="s">
        <v>1</v>
      </c>
      <c r="F37" s="124"/>
      <c r="G37" s="124"/>
      <c r="H37" s="124"/>
      <c r="I37" s="124"/>
      <c r="J37" s="133"/>
    </row>
    <row r="38" spans="2:10" ht="18" customHeight="1" x14ac:dyDescent="0.4">
      <c r="B38" s="118" t="s">
        <v>274</v>
      </c>
      <c r="C38" s="20" t="s">
        <v>57</v>
      </c>
      <c r="D38" s="27">
        <v>32.5</v>
      </c>
      <c r="E38" s="12">
        <f t="shared" ref="E38:E67" si="1">D38*D$2</f>
        <v>0</v>
      </c>
      <c r="F38" s="81" t="s">
        <v>275</v>
      </c>
      <c r="G38" s="82"/>
      <c r="H38" s="82"/>
      <c r="I38" s="82"/>
      <c r="J38" s="83"/>
    </row>
    <row r="39" spans="2:10" ht="18" customHeight="1" x14ac:dyDescent="0.4">
      <c r="B39" s="179"/>
      <c r="C39" s="20" t="s">
        <v>105</v>
      </c>
      <c r="D39" s="27">
        <v>16.25</v>
      </c>
      <c r="E39" s="12">
        <f t="shared" si="1"/>
        <v>0</v>
      </c>
      <c r="F39" s="151"/>
      <c r="G39" s="152"/>
      <c r="H39" s="152"/>
      <c r="I39" s="152"/>
      <c r="J39" s="153"/>
    </row>
    <row r="40" spans="2:10" ht="18" customHeight="1" x14ac:dyDescent="0.4">
      <c r="B40" s="179"/>
      <c r="C40" s="20" t="s">
        <v>113</v>
      </c>
      <c r="D40" s="27">
        <v>9.75</v>
      </c>
      <c r="E40" s="12">
        <f t="shared" si="1"/>
        <v>0</v>
      </c>
      <c r="F40" s="151"/>
      <c r="G40" s="152"/>
      <c r="H40" s="152"/>
      <c r="I40" s="152"/>
      <c r="J40" s="153"/>
    </row>
    <row r="41" spans="2:10" ht="18" customHeight="1" x14ac:dyDescent="0.4">
      <c r="B41" s="179"/>
      <c r="C41" s="20" t="s">
        <v>71</v>
      </c>
      <c r="D41" s="27">
        <v>6.5</v>
      </c>
      <c r="E41" s="12">
        <f t="shared" si="1"/>
        <v>0</v>
      </c>
      <c r="F41" s="151"/>
      <c r="G41" s="152"/>
      <c r="H41" s="152"/>
      <c r="I41" s="152"/>
      <c r="J41" s="153"/>
    </row>
    <row r="42" spans="2:10" ht="18" customHeight="1" x14ac:dyDescent="0.4">
      <c r="B42" s="179"/>
      <c r="C42" s="20" t="s">
        <v>55</v>
      </c>
      <c r="D42" s="27">
        <v>3.25</v>
      </c>
      <c r="E42" s="12">
        <f t="shared" si="1"/>
        <v>0</v>
      </c>
      <c r="F42" s="151"/>
      <c r="G42" s="152"/>
      <c r="H42" s="152"/>
      <c r="I42" s="152"/>
      <c r="J42" s="153"/>
    </row>
    <row r="43" spans="2:10" ht="18" customHeight="1" x14ac:dyDescent="0.4">
      <c r="B43" s="179"/>
      <c r="C43" s="20" t="s">
        <v>276</v>
      </c>
      <c r="D43" s="27">
        <v>3.25</v>
      </c>
      <c r="E43" s="12">
        <f t="shared" si="1"/>
        <v>0</v>
      </c>
      <c r="F43" s="151"/>
      <c r="G43" s="152"/>
      <c r="H43" s="152"/>
      <c r="I43" s="152"/>
      <c r="J43" s="153"/>
    </row>
    <row r="44" spans="2:10" ht="18" customHeight="1" x14ac:dyDescent="0.4">
      <c r="B44" s="179"/>
      <c r="C44" s="20" t="s">
        <v>60</v>
      </c>
      <c r="D44" s="28">
        <v>1.9500000000000002</v>
      </c>
      <c r="E44" s="12">
        <f t="shared" si="1"/>
        <v>0</v>
      </c>
      <c r="F44" s="151"/>
      <c r="G44" s="152"/>
      <c r="H44" s="152"/>
      <c r="I44" s="152"/>
      <c r="J44" s="153"/>
    </row>
    <row r="45" spans="2:10" ht="18" customHeight="1" x14ac:dyDescent="0.4">
      <c r="B45" s="179"/>
      <c r="C45" s="20" t="s">
        <v>277</v>
      </c>
      <c r="D45" s="27">
        <v>0.65</v>
      </c>
      <c r="E45" s="12">
        <f t="shared" si="1"/>
        <v>0</v>
      </c>
      <c r="F45" s="151"/>
      <c r="G45" s="152"/>
      <c r="H45" s="152"/>
      <c r="I45" s="152"/>
      <c r="J45" s="153"/>
    </row>
    <row r="46" spans="2:10" ht="18" customHeight="1" x14ac:dyDescent="0.4">
      <c r="B46" s="179"/>
      <c r="C46" s="20" t="s">
        <v>75</v>
      </c>
      <c r="D46" s="27">
        <v>0.65</v>
      </c>
      <c r="E46" s="12">
        <f t="shared" si="1"/>
        <v>0</v>
      </c>
      <c r="F46" s="151"/>
      <c r="G46" s="152"/>
      <c r="H46" s="152"/>
      <c r="I46" s="152"/>
      <c r="J46" s="153"/>
    </row>
    <row r="47" spans="2:10" ht="18" customHeight="1" x14ac:dyDescent="0.4">
      <c r="B47" s="179"/>
      <c r="C47" s="20" t="s">
        <v>72</v>
      </c>
      <c r="D47" s="27">
        <v>0.65</v>
      </c>
      <c r="E47" s="12">
        <f t="shared" si="1"/>
        <v>0</v>
      </c>
      <c r="F47" s="151"/>
      <c r="G47" s="152"/>
      <c r="H47" s="152"/>
      <c r="I47" s="152"/>
      <c r="J47" s="153"/>
    </row>
    <row r="48" spans="2:10" ht="18" customHeight="1" x14ac:dyDescent="0.4">
      <c r="B48" s="179"/>
      <c r="C48" s="20" t="s">
        <v>78</v>
      </c>
      <c r="D48" s="27">
        <v>0.32500000000000001</v>
      </c>
      <c r="E48" s="12">
        <f t="shared" si="1"/>
        <v>0</v>
      </c>
      <c r="F48" s="151"/>
      <c r="G48" s="152"/>
      <c r="H48" s="152"/>
      <c r="I48" s="152"/>
      <c r="J48" s="153"/>
    </row>
    <row r="49" spans="2:10" ht="18" customHeight="1" x14ac:dyDescent="0.4">
      <c r="B49" s="179"/>
      <c r="C49" s="20" t="s">
        <v>73</v>
      </c>
      <c r="D49" s="27">
        <v>0.19500000000000001</v>
      </c>
      <c r="E49" s="12">
        <f t="shared" si="1"/>
        <v>0</v>
      </c>
      <c r="F49" s="151"/>
      <c r="G49" s="152"/>
      <c r="H49" s="152"/>
      <c r="I49" s="152"/>
      <c r="J49" s="153"/>
    </row>
    <row r="50" spans="2:10" ht="18" customHeight="1" x14ac:dyDescent="0.4">
      <c r="B50" s="179"/>
      <c r="C50" s="20" t="s">
        <v>64</v>
      </c>
      <c r="D50" s="27">
        <v>0.19500000000000001</v>
      </c>
      <c r="E50" s="12">
        <f t="shared" si="1"/>
        <v>0</v>
      </c>
      <c r="F50" s="151"/>
      <c r="G50" s="152"/>
      <c r="H50" s="152"/>
      <c r="I50" s="152"/>
      <c r="J50" s="153"/>
    </row>
    <row r="51" spans="2:10" ht="18" customHeight="1" x14ac:dyDescent="0.4">
      <c r="B51" s="180"/>
      <c r="C51" s="20" t="s">
        <v>74</v>
      </c>
      <c r="D51" s="27">
        <v>0.19500000000000001</v>
      </c>
      <c r="E51" s="12">
        <f t="shared" si="1"/>
        <v>0</v>
      </c>
      <c r="F51" s="84"/>
      <c r="G51" s="85"/>
      <c r="H51" s="85"/>
      <c r="I51" s="85"/>
      <c r="J51" s="86"/>
    </row>
    <row r="52" spans="2:10" ht="18" customHeight="1" x14ac:dyDescent="0.4">
      <c r="B52" s="71" t="s">
        <v>59</v>
      </c>
      <c r="C52" s="21" t="s">
        <v>37</v>
      </c>
      <c r="D52" s="27">
        <v>3.25</v>
      </c>
      <c r="E52" s="12">
        <f t="shared" si="1"/>
        <v>0</v>
      </c>
      <c r="F52" s="88" t="s">
        <v>278</v>
      </c>
      <c r="G52" s="89"/>
      <c r="H52" s="89"/>
      <c r="I52" s="89"/>
      <c r="J52" s="90"/>
    </row>
    <row r="53" spans="2:10" ht="18" customHeight="1" x14ac:dyDescent="0.4">
      <c r="B53" s="71"/>
      <c r="C53" s="21" t="s">
        <v>10</v>
      </c>
      <c r="D53" s="27">
        <v>1.3</v>
      </c>
      <c r="E53" s="12">
        <f t="shared" si="1"/>
        <v>0</v>
      </c>
      <c r="F53" s="91"/>
      <c r="G53" s="92"/>
      <c r="H53" s="92"/>
      <c r="I53" s="92"/>
      <c r="J53" s="93"/>
    </row>
    <row r="54" spans="2:10" ht="18" customHeight="1" x14ac:dyDescent="0.4">
      <c r="B54" s="71"/>
      <c r="C54" s="21" t="s">
        <v>12</v>
      </c>
      <c r="D54" s="27">
        <v>1.3</v>
      </c>
      <c r="E54" s="12">
        <f t="shared" si="1"/>
        <v>0</v>
      </c>
      <c r="F54" s="91"/>
      <c r="G54" s="92"/>
      <c r="H54" s="92"/>
      <c r="I54" s="92"/>
      <c r="J54" s="93"/>
    </row>
    <row r="55" spans="2:10" ht="18" customHeight="1" x14ac:dyDescent="0.4">
      <c r="B55" s="71"/>
      <c r="C55" s="21" t="s">
        <v>14</v>
      </c>
      <c r="D55" s="27">
        <v>0.65</v>
      </c>
      <c r="E55" s="12">
        <f t="shared" si="1"/>
        <v>0</v>
      </c>
      <c r="F55" s="91"/>
      <c r="G55" s="92"/>
      <c r="H55" s="92"/>
      <c r="I55" s="92"/>
      <c r="J55" s="93"/>
    </row>
    <row r="56" spans="2:10" ht="18" customHeight="1" x14ac:dyDescent="0.4">
      <c r="B56" s="71"/>
      <c r="C56" s="21" t="s">
        <v>38</v>
      </c>
      <c r="D56" s="28">
        <v>1.9500000000000002</v>
      </c>
      <c r="E56" s="12">
        <f t="shared" si="1"/>
        <v>0</v>
      </c>
      <c r="F56" s="91"/>
      <c r="G56" s="92"/>
      <c r="H56" s="92"/>
      <c r="I56" s="92"/>
      <c r="J56" s="93"/>
    </row>
    <row r="57" spans="2:10" ht="18" customHeight="1" x14ac:dyDescent="0.4">
      <c r="B57" s="71"/>
      <c r="C57" s="21" t="s">
        <v>13</v>
      </c>
      <c r="D57" s="27">
        <v>0.65</v>
      </c>
      <c r="E57" s="12">
        <f t="shared" si="1"/>
        <v>0</v>
      </c>
      <c r="F57" s="91"/>
      <c r="G57" s="92"/>
      <c r="H57" s="92"/>
      <c r="I57" s="92"/>
      <c r="J57" s="93"/>
    </row>
    <row r="58" spans="2:10" ht="18" customHeight="1" x14ac:dyDescent="0.4">
      <c r="B58" s="71"/>
      <c r="C58" s="21" t="s">
        <v>21</v>
      </c>
      <c r="D58" s="27">
        <v>0.32500000000000001</v>
      </c>
      <c r="E58" s="12">
        <f t="shared" si="1"/>
        <v>0</v>
      </c>
      <c r="F58" s="91"/>
      <c r="G58" s="92"/>
      <c r="H58" s="92"/>
      <c r="I58" s="92"/>
      <c r="J58" s="93"/>
    </row>
    <row r="59" spans="2:10" ht="18" customHeight="1" x14ac:dyDescent="0.4">
      <c r="B59" s="71"/>
      <c r="C59" s="21" t="s">
        <v>60</v>
      </c>
      <c r="D59" s="27">
        <v>0.32500000000000001</v>
      </c>
      <c r="E59" s="12">
        <f t="shared" si="1"/>
        <v>0</v>
      </c>
      <c r="F59" s="94"/>
      <c r="G59" s="95"/>
      <c r="H59" s="95"/>
      <c r="I59" s="95"/>
      <c r="J59" s="96"/>
    </row>
    <row r="60" spans="2:10" ht="18" customHeight="1" x14ac:dyDescent="0.4">
      <c r="B60" s="97" t="s">
        <v>88</v>
      </c>
      <c r="C60" s="10" t="s">
        <v>39</v>
      </c>
      <c r="D60" s="28">
        <v>26</v>
      </c>
      <c r="E60" s="12">
        <f t="shared" si="1"/>
        <v>0</v>
      </c>
      <c r="F60" s="77" t="s">
        <v>279</v>
      </c>
      <c r="G60" s="77"/>
      <c r="H60" s="77"/>
      <c r="I60" s="77"/>
      <c r="J60" s="78"/>
    </row>
    <row r="61" spans="2:10" ht="18" customHeight="1" x14ac:dyDescent="0.4">
      <c r="B61" s="98"/>
      <c r="C61" s="10" t="s">
        <v>13</v>
      </c>
      <c r="D61" s="27">
        <v>2.6</v>
      </c>
      <c r="E61" s="12">
        <f t="shared" si="1"/>
        <v>0</v>
      </c>
      <c r="F61" s="77" t="s">
        <v>155</v>
      </c>
      <c r="G61" s="77"/>
      <c r="H61" s="77"/>
      <c r="I61" s="77"/>
      <c r="J61" s="78"/>
    </row>
    <row r="62" spans="2:10" ht="18" customHeight="1" x14ac:dyDescent="0.4">
      <c r="B62" s="98"/>
      <c r="C62" s="10" t="s">
        <v>24</v>
      </c>
      <c r="D62" s="27">
        <v>1.3</v>
      </c>
      <c r="E62" s="12">
        <f t="shared" si="1"/>
        <v>0</v>
      </c>
      <c r="F62" s="77" t="s">
        <v>155</v>
      </c>
      <c r="G62" s="77"/>
      <c r="H62" s="77"/>
      <c r="I62" s="77"/>
      <c r="J62" s="78"/>
    </row>
    <row r="63" spans="2:10" ht="18" customHeight="1" x14ac:dyDescent="0.4">
      <c r="B63" s="98"/>
      <c r="C63" s="10" t="s">
        <v>14</v>
      </c>
      <c r="D63" s="27">
        <v>0.32500000000000001</v>
      </c>
      <c r="E63" s="12">
        <f t="shared" si="1"/>
        <v>0</v>
      </c>
      <c r="F63" s="77" t="s">
        <v>155</v>
      </c>
      <c r="G63" s="77"/>
      <c r="H63" s="77"/>
      <c r="I63" s="77"/>
      <c r="J63" s="78"/>
    </row>
    <row r="64" spans="2:10" ht="18" customHeight="1" x14ac:dyDescent="0.4">
      <c r="B64" s="98"/>
      <c r="C64" s="10" t="s">
        <v>60</v>
      </c>
      <c r="D64" s="27">
        <v>0.32500000000000001</v>
      </c>
      <c r="E64" s="12">
        <f t="shared" si="1"/>
        <v>0</v>
      </c>
      <c r="F64" s="77" t="s">
        <v>155</v>
      </c>
      <c r="G64" s="77"/>
      <c r="H64" s="77"/>
      <c r="I64" s="77"/>
      <c r="J64" s="78"/>
    </row>
    <row r="65" spans="2:10" ht="18" customHeight="1" x14ac:dyDescent="0.4">
      <c r="B65" s="98"/>
      <c r="C65" s="10" t="s">
        <v>15</v>
      </c>
      <c r="D65" s="27">
        <v>1.3</v>
      </c>
      <c r="E65" s="12">
        <f t="shared" si="1"/>
        <v>0</v>
      </c>
      <c r="F65" s="77" t="s">
        <v>155</v>
      </c>
      <c r="G65" s="77"/>
      <c r="H65" s="77"/>
      <c r="I65" s="77"/>
      <c r="J65" s="78"/>
    </row>
    <row r="66" spans="2:10" ht="18" customHeight="1" x14ac:dyDescent="0.4">
      <c r="B66" s="99"/>
      <c r="C66" s="10" t="s">
        <v>19</v>
      </c>
      <c r="D66" s="28">
        <v>1.9500000000000002</v>
      </c>
      <c r="E66" s="12">
        <f t="shared" si="1"/>
        <v>0</v>
      </c>
      <c r="F66" s="77" t="s">
        <v>155</v>
      </c>
      <c r="G66" s="77"/>
      <c r="H66" s="77"/>
      <c r="I66" s="77"/>
      <c r="J66" s="78"/>
    </row>
    <row r="67" spans="2:10" ht="18" customHeight="1" thickBot="1" x14ac:dyDescent="0.45">
      <c r="B67" s="34" t="s">
        <v>65</v>
      </c>
      <c r="C67" s="35" t="s">
        <v>66</v>
      </c>
      <c r="D67" s="56">
        <v>13</v>
      </c>
      <c r="E67" s="18">
        <f t="shared" si="1"/>
        <v>0</v>
      </c>
      <c r="F67" s="103" t="s">
        <v>23</v>
      </c>
      <c r="G67" s="104"/>
      <c r="H67" s="104"/>
      <c r="I67" s="104"/>
      <c r="J67" s="105"/>
    </row>
    <row r="68" spans="2:10" ht="80.099999999999994" customHeight="1" thickTop="1" x14ac:dyDescent="0.4">
      <c r="B68" s="117"/>
      <c r="C68" s="117"/>
      <c r="D68" s="117"/>
      <c r="E68" s="117"/>
      <c r="F68" s="117"/>
      <c r="G68" s="117"/>
      <c r="H68" s="117"/>
      <c r="I68" s="117"/>
      <c r="J68" s="117"/>
    </row>
    <row r="69" spans="2:10" ht="15" thickBot="1" x14ac:dyDescent="0.45"/>
    <row r="70" spans="2:10" ht="21" customHeight="1" thickTop="1" x14ac:dyDescent="0.4">
      <c r="B70" s="130" t="s">
        <v>143</v>
      </c>
      <c r="C70" s="131"/>
      <c r="D70" s="131"/>
      <c r="E70" s="131"/>
      <c r="F70" s="131"/>
      <c r="G70" s="131"/>
      <c r="H70" s="131"/>
      <c r="I70" s="131"/>
      <c r="J70" s="132"/>
    </row>
    <row r="71" spans="2:10" ht="18" customHeight="1" x14ac:dyDescent="0.4">
      <c r="B71" s="123" t="s">
        <v>2</v>
      </c>
      <c r="C71" s="124" t="s">
        <v>3</v>
      </c>
      <c r="D71" s="24" t="s">
        <v>4</v>
      </c>
      <c r="E71" s="24" t="s">
        <v>5</v>
      </c>
      <c r="F71" s="124" t="s">
        <v>6</v>
      </c>
      <c r="G71" s="124"/>
      <c r="H71" s="124"/>
      <c r="I71" s="124"/>
      <c r="J71" s="133"/>
    </row>
    <row r="72" spans="2:10" ht="18" customHeight="1" x14ac:dyDescent="0.4">
      <c r="B72" s="123"/>
      <c r="C72" s="124"/>
      <c r="D72" s="24" t="s">
        <v>1</v>
      </c>
      <c r="E72" s="25" t="s">
        <v>1</v>
      </c>
      <c r="F72" s="124"/>
      <c r="G72" s="124"/>
      <c r="H72" s="124"/>
      <c r="I72" s="124"/>
      <c r="J72" s="133"/>
    </row>
    <row r="73" spans="2:10" ht="18" customHeight="1" x14ac:dyDescent="0.4">
      <c r="B73" s="71" t="s">
        <v>97</v>
      </c>
      <c r="C73" s="20" t="s">
        <v>7</v>
      </c>
      <c r="D73" s="27">
        <v>32.5</v>
      </c>
      <c r="E73" s="12">
        <f t="shared" ref="E73:E97" si="2">D73*D$2</f>
        <v>0</v>
      </c>
      <c r="F73" s="81" t="s">
        <v>166</v>
      </c>
      <c r="G73" s="82"/>
      <c r="H73" s="82"/>
      <c r="I73" s="82"/>
      <c r="J73" s="83"/>
    </row>
    <row r="74" spans="2:10" ht="18" customHeight="1" x14ac:dyDescent="0.4">
      <c r="B74" s="71"/>
      <c r="C74" s="20" t="s">
        <v>167</v>
      </c>
      <c r="D74" s="27">
        <v>1.625</v>
      </c>
      <c r="E74" s="12">
        <f t="shared" si="2"/>
        <v>0</v>
      </c>
      <c r="F74" s="84"/>
      <c r="G74" s="85"/>
      <c r="H74" s="85"/>
      <c r="I74" s="85"/>
      <c r="J74" s="86"/>
    </row>
    <row r="75" spans="2:10" ht="18" customHeight="1" x14ac:dyDescent="0.4">
      <c r="B75" s="106" t="s">
        <v>280</v>
      </c>
      <c r="C75" s="21" t="s">
        <v>121</v>
      </c>
      <c r="D75" s="28">
        <v>13</v>
      </c>
      <c r="E75" s="12">
        <f t="shared" si="2"/>
        <v>0</v>
      </c>
      <c r="F75" s="77" t="s">
        <v>281</v>
      </c>
      <c r="G75" s="77"/>
      <c r="H75" s="77"/>
      <c r="I75" s="77"/>
      <c r="J75" s="78"/>
    </row>
    <row r="76" spans="2:10" ht="18" customHeight="1" x14ac:dyDescent="0.4">
      <c r="B76" s="107"/>
      <c r="C76" s="21" t="s">
        <v>15</v>
      </c>
      <c r="D76" s="27">
        <v>3.25</v>
      </c>
      <c r="E76" s="12">
        <f t="shared" si="2"/>
        <v>0</v>
      </c>
      <c r="F76" s="77" t="s">
        <v>155</v>
      </c>
      <c r="G76" s="77"/>
      <c r="H76" s="77"/>
      <c r="I76" s="77"/>
      <c r="J76" s="78"/>
    </row>
    <row r="77" spans="2:10" ht="18" customHeight="1" x14ac:dyDescent="0.4">
      <c r="B77" s="107"/>
      <c r="C77" s="21" t="s">
        <v>11</v>
      </c>
      <c r="D77" s="27">
        <v>0.32500000000000001</v>
      </c>
      <c r="E77" s="12">
        <f t="shared" si="2"/>
        <v>0</v>
      </c>
      <c r="F77" s="77" t="s">
        <v>155</v>
      </c>
      <c r="G77" s="77"/>
      <c r="H77" s="77"/>
      <c r="I77" s="77"/>
      <c r="J77" s="78"/>
    </row>
    <row r="78" spans="2:10" ht="18" customHeight="1" x14ac:dyDescent="0.4">
      <c r="B78" s="107"/>
      <c r="C78" s="21" t="s">
        <v>13</v>
      </c>
      <c r="D78" s="27">
        <v>1.3</v>
      </c>
      <c r="E78" s="12">
        <f t="shared" si="2"/>
        <v>0</v>
      </c>
      <c r="F78" s="77" t="s">
        <v>155</v>
      </c>
      <c r="G78" s="77"/>
      <c r="H78" s="77"/>
      <c r="I78" s="77"/>
      <c r="J78" s="78"/>
    </row>
    <row r="79" spans="2:10" ht="18" customHeight="1" x14ac:dyDescent="0.4">
      <c r="B79" s="107"/>
      <c r="C79" s="21" t="s">
        <v>10</v>
      </c>
      <c r="D79" s="27">
        <v>1.3</v>
      </c>
      <c r="E79" s="12">
        <f t="shared" si="2"/>
        <v>0</v>
      </c>
      <c r="F79" s="77" t="s">
        <v>155</v>
      </c>
      <c r="G79" s="77"/>
      <c r="H79" s="77"/>
      <c r="I79" s="77"/>
      <c r="J79" s="78"/>
    </row>
    <row r="80" spans="2:10" ht="18" customHeight="1" x14ac:dyDescent="0.4">
      <c r="B80" s="107"/>
      <c r="C80" s="21" t="s">
        <v>12</v>
      </c>
      <c r="D80" s="27">
        <v>1.3</v>
      </c>
      <c r="E80" s="12">
        <f t="shared" si="2"/>
        <v>0</v>
      </c>
      <c r="F80" s="77" t="s">
        <v>155</v>
      </c>
      <c r="G80" s="77"/>
      <c r="H80" s="77"/>
      <c r="I80" s="77"/>
      <c r="J80" s="78"/>
    </row>
    <row r="81" spans="2:10" ht="18" customHeight="1" x14ac:dyDescent="0.4">
      <c r="B81" s="97" t="s">
        <v>282</v>
      </c>
      <c r="C81" s="10" t="s">
        <v>31</v>
      </c>
      <c r="D81" s="28">
        <v>13</v>
      </c>
      <c r="E81" s="12">
        <f t="shared" si="2"/>
        <v>0</v>
      </c>
      <c r="F81" s="81" t="s">
        <v>283</v>
      </c>
      <c r="G81" s="82"/>
      <c r="H81" s="82"/>
      <c r="I81" s="82"/>
      <c r="J81" s="83"/>
    </row>
    <row r="82" spans="2:10" ht="18" customHeight="1" x14ac:dyDescent="0.4">
      <c r="B82" s="98"/>
      <c r="C82" s="10" t="s">
        <v>52</v>
      </c>
      <c r="D82" s="28">
        <v>13</v>
      </c>
      <c r="E82" s="12">
        <f t="shared" si="2"/>
        <v>0</v>
      </c>
      <c r="F82" s="151"/>
      <c r="G82" s="152"/>
      <c r="H82" s="152"/>
      <c r="I82" s="152"/>
      <c r="J82" s="153"/>
    </row>
    <row r="83" spans="2:10" ht="18" customHeight="1" x14ac:dyDescent="0.4">
      <c r="B83" s="98"/>
      <c r="C83" s="10" t="s">
        <v>13</v>
      </c>
      <c r="D83" s="27">
        <v>3.25</v>
      </c>
      <c r="E83" s="12">
        <f t="shared" si="2"/>
        <v>0</v>
      </c>
      <c r="F83" s="151"/>
      <c r="G83" s="152"/>
      <c r="H83" s="152"/>
      <c r="I83" s="152"/>
      <c r="J83" s="153"/>
    </row>
    <row r="84" spans="2:10" ht="18" customHeight="1" x14ac:dyDescent="0.4">
      <c r="B84" s="98"/>
      <c r="C84" s="10" t="s">
        <v>60</v>
      </c>
      <c r="D84" s="27">
        <v>0.65</v>
      </c>
      <c r="E84" s="12">
        <f t="shared" si="2"/>
        <v>0</v>
      </c>
      <c r="F84" s="151"/>
      <c r="G84" s="152"/>
      <c r="H84" s="152"/>
      <c r="I84" s="152"/>
      <c r="J84" s="153"/>
    </row>
    <row r="85" spans="2:10" ht="18" customHeight="1" x14ac:dyDescent="0.4">
      <c r="B85" s="98"/>
      <c r="C85" s="10" t="s">
        <v>24</v>
      </c>
      <c r="D85" s="27">
        <v>1.3</v>
      </c>
      <c r="E85" s="12">
        <f t="shared" si="2"/>
        <v>0</v>
      </c>
      <c r="F85" s="151"/>
      <c r="G85" s="152"/>
      <c r="H85" s="152"/>
      <c r="I85" s="152"/>
      <c r="J85" s="153"/>
    </row>
    <row r="86" spans="2:10" ht="18" customHeight="1" x14ac:dyDescent="0.4">
      <c r="B86" s="98"/>
      <c r="C86" s="10" t="s">
        <v>9</v>
      </c>
      <c r="D86" s="28">
        <v>1.9500000000000002</v>
      </c>
      <c r="E86" s="12">
        <f t="shared" si="2"/>
        <v>0</v>
      </c>
      <c r="F86" s="151"/>
      <c r="G86" s="152"/>
      <c r="H86" s="152"/>
      <c r="I86" s="152"/>
      <c r="J86" s="153"/>
    </row>
    <row r="87" spans="2:10" ht="18" customHeight="1" x14ac:dyDescent="0.4">
      <c r="B87" s="98"/>
      <c r="C87" s="10" t="s">
        <v>51</v>
      </c>
      <c r="D87" s="27">
        <v>1.3</v>
      </c>
      <c r="E87" s="12">
        <f t="shared" si="2"/>
        <v>0</v>
      </c>
      <c r="F87" s="151"/>
      <c r="G87" s="152"/>
      <c r="H87" s="152"/>
      <c r="I87" s="152"/>
      <c r="J87" s="153"/>
    </row>
    <row r="88" spans="2:10" ht="18" customHeight="1" x14ac:dyDescent="0.4">
      <c r="B88" s="98"/>
      <c r="C88" s="10" t="s">
        <v>250</v>
      </c>
      <c r="D88" s="28">
        <v>1.9500000000000002</v>
      </c>
      <c r="E88" s="12">
        <f t="shared" si="2"/>
        <v>0</v>
      </c>
      <c r="F88" s="151"/>
      <c r="G88" s="152"/>
      <c r="H88" s="152"/>
      <c r="I88" s="152"/>
      <c r="J88" s="153"/>
    </row>
    <row r="89" spans="2:10" ht="18" customHeight="1" x14ac:dyDescent="0.4">
      <c r="B89" s="98"/>
      <c r="C89" s="10" t="s">
        <v>15</v>
      </c>
      <c r="D89" s="27">
        <v>1.3</v>
      </c>
      <c r="E89" s="12">
        <f t="shared" si="2"/>
        <v>0</v>
      </c>
      <c r="F89" s="151"/>
      <c r="G89" s="152"/>
      <c r="H89" s="152"/>
      <c r="I89" s="152"/>
      <c r="J89" s="153"/>
    </row>
    <row r="90" spans="2:10" ht="18" customHeight="1" x14ac:dyDescent="0.4">
      <c r="B90" s="74" t="s">
        <v>284</v>
      </c>
      <c r="C90" s="10" t="s">
        <v>47</v>
      </c>
      <c r="D90" s="11">
        <v>19.5</v>
      </c>
      <c r="E90" s="12">
        <f t="shared" si="2"/>
        <v>0</v>
      </c>
      <c r="F90" s="135" t="s">
        <v>285</v>
      </c>
      <c r="G90" s="136"/>
      <c r="H90" s="136"/>
      <c r="I90" s="136"/>
      <c r="J90" s="137"/>
    </row>
    <row r="91" spans="2:10" ht="18" customHeight="1" x14ac:dyDescent="0.4">
      <c r="B91" s="75"/>
      <c r="C91" s="10" t="s">
        <v>71</v>
      </c>
      <c r="D91" s="11">
        <v>6.5</v>
      </c>
      <c r="E91" s="12">
        <f t="shared" si="2"/>
        <v>0</v>
      </c>
      <c r="F91" s="138"/>
      <c r="G91" s="139"/>
      <c r="H91" s="139"/>
      <c r="I91" s="139"/>
      <c r="J91" s="140"/>
    </row>
    <row r="92" spans="2:10" ht="18" customHeight="1" x14ac:dyDescent="0.4">
      <c r="B92" s="75"/>
      <c r="C92" s="10" t="s">
        <v>72</v>
      </c>
      <c r="D92" s="11">
        <v>1.3</v>
      </c>
      <c r="E92" s="12">
        <f t="shared" si="2"/>
        <v>0</v>
      </c>
      <c r="F92" s="138"/>
      <c r="G92" s="139"/>
      <c r="H92" s="139"/>
      <c r="I92" s="139"/>
      <c r="J92" s="140"/>
    </row>
    <row r="93" spans="2:10" ht="18" customHeight="1" x14ac:dyDescent="0.4">
      <c r="B93" s="75"/>
      <c r="C93" s="10" t="s">
        <v>14</v>
      </c>
      <c r="D93" s="11">
        <v>0.32500000000000001</v>
      </c>
      <c r="E93" s="12">
        <f t="shared" si="2"/>
        <v>0</v>
      </c>
      <c r="F93" s="138"/>
      <c r="G93" s="139"/>
      <c r="H93" s="139"/>
      <c r="I93" s="139"/>
      <c r="J93" s="140"/>
    </row>
    <row r="94" spans="2:10" ht="18" customHeight="1" x14ac:dyDescent="0.4">
      <c r="B94" s="75"/>
      <c r="C94" s="10" t="s">
        <v>60</v>
      </c>
      <c r="D94" s="11">
        <v>0.32500000000000001</v>
      </c>
      <c r="E94" s="12">
        <f t="shared" si="2"/>
        <v>0</v>
      </c>
      <c r="F94" s="138"/>
      <c r="G94" s="139"/>
      <c r="H94" s="139"/>
      <c r="I94" s="139"/>
      <c r="J94" s="140"/>
    </row>
    <row r="95" spans="2:10" ht="18" customHeight="1" x14ac:dyDescent="0.4">
      <c r="B95" s="75"/>
      <c r="C95" s="10" t="s">
        <v>21</v>
      </c>
      <c r="D95" s="11">
        <v>0.65</v>
      </c>
      <c r="E95" s="12">
        <f t="shared" si="2"/>
        <v>0</v>
      </c>
      <c r="F95" s="138"/>
      <c r="G95" s="139"/>
      <c r="H95" s="139"/>
      <c r="I95" s="139"/>
      <c r="J95" s="140"/>
    </row>
    <row r="96" spans="2:10" ht="18" customHeight="1" x14ac:dyDescent="0.4">
      <c r="B96" s="76"/>
      <c r="C96" s="10" t="s">
        <v>19</v>
      </c>
      <c r="D96" s="11">
        <v>1.3</v>
      </c>
      <c r="E96" s="12">
        <f t="shared" si="2"/>
        <v>0</v>
      </c>
      <c r="F96" s="141"/>
      <c r="G96" s="142"/>
      <c r="H96" s="142"/>
      <c r="I96" s="142"/>
      <c r="J96" s="143"/>
    </row>
    <row r="97" spans="2:10" ht="18" customHeight="1" thickBot="1" x14ac:dyDescent="0.45">
      <c r="B97" s="34" t="s">
        <v>65</v>
      </c>
      <c r="C97" s="35" t="s">
        <v>66</v>
      </c>
      <c r="D97" s="56">
        <v>13</v>
      </c>
      <c r="E97" s="18">
        <f t="shared" si="2"/>
        <v>0</v>
      </c>
      <c r="F97" s="103" t="s">
        <v>23</v>
      </c>
      <c r="G97" s="104"/>
      <c r="H97" s="104"/>
      <c r="I97" s="104"/>
      <c r="J97" s="105"/>
    </row>
    <row r="98" spans="2:10" ht="80.099999999999994" customHeight="1" thickTop="1" x14ac:dyDescent="0.4">
      <c r="B98" s="117"/>
      <c r="C98" s="117"/>
      <c r="D98" s="117"/>
      <c r="E98" s="117"/>
      <c r="F98" s="117"/>
      <c r="G98" s="117"/>
      <c r="H98" s="117"/>
      <c r="I98" s="117"/>
      <c r="J98" s="117"/>
    </row>
    <row r="99" spans="2:10" x14ac:dyDescent="0.4">
      <c r="B99" s="46"/>
      <c r="C99" s="46"/>
      <c r="D99" s="42"/>
      <c r="E99" s="43"/>
      <c r="F99" s="31"/>
      <c r="G99" s="31"/>
      <c r="H99" s="31"/>
      <c r="I99" s="31"/>
      <c r="J99" s="31"/>
    </row>
  </sheetData>
  <mergeCells count="42">
    <mergeCell ref="B73:B74"/>
    <mergeCell ref="F73:J74"/>
    <mergeCell ref="B60:B66"/>
    <mergeCell ref="F60:J66"/>
    <mergeCell ref="F67:J67"/>
    <mergeCell ref="B68:J68"/>
    <mergeCell ref="B70:J70"/>
    <mergeCell ref="B71:B72"/>
    <mergeCell ref="C71:C72"/>
    <mergeCell ref="F71:J72"/>
    <mergeCell ref="B52:B59"/>
    <mergeCell ref="F52:J59"/>
    <mergeCell ref="B11:B17"/>
    <mergeCell ref="F11:J17"/>
    <mergeCell ref="B18:B24"/>
    <mergeCell ref="F18:J24"/>
    <mergeCell ref="B25:B31"/>
    <mergeCell ref="F25:J31"/>
    <mergeCell ref="C36:C37"/>
    <mergeCell ref="F36:J37"/>
    <mergeCell ref="B38:B51"/>
    <mergeCell ref="F38:J51"/>
    <mergeCell ref="F32:J32"/>
    <mergeCell ref="B33:J33"/>
    <mergeCell ref="B35:J35"/>
    <mergeCell ref="B36:B37"/>
    <mergeCell ref="E2:J2"/>
    <mergeCell ref="B3:J5"/>
    <mergeCell ref="B6:J6"/>
    <mergeCell ref="F7:J8"/>
    <mergeCell ref="F9:J10"/>
    <mergeCell ref="C7:C8"/>
    <mergeCell ref="B9:B10"/>
    <mergeCell ref="B7:B8"/>
    <mergeCell ref="F97:J97"/>
    <mergeCell ref="B98:J98"/>
    <mergeCell ref="B75:B80"/>
    <mergeCell ref="F75:J80"/>
    <mergeCell ref="B81:B89"/>
    <mergeCell ref="F81:J89"/>
    <mergeCell ref="B90:B96"/>
    <mergeCell ref="F90:J9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25. 12 첫째주</vt:lpstr>
      <vt:lpstr>25. 12 둘째주</vt:lpstr>
      <vt:lpstr>25. 12 셋째주</vt:lpstr>
      <vt:lpstr>25. 12 넷째주</vt:lpstr>
      <vt:lpstr>25. 12 다섯째주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2025-12-18T00:28:15Z</dcterms:created>
  <dcterms:modified xsi:type="dcterms:W3CDTF">2025-12-19T07:54:46Z</dcterms:modified>
</cp:coreProperties>
</file>