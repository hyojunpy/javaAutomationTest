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IdeaProjects\javaAutomaionTest-master\input\"/>
    </mc:Choice>
  </mc:AlternateContent>
  <xr:revisionPtr revIDLastSave="0" documentId="13_ncr:1_{F8D13073-180F-4C45-B6A3-691C4B47C7AE}" xr6:coauthVersionLast="47" xr6:coauthVersionMax="47" xr10:uidLastSave="{00000000-0000-0000-0000-000000000000}"/>
  <bookViews>
    <workbookView xWindow="28695" yWindow="-9795" windowWidth="19410" windowHeight="20985" firstSheet="1" activeTab="5" xr2:uid="{00000000-000D-0000-FFFF-FFFF00000000}"/>
  </bookViews>
  <sheets>
    <sheet name="25. 12 첫째주" sheetId="1" r:id="rId1"/>
    <sheet name="25. 12 둘째주" sheetId="2" r:id="rId2"/>
    <sheet name="25. 12 셋째주" sheetId="3" r:id="rId3"/>
    <sheet name="25. 12 넷째주" sheetId="4" r:id="rId4"/>
    <sheet name="25. 12 다섯째주" sheetId="5" r:id="rId5"/>
    <sheet name="25. 12월 ★birthday" sheetId="6" r:id="rId6"/>
  </sheets>
  <calcPr calcId="191029"/>
</workbook>
</file>

<file path=xl/calcChain.xml><?xml version="1.0" encoding="utf-8"?>
<calcChain xmlns="http://schemas.openxmlformats.org/spreadsheetml/2006/main">
  <c r="F44" i="6" l="1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</calcChain>
</file>

<file path=xl/sharedStrings.xml><?xml version="1.0" encoding="utf-8"?>
<sst xmlns="http://schemas.openxmlformats.org/spreadsheetml/2006/main" count="1508" uniqueCount="496">
  <si>
    <t>원아수</t>
  </si>
  <si>
    <t>1~2세</t>
  </si>
  <si>
    <t>구분</t>
  </si>
  <si>
    <t>메뉴명</t>
  </si>
  <si>
    <t>식재료명</t>
  </si>
  <si>
    <t>1인 제공량(g)</t>
  </si>
  <si>
    <t>총 발주량</t>
  </si>
  <si>
    <t>만드는방법</t>
  </si>
  <si>
    <t>오전간식</t>
  </si>
  <si>
    <t>오후간식</t>
  </si>
  <si>
    <t>점심</t>
  </si>
  <si>
    <t>백미</t>
  </si>
  <si>
    <t>① 쌀과 흑미를 씻은 후, 물에 불린다.
② 적당량의 물을 부어 밥을 짓는다.</t>
  </si>
  <si>
    <t>물만두</t>
  </si>
  <si>
    <t>양파</t>
  </si>
  <si>
    <t>다시마</t>
  </si>
  <si>
    <t>다진마늘</t>
  </si>
  <si>
    <t>멸치</t>
  </si>
  <si>
    <t>간장</t>
  </si>
  <si>
    <t>참기름</t>
  </si>
  <si>
    <t>파</t>
  </si>
  <si>
    <t>쇠고기</t>
  </si>
  <si>
    <t>당근</t>
  </si>
  <si>
    <t>굴소스</t>
  </si>
  <si>
    <t>올리고당</t>
  </si>
  <si>
    <t>후추</t>
  </si>
  <si>
    <t>콩기름</t>
  </si>
  <si>
    <t>애호박</t>
  </si>
  <si>
    <t>소금</t>
  </si>
  <si>
    <t>깨</t>
  </si>
  <si>
    <t>배추김치⑨</t>
  </si>
  <si>
    <t>배추김치</t>
  </si>
  <si>
    <t>① 배추김치는 1x1cm 이하 크기로 작게 잘라 제공한다.</t>
  </si>
  <si>
    <t>가쓰오부시</t>
  </si>
  <si>
    <t>쑥갓</t>
  </si>
  <si>
    <t>설탕</t>
  </si>
  <si>
    <t>① 배는 껍질을 벗기고 작게 잘라 제공한다.</t>
  </si>
  <si>
    <t>차조밥</t>
  </si>
  <si>
    <t>① 쌀과 차조를 씻은 후, 물에 불린다.
② 적당량의 물을 부어 밥을 짓는다.</t>
  </si>
  <si>
    <t>차조</t>
  </si>
  <si>
    <t>느타리버섯</t>
  </si>
  <si>
    <t>된장</t>
  </si>
  <si>
    <t>마늘</t>
  </si>
  <si>
    <t>훈제오리</t>
  </si>
  <si>
    <t>잔멸치</t>
  </si>
  <si>
    <t>우동면</t>
  </si>
  <si>
    <t>양배추</t>
  </si>
  <si>
    <t>씨리얼</t>
  </si>
  <si>
    <t>모닝빵</t>
  </si>
  <si>
    <t>우유</t>
  </si>
  <si>
    <t>① 쌀과 수수를 씻은 후, 물에 불린다.
② 적당량의 물을 부어 밥을 짓는다.</t>
  </si>
  <si>
    <t>수수</t>
  </si>
  <si>
    <t>콩나물</t>
  </si>
  <si>
    <t>돼지고기</t>
  </si>
  <si>
    <t>시금치</t>
  </si>
  <si>
    <t>국간장</t>
  </si>
  <si>
    <t>① 깍두기는 1x1cm 이하 크기로 작게 잘라 제공한다.</t>
  </si>
  <si>
    <t>피망</t>
  </si>
  <si>
    <t>김가루</t>
  </si>
  <si>
    <t>오이</t>
  </si>
  <si>
    <t>미소된장</t>
  </si>
  <si>
    <t>① 멸치와 다시마로 육수를 낸 후, 미소된장을 풀어 끓인다.
② 실파는 송송 썬다.
③ '①'에 '②', 다진 마늘을 넣고 끓인다.</t>
  </si>
  <si>
    <t>실파</t>
  </si>
  <si>
    <t>달걀</t>
  </si>
  <si>
    <t>건미역</t>
  </si>
  <si>
    <t>들깨가루</t>
  </si>
  <si>
    <t>도넛</t>
  </si>
  <si>
    <t>① 도넛은 3x3cm 크기로 잘라 제공한다.</t>
  </si>
  <si>
    <t>두부</t>
  </si>
  <si>
    <t>고등어</t>
  </si>
  <si>
    <t>무</t>
  </si>
  <si>
    <t>파래김</t>
  </si>
  <si>
    <t>칼국수면</t>
  </si>
  <si>
    <t>쌀밥½</t>
  </si>
  <si>
    <t>① 쌀을 씻어 물에 불린 후, 적당량의 물을 부어 밥을 짓는다.</t>
  </si>
  <si>
    <t>들기름</t>
  </si>
  <si>
    <t>양상추</t>
  </si>
  <si>
    <t>적채</t>
  </si>
  <si>
    <t>호상요구르트</t>
  </si>
  <si>
    <t>밀가루</t>
  </si>
  <si>
    <t>배추</t>
  </si>
  <si>
    <t>카레가루</t>
  </si>
  <si>
    <t>감자</t>
  </si>
  <si>
    <t>스파게티면</t>
  </si>
  <si>
    <t>토마토</t>
  </si>
  <si>
    <t>케첩</t>
  </si>
  <si>
    <t>양송이버섯</t>
  </si>
  <si>
    <t>올리브유</t>
  </si>
  <si>
    <t>동태살</t>
  </si>
  <si>
    <t>밤</t>
  </si>
  <si>
    <t>식빵</t>
  </si>
  <si>
    <t>식초</t>
  </si>
  <si>
    <t>사과</t>
  </si>
  <si>
    <t>① 사과는 껍질을 벗기고 한입 크기로 잘라 제공한다.</t>
  </si>
  <si>
    <t>숙주</t>
  </si>
  <si>
    <t>고사리</t>
  </si>
  <si>
    <t>고구마</t>
  </si>
  <si>
    <t>유부</t>
  </si>
  <si>
    <t>검정깨</t>
  </si>
  <si>
    <t>① 누룽지에 물을 부어 끓인다.</t>
  </si>
  <si>
    <t>닭살</t>
  </si>
  <si>
    <t>물엿</t>
  </si>
  <si>
    <t>단호박</t>
  </si>
  <si>
    <t>숙주나물</t>
  </si>
  <si>
    <t>메추리알</t>
  </si>
  <si>
    <t>청경채</t>
  </si>
  <si>
    <t>삼치</t>
  </si>
  <si>
    <t>① 숙주나물은 끓는 물에 데친 후 물기를 빼고 2cm 길이로 썰고, 파는 송송 썬다.
② '①'에 분량의 양념을 넣고 무친다.</t>
  </si>
  <si>
    <t>① 귤은 껍질을 벗기고 작게 잘라 제공한다.</t>
  </si>
  <si>
    <t>빵가루</t>
  </si>
  <si>
    <t>돈까스소스</t>
  </si>
  <si>
    <t>핫도그</t>
  </si>
  <si>
    <t>전분</t>
  </si>
  <si>
    <t xml:space="preserve"> → 이곳에 급식인원을 입력해주세요. 레시피에 자동으로 발주량이 계산됩니다. </t>
    <phoneticPr fontId="6" type="noConversion"/>
  </si>
  <si>
    <t>&lt;조리지시서&gt;</t>
    <phoneticPr fontId="6" type="noConversion"/>
  </si>
  <si>
    <t>2025년 12월 1일 (월)</t>
  </si>
  <si>
    <t>당근스틱</t>
    <phoneticPr fontId="6" type="noConversion"/>
  </si>
  <si>
    <t>당근</t>
    <phoneticPr fontId="6" type="noConversion"/>
  </si>
  <si>
    <t>① 당근은 깨끗이 씻은 후 껍질을 벗긴다.
② 스틱 모양으로 썬다.
Tip. 영아에게는 데친 당근을 스틱모양으로 썰어서 제공한다.</t>
    <phoneticPr fontId="6" type="noConversion"/>
  </si>
  <si>
    <t>어린이치즈②</t>
    <phoneticPr fontId="6" type="noConversion"/>
  </si>
  <si>
    <t>치즈</t>
    <phoneticPr fontId="6" type="noConversion"/>
  </si>
  <si>
    <t>쌀밥</t>
    <phoneticPr fontId="6" type="noConversion"/>
  </si>
  <si>
    <t>백미</t>
    <phoneticPr fontId="6" type="noConversion"/>
  </si>
  <si>
    <t>① 쌀을 씻어 물에 불린 후, 적당량의 물을 부어 밥을 짓는다.</t>
    <phoneticPr fontId="6" type="noConversion"/>
  </si>
  <si>
    <t>들깨미역국⑤⑥</t>
    <phoneticPr fontId="6" type="noConversion"/>
  </si>
  <si>
    <t>① 미역은 물에 불려 염분기를 빼고 2cm 길이로 자른다.
② 멸치와 다시마로 육수를 낸다.
③ 냄비에 참기름을 두르고 '①'을 넣어 볶는다.
④ '③'에 육수를 넣고 끓이다가 다진마늘, 들깨가루, 간장, 소금으로 간한다.</t>
    <phoneticPr fontId="6" type="noConversion"/>
  </si>
  <si>
    <t>다진마늘</t>
    <phoneticPr fontId="6" type="noConversion"/>
  </si>
  <si>
    <r>
      <t>쇠고기메추리알장조림
①⑤⑥</t>
    </r>
    <r>
      <rPr>
        <sz val="9"/>
        <color rgb="FF000000"/>
        <rFont val="맑은 고딕"/>
        <family val="3"/>
        <charset val="128"/>
      </rPr>
      <t>⑯</t>
    </r>
    <phoneticPr fontId="6" type="noConversion"/>
  </si>
  <si>
    <t>쇠고기</t>
    <phoneticPr fontId="6" type="noConversion"/>
  </si>
  <si>
    <t xml:space="preserve">① 쇠고기는 1.5x1.5cm 크기로 썰고, 메추리알은 삶아서 껍질을 벗긴다.
② 분량의 양념으로 양념장을 만든다.
③ 냄비에 '①'의 재료가 잠기도록 물을 붓고 '②'를 넣어 조린다.
④ 메추리알을 ¼로 잘라 제공한다. </t>
    <phoneticPr fontId="6" type="noConversion"/>
  </si>
  <si>
    <t>청경채나물⑤⑥</t>
    <phoneticPr fontId="6" type="noConversion"/>
  </si>
  <si>
    <t>① 청경채는 끓는 물에 소금을 넣고 데친 후 찬물에 헹궈 2cm 이하 길이로 자른다.
② ‘①’에 분량의 양념을 넣어 무친다.</t>
    <phoneticPr fontId="6" type="noConversion"/>
  </si>
  <si>
    <t>간장</t>
    <phoneticPr fontId="6" type="noConversion"/>
  </si>
  <si>
    <t>깨</t>
    <phoneticPr fontId="6" type="noConversion"/>
  </si>
  <si>
    <t>배추김치⑨</t>
    <phoneticPr fontId="6" type="noConversion"/>
  </si>
  <si>
    <t>배추김치</t>
    <phoneticPr fontId="6" type="noConversion"/>
  </si>
  <si>
    <t>① 배추김치는 1x1cm 이하 크기로 작게 잘라 제공한다.</t>
    <phoneticPr fontId="6" type="noConversion"/>
  </si>
  <si>
    <t>오후간식</t>
    <phoneticPr fontId="6" type="noConversion"/>
  </si>
  <si>
    <t>잔치국수⑤⑥</t>
    <phoneticPr fontId="6" type="noConversion"/>
  </si>
  <si>
    <t>소면</t>
    <phoneticPr fontId="6" type="noConversion"/>
  </si>
  <si>
    <t>① 채소는 2cm 길이로 채 썰어 기름을 두른 팬에 볶는다.
② 냄비에 멸치와 다시마로 육수를 만들고 간장으로 간한다.
③ 끓는물에 소면을 삶아 찬물에 헹궈 그릇에 담고 '①'을 올리고 육수를 부어 낸다.</t>
    <phoneticPr fontId="6" type="noConversion"/>
  </si>
  <si>
    <t>애호박</t>
    <phoneticPr fontId="6" type="noConversion"/>
  </si>
  <si>
    <t>2025년 12월 2일 (화)</t>
    <phoneticPr fontId="6" type="noConversion"/>
  </si>
  <si>
    <t>씨리얼⑤⑥</t>
    <phoneticPr fontId="6" type="noConversion"/>
  </si>
  <si>
    <t>① 그릇에 씨리얼을 담고 우유를 부어 제공한다.</t>
    <phoneticPr fontId="6" type="noConversion"/>
  </si>
  <si>
    <t>(후레쉬번①②⑤⑥)</t>
    <phoneticPr fontId="6" type="noConversion"/>
  </si>
  <si>
    <t>후레쉬번</t>
    <phoneticPr fontId="6" type="noConversion"/>
  </si>
  <si>
    <t>① 후레쉬번은 3x3cm 크기로 잘라 제공한다.</t>
    <phoneticPr fontId="6" type="noConversion"/>
  </si>
  <si>
    <t>우유②</t>
    <phoneticPr fontId="6" type="noConversion"/>
  </si>
  <si>
    <t>점심</t>
    <phoneticPr fontId="6" type="noConversion"/>
  </si>
  <si>
    <t>흑미밥</t>
    <phoneticPr fontId="6" type="noConversion"/>
  </si>
  <si>
    <t>흑미</t>
    <phoneticPr fontId="6" type="noConversion"/>
  </si>
  <si>
    <t>애호박새우젓국⑨</t>
    <phoneticPr fontId="6" type="noConversion"/>
  </si>
  <si>
    <t>① 멸치와 다시마로 육수를 낸다.
② 애호박과 양파는 0.5cm 두께로 썬다.
③ '①'에 '②'를 넣고 다진 마늘과 새우젓으로 간한다.</t>
  </si>
  <si>
    <t>새우젓</t>
  </si>
  <si>
    <t>돈육양파볶음
⑤⑥⑩</t>
    <phoneticPr fontId="6" type="noConversion"/>
  </si>
  <si>
    <r>
      <t>① 양파와 돼지고기는 1.5x1.5cm 크기로 썰고 파는 송송 썬다.
② 돼지고기는 소금, 후추로 밑간한다.
③ 분량의 양념을 섞어 양념장을 만든다.
④ 기름을 두른 팬에 양파와 돼지고기를 넣고 볶다가 '③'과 파를 넣어 더</t>
    </r>
    <r>
      <rPr>
        <sz val="10"/>
        <color indexed="8"/>
        <rFont val="한컴산뜻돋움"/>
        <family val="3"/>
        <charset val="129"/>
      </rPr>
      <t xml:space="preserve"> 볶아 완성한다.</t>
    </r>
    <phoneticPr fontId="6" type="noConversion"/>
  </si>
  <si>
    <t>양파</t>
    <phoneticPr fontId="6" type="noConversion"/>
  </si>
  <si>
    <t>파</t>
    <phoneticPr fontId="6" type="noConversion"/>
  </si>
  <si>
    <t>소금</t>
    <phoneticPr fontId="6" type="noConversion"/>
  </si>
  <si>
    <t>후추</t>
    <phoneticPr fontId="6" type="noConversion"/>
  </si>
  <si>
    <t>콩기름</t>
    <phoneticPr fontId="6" type="noConversion"/>
  </si>
  <si>
    <t>무생채</t>
    <phoneticPr fontId="6" type="noConversion"/>
  </si>
  <si>
    <t>무</t>
    <phoneticPr fontId="6" type="noConversion"/>
  </si>
  <si>
    <t>① 무는 0.5cm 두께로 채 썰고, 파는 다진다. 
② 채 썬 무는 소금으로 살짝 절인다.
③ 볼에 '①', 식초, 설탕, 다진마늘을 넣고 버무린다.</t>
    <phoneticPr fontId="6" type="noConversion"/>
  </si>
  <si>
    <t>식초</t>
    <phoneticPr fontId="6" type="noConversion"/>
  </si>
  <si>
    <t>설탕</t>
    <phoneticPr fontId="6" type="noConversion"/>
  </si>
  <si>
    <t>유부초밥⑤⑥</t>
    <phoneticPr fontId="6" type="noConversion"/>
  </si>
  <si>
    <t>① 쌀은 불린 후 적당량의 물을 부어 밥을 짓는다.
② 유부는 어슷하게 반으로 썰어 끓는 물에 데치고 찬물에 헹군 후 물기를 뺀다.
③ 당근, 피망은 0.3cm 크기로 잘게 다진 후 기름을 두른 팬에 볶는다.
④ 그릇에 '①'과 '③', 설탕, 식초, 간장, 참기름, 소금, 검정깨를 넣고 골고루 섞는다.
⑤ '②'에 '④'를 채워 넣은 다음, 3x3cm 크기로 잘라 제공한다.</t>
    <phoneticPr fontId="6" type="noConversion"/>
  </si>
  <si>
    <t>2025년 12월 3일 (수)</t>
  </si>
  <si>
    <t>단감</t>
    <phoneticPr fontId="6" type="noConversion"/>
  </si>
  <si>
    <t>① 단감은 껍질을 벗기고 작게 잘라 제공한다.</t>
    <phoneticPr fontId="6" type="noConversion"/>
  </si>
  <si>
    <r>
      <t>닭살굴소스볶음밥
⑤⑥⑨</t>
    </r>
    <r>
      <rPr>
        <sz val="10"/>
        <rFont val="Segoe UI Symbol"/>
        <family val="3"/>
      </rPr>
      <t>⑮</t>
    </r>
    <r>
      <rPr>
        <sz val="10"/>
        <rFont val="MS Gothic"/>
        <family val="3"/>
      </rPr>
      <t>⑱</t>
    </r>
    <phoneticPr fontId="6" type="noConversion"/>
  </si>
  <si>
    <t xml:space="preserve">① 쌀을 씻은 후 밥을 짓는다.
② 당근, 피망, 양파, 닭살은  0.5cm 크기로 썬다.
③ 팬에 기름을 두르고 닭살을 볶다가 당근-피망-양파 순으로 볶는다.
④ '③'에 밥을 넣고 볶은 후 굴소스로 간하여 더 볶는다. </t>
    <phoneticPr fontId="6" type="noConversion"/>
  </si>
  <si>
    <t>닭살</t>
    <phoneticPr fontId="6" type="noConversion"/>
  </si>
  <si>
    <t>팽이버섯장국⑤⑥</t>
    <phoneticPr fontId="6" type="noConversion"/>
  </si>
  <si>
    <t>팽이버섯</t>
  </si>
  <si>
    <t>① 다시마와 멸치로 육수를 낸다.
② 팽이버섯은 2cm 길이로 썰고 파는 송송 썬다.
③ 육수에 된장을 풀고 끓으면 '②'와 다진 마늘을 넣고 끓인다.</t>
    <phoneticPr fontId="6" type="noConversion"/>
  </si>
  <si>
    <t>다시마</t>
    <phoneticPr fontId="6" type="noConversion"/>
  </si>
  <si>
    <t>멸치</t>
    <phoneticPr fontId="6" type="noConversion"/>
  </si>
  <si>
    <r>
      <t>게살오이무침
①②⑤⑥⑧⑫</t>
    </r>
    <r>
      <rPr>
        <sz val="10"/>
        <color theme="1"/>
        <rFont val="Segoe UI Symbol"/>
        <family val="3"/>
      </rPr>
      <t>⑯</t>
    </r>
    <phoneticPr fontId="6" type="noConversion"/>
  </si>
  <si>
    <t>오이</t>
    <phoneticPr fontId="6" type="noConversion"/>
  </si>
  <si>
    <t>① 오이는 0.5x0.5cm 크기로 깍둑썰기하고, 게맛살은 잘게 찢는다.
② 파는 송송 썬다.
③ 그릇에 파, 다진마늘을 담고, 간장, 설탕을 넣어 양념을 만든다.
④ '①'에 양념을 넣어 골고루 버무리고 참깨로 마무리한다.</t>
    <phoneticPr fontId="6" type="noConversion"/>
  </si>
  <si>
    <t>게맛살</t>
    <phoneticPr fontId="6" type="noConversion"/>
  </si>
  <si>
    <t>수제비⑤⑥</t>
    <phoneticPr fontId="6" type="noConversion"/>
  </si>
  <si>
    <t>① 멸치와 다시마로 육수를 낸다.
② 밀가루에 소금, 물, 콩기름을 넣어 반죽하여 비닐에 싸서 휴지 시킨다.
③ 채소는 0.5cm 두께로 채썰어 다진 마늘과 함께 '①'에 넣고 끓인다.
④ '②'를 한입 크기로 떼어 '③'에 넣어 익히다가 간장, 후추, 참기름으로 간한다.</t>
    <phoneticPr fontId="6" type="noConversion"/>
  </si>
  <si>
    <t>참기름</t>
    <phoneticPr fontId="6" type="noConversion"/>
  </si>
  <si>
    <t>2025년 12월 4일 (목)</t>
  </si>
  <si>
    <r>
      <rPr>
        <sz val="10"/>
        <color rgb="FF00B050"/>
        <rFont val="한컴산뜻돋움"/>
        <family val="3"/>
        <charset val="129"/>
      </rPr>
      <t xml:space="preserve">step1 </t>
    </r>
    <r>
      <rPr>
        <sz val="10"/>
        <color rgb="FF000000"/>
        <rFont val="한컴산뜻돋움"/>
        <family val="3"/>
        <charset val="129"/>
      </rPr>
      <t>시금치리조또
①②⑤⑥⑩⑮</t>
    </r>
    <r>
      <rPr>
        <sz val="10"/>
        <color rgb="FF000000"/>
        <rFont val="Segoe UI Symbol"/>
        <family val="3"/>
      </rPr>
      <t>⑯⑱</t>
    </r>
    <phoneticPr fontId="6" type="noConversion"/>
  </si>
  <si>
    <t>우유</t>
    <phoneticPr fontId="6" type="noConversion"/>
  </si>
  <si>
    <t>① 쌀을 씻은 후 밥을 짓는다.
② 시금치는 데친 후, 물기를 빼고  0.3cm 크기로 썬다.
③ 양파는 0.3cm 크기로 썬다.
④ 가열된 팬에 버터를 녹이고, 약불에서 다진마늘,  ③을 넣어
     볶다가 '①','②'을 넣어 조금 더 볶은 후 우유를 넣어 저으며 
     농도를 잡는다.
⑤ '④'에 치즈를 넣어 녹여주고 소금, 후춧가루로 간을 한 뒤 
     접시에 담아 완성한다.</t>
    <phoneticPr fontId="6" type="noConversion"/>
  </si>
  <si>
    <t>시금치</t>
    <phoneticPr fontId="6" type="noConversion"/>
  </si>
  <si>
    <t>버터</t>
    <phoneticPr fontId="6" type="noConversion"/>
  </si>
  <si>
    <r>
      <t>쇠고기무국⑤⑥</t>
    </r>
    <r>
      <rPr>
        <sz val="11"/>
        <color theme="1"/>
        <rFont val="Segoe UI Symbol"/>
        <family val="3"/>
      </rPr>
      <t>⑯</t>
    </r>
    <phoneticPr fontId="6" type="noConversion"/>
  </si>
  <si>
    <t>① 무는  0.5cm 두께로 나박썰고 파는 다진다.
② 쇠고기는 1.5x1.5cm 크기로 썰고 소금, 후추로 밑간한다.
③ 냄비에 참기름을 두르고 '②'를 넣어 볶다가 '①'을 넣고 함께 볶는다. 
④ '③'에 물을 넣고 끓인다. 
⑤ 분량의 양념으로 간을 맞춘다.</t>
    <phoneticPr fontId="6" type="noConversion"/>
  </si>
  <si>
    <t>달걀찜①</t>
    <phoneticPr fontId="6" type="noConversion"/>
  </si>
  <si>
    <t>① 당근, 파는 0.3cm로 잘게 다진다.
② 볼에 달걀을 풀고 '①', 소금, 참기름을 넣고 섞어 찜기를 이용하거나 냄비에 
     중탕하여 찐다.</t>
    <phoneticPr fontId="6" type="noConversion"/>
  </si>
  <si>
    <t>무른연근조림⑤⑥</t>
    <phoneticPr fontId="6" type="noConversion"/>
  </si>
  <si>
    <t>연근</t>
    <phoneticPr fontId="6" type="noConversion"/>
  </si>
  <si>
    <t>① 연근은 껍질을 벗기고 1x1cm 크기로 썰어 끓는 물에 식초를 넣어 데친다.
② 분량의 양념장에 물과 ‘①’을 넣고 연해지도록 졸인다.</t>
    <phoneticPr fontId="6" type="noConversion"/>
  </si>
  <si>
    <r>
      <t>미니핫도그
①②⑤⑥⑧⑩</t>
    </r>
    <r>
      <rPr>
        <sz val="10"/>
        <color theme="1"/>
        <rFont val="Segoe UI Symbol"/>
        <family val="3"/>
      </rPr>
      <t>⑯</t>
    </r>
    <phoneticPr fontId="6" type="noConversion"/>
  </si>
  <si>
    <t>① 핫도그는 따뜻하게 데운 후, 3x3cm 크기로 잘라 제공한다.</t>
    <phoneticPr fontId="6" type="noConversion"/>
  </si>
  <si>
    <t>2025년 12월 5일 (금)</t>
  </si>
  <si>
    <t>배</t>
    <phoneticPr fontId="6" type="noConversion"/>
  </si>
  <si>
    <t>수수밥</t>
    <phoneticPr fontId="6" type="noConversion"/>
  </si>
  <si>
    <t>닭살채소국⑤⑥⑮</t>
    <phoneticPr fontId="6" type="noConversion"/>
  </si>
  <si>
    <t>닭고기</t>
    <phoneticPr fontId="6" type="noConversion"/>
  </si>
  <si>
    <t>① 냄비에 물을 붓고 닭으로 육수를 우려낸 후, 닭이 익으면 건져 살을 바른다.
② 양파, 당근, 무는 1.5x1.5cm 크기로 썰고, 파는 송송 썬다.
③ '①'의 육수에 살을 발라 둔 닭고기와 '②', 다진마늘을 넣고 끓이다가 
      간장, 소금으로 간을 하고 후추로 마무리한다.</t>
    <phoneticPr fontId="6" type="noConversion"/>
  </si>
  <si>
    <t>두부조림⑤⑥</t>
    <phoneticPr fontId="6" type="noConversion"/>
  </si>
  <si>
    <t>① 두부는 1cm 두께로 편썰고 파는 어슷썬다.
② 키친타월로 두부의 물기를 제거한 후, 기름을 두른 팬에 노릇하게 지진다. 
③ 분량의 양념을 섞어 양념장을 만든다.
④ 냄비에 '②'를 담고 '③'과 물을 섞어 고루 끼얹은 후, 파를 얹어 조린다.
⑤ 1.5x1.5cm 크기로 잘라 제공한다.</t>
    <phoneticPr fontId="6" type="noConversion"/>
  </si>
  <si>
    <r>
      <t>브로콜리참깨소스무침
①⑤⑥</t>
    </r>
    <r>
      <rPr>
        <sz val="11"/>
        <rFont val="Segoe UI Symbol"/>
        <family val="3"/>
      </rPr>
      <t>⑯</t>
    </r>
    <phoneticPr fontId="6" type="noConversion"/>
  </si>
  <si>
    <t>브로콜리</t>
    <phoneticPr fontId="6" type="noConversion"/>
  </si>
  <si>
    <t>① 브로콜리는 1.5x1.5cm 크기로 썰어 끓는 물에 데치고 찬물에 헹군 후 물기를 
     뺀다.
② 믹서에 참깨와 분량의 양념을 넣고 갈아 소스를 만든다.
③ ‘②’에 ‘①’을 넣어 무친다.</t>
    <phoneticPr fontId="6" type="noConversion"/>
  </si>
  <si>
    <t>참깨</t>
    <phoneticPr fontId="6" type="noConversion"/>
  </si>
  <si>
    <t>마요네즈</t>
    <phoneticPr fontId="6" type="noConversion"/>
  </si>
  <si>
    <t>진간장</t>
    <phoneticPr fontId="6" type="noConversion"/>
  </si>
  <si>
    <r>
      <t>찐만두①②⑤⑥⑩</t>
    </r>
    <r>
      <rPr>
        <sz val="11"/>
        <color theme="1"/>
        <rFont val="Segoe UI Symbol"/>
        <family val="3"/>
      </rPr>
      <t>⑯⑱</t>
    </r>
    <phoneticPr fontId="6" type="noConversion"/>
  </si>
  <si>
    <t>만두</t>
    <phoneticPr fontId="6" type="noConversion"/>
  </si>
  <si>
    <t>① 찜통에 만두를 담아 찐 후, 1.5x1.5cm 크기로 잘라 제공한다.</t>
  </si>
  <si>
    <t>2025년 12월 6일 (토)</t>
  </si>
  <si>
    <t>두유⑤</t>
    <phoneticPr fontId="6" type="noConversion"/>
  </si>
  <si>
    <t>두유</t>
    <phoneticPr fontId="6" type="noConversion"/>
  </si>
  <si>
    <r>
      <t>짜장면②⑤⑥⑩⑮</t>
    </r>
    <r>
      <rPr>
        <sz val="9"/>
        <rFont val="함초롬돋움"/>
        <family val="3"/>
        <charset val="129"/>
      </rPr>
      <t>⑯</t>
    </r>
    <phoneticPr fontId="6" type="noConversion"/>
  </si>
  <si>
    <t>짜장면</t>
    <phoneticPr fontId="6" type="noConversion"/>
  </si>
  <si>
    <t>① 돼지고기, 감자, 양배추, 양파, 호박을 사방 1cm로 깍둑썬다.
② 기름을 두른 팬에 '①'을 볶는다.
③ '②'에 짜장분말을 넣고 볶은 후 물을 부어 끓인다.
④ 전분과 물을 1:1 비율로 섞어 넣는다.
⑤ 설탕으로 간을 하고 적당한 농도가 날 때까지 끓인다.
⑥ 끓는 물에 면을 삶는다.
⑦ 삶아진 면을 2cm 길이로 자른 후 '⑤'를 넣고 살짝 볶아준다.</t>
    <phoneticPr fontId="6" type="noConversion"/>
  </si>
  <si>
    <t>짜장분말</t>
    <phoneticPr fontId="6" type="noConversion"/>
  </si>
  <si>
    <t>돼지고기</t>
    <phoneticPr fontId="6" type="noConversion"/>
  </si>
  <si>
    <t>감자</t>
    <phoneticPr fontId="6" type="noConversion"/>
  </si>
  <si>
    <t>양배추</t>
    <phoneticPr fontId="6" type="noConversion"/>
  </si>
  <si>
    <t>호박</t>
    <phoneticPr fontId="6" type="noConversion"/>
  </si>
  <si>
    <t>전분가루</t>
    <phoneticPr fontId="6" type="noConversion"/>
  </si>
  <si>
    <t>감자국⑤⑥</t>
    <phoneticPr fontId="6" type="noConversion"/>
  </si>
  <si>
    <t xml:space="preserve">① 감자는 1x1cm 크기로 썬다.
② 다시마와 멸치로 육수를 낸다.
③ 육수에 '①'을 넣고 끓이다가 간장, 소금, 다진 마늘, 파로 간한다.             </t>
  </si>
  <si>
    <r>
      <t>탕수육
①②⑤⑥⑩⑫⑮</t>
    </r>
    <r>
      <rPr>
        <sz val="10"/>
        <color theme="1"/>
        <rFont val="Segoe UI Symbol"/>
        <family val="3"/>
      </rPr>
      <t>⑯</t>
    </r>
    <phoneticPr fontId="6" type="noConversion"/>
  </si>
  <si>
    <t>① 돼지고기는 2cm 길이로 썰어 소금, 후추로 밑간한 후 밀가루, 달걀, 물로
     튀김옷을 만들어 입힌 후 튀긴다.
② 당근, 오이는 모양대로 0.3cm 두께로 얇게 편썬다.
③ 그릇에 간장, 설탕, 소금, 식초, 물을 넣고 섞는다.
④ 기름을 두른 팬에 '②'를 넣어 볶다가 '③'을 넣어 끓이고 개어 놓은 전분물을 넣어
     농도를 맞춘다. 
 ⑤ '①'에 '④'를 부어 낸다.</t>
    <phoneticPr fontId="6" type="noConversion"/>
  </si>
  <si>
    <t>2025년 12월 8일 (월)</t>
  </si>
  <si>
    <t>귤</t>
    <phoneticPr fontId="6" type="noConversion"/>
  </si>
  <si>
    <t>① 귤은 껍질을 벗기고 작게 잘라 제공한다.</t>
    <phoneticPr fontId="6" type="noConversion"/>
  </si>
  <si>
    <t>콩나물국⑤</t>
    <phoneticPr fontId="6" type="noConversion"/>
  </si>
  <si>
    <t>① 멸치와 다시마로 육수를 낸다. 
② 콩나물은 2cm 길이로 썰고 파는 송송 썬다. 
③ '①'에 '②'와 다진 마늘을 넣고 끓인 후, 소금으로 간한다.</t>
    <phoneticPr fontId="6" type="noConversion"/>
  </si>
  <si>
    <t>제육볶음⑤⑥⑩</t>
    <phoneticPr fontId="6" type="noConversion"/>
  </si>
  <si>
    <t>① 채소는 0.5cm 두께로 채 썰고, 돼지고기는 1.5x1.5cm 크기로 썬다.
② 파는 송송 썬다.
③ 분량의 양념을 섞어 양념장을 만든다.
④ 기름을 두른 팬에 다진 마늘과 '①'을 넣어 볶다가 '③'과 파를 넣어 양념이
     배어들게 볶는다.</t>
    <phoneticPr fontId="6" type="noConversion"/>
  </si>
  <si>
    <t>물엿</t>
    <phoneticPr fontId="6" type="noConversion"/>
  </si>
  <si>
    <t>느타리버섯나물⑤</t>
    <phoneticPr fontId="6" type="noConversion"/>
  </si>
  <si>
    <t>① 느타리버섯은 2cm 길이로 찢고 끓는 물에 살짝 데친 후, 물기를 짠다.
② 당근과 양파는 0.5cm 두께로 채 썰어 기름을 두른 팬에 볶는다.
③ 당근이 살짝 익으면 ‘②’에 ‘①’을 넣어 한번 더 볶는다.
④ 다진마늘, 소금으로 간하고 깨를 뿌린다.</t>
    <phoneticPr fontId="6" type="noConversion"/>
  </si>
  <si>
    <t>고구마맛탕⑤</t>
    <phoneticPr fontId="6" type="noConversion"/>
  </si>
  <si>
    <t>① 고구마는 2x2cm 자른 후 기름에 튀겨 식힌다.
② '①'에 물엿과 깨를 넣어 버무린다.</t>
    <phoneticPr fontId="6" type="noConversion"/>
  </si>
  <si>
    <t>2025년 12월 9일 (화)</t>
  </si>
  <si>
    <t>영양닭죽⑮</t>
    <phoneticPr fontId="6" type="noConversion"/>
  </si>
  <si>
    <t>① 쌀은 씻어서 물에 불리고 당근, 양파는 0.3cm 크기로 잘게 다진다.
② 물에 닭가슴살, 대파, 마늘을 넣어 푹 삶아 육수는 거르고 닭고기는 건져 식힌 후
     2cm 길이로 찢는다.
③ 육수에 불린 쌀을 넣고 저으면서 끓인다.
④ 쌀알이 퍼지면 썰어놓은 채소와 닭고기를 넣고 더 끓이다가 소금, 참기름으로 
     간한다.</t>
    <phoneticPr fontId="6" type="noConversion"/>
  </si>
  <si>
    <t>닭가슴살</t>
  </si>
  <si>
    <t>기장밥</t>
    <phoneticPr fontId="6" type="noConversion"/>
  </si>
  <si>
    <t>① 쌀과 기장을 씻은 후, 물에 불린다.
② 적당량의 물을 부어 밥을 짓는다.</t>
    <phoneticPr fontId="6" type="noConversion"/>
  </si>
  <si>
    <t>기장</t>
    <phoneticPr fontId="6" type="noConversion"/>
  </si>
  <si>
    <t>북어감자국⑤⑥</t>
    <phoneticPr fontId="6" type="noConversion"/>
  </si>
  <si>
    <t>북어</t>
    <phoneticPr fontId="6" type="noConversion"/>
  </si>
  <si>
    <t>① 북어는 불린 후 1cm 길이로 잘게 찢는다.
② 감자는 1x1cm 크기로 썰고 파는 송송 썬다.
③ 참기름을 두른 팬에 북어를 볶다가 물을 붓고 다진 마늘, 파, 소금, 간장으로 
     간을 한 후 후춧가루로 마무리한다.</t>
    <phoneticPr fontId="6" type="noConversion"/>
  </si>
  <si>
    <r>
      <t>쇠불고기⑤⑥</t>
    </r>
    <r>
      <rPr>
        <sz val="11"/>
        <rFont val="Segoe UI Symbol"/>
        <family val="3"/>
      </rPr>
      <t>⑯</t>
    </r>
    <phoneticPr fontId="6" type="noConversion"/>
  </si>
  <si>
    <t>① 쇠고기는 1.5x1.5cm 크기로 썰고 당근, 양파는 2cm 길이로 채 썬다.
② 파는 다진다.
③ 분량의 양념을 섞어 '①'을 재운다.
④ 기름을 두른 팬에 '③'을 넣어 볶는다.</t>
    <phoneticPr fontId="6" type="noConversion"/>
  </si>
  <si>
    <t>숙주나물무침</t>
    <phoneticPr fontId="6" type="noConversion"/>
  </si>
  <si>
    <t>모닝빵①②⑤⑥</t>
    <phoneticPr fontId="6" type="noConversion"/>
  </si>
  <si>
    <t>① 모닝빵은 3x3cm 크기로 잘라 제공한다.</t>
    <phoneticPr fontId="6" type="noConversion"/>
  </si>
  <si>
    <t>2025년 12월 10일 (수)</t>
  </si>
  <si>
    <t>바나나</t>
    <phoneticPr fontId="6" type="noConversion"/>
  </si>
  <si>
    <t>① 바나나는 껍질을 벗기고 작게 잘라 제공한다.</t>
    <phoneticPr fontId="6" type="noConversion"/>
  </si>
  <si>
    <r>
      <t>돈육카레라이스
②⑤⑥⑩⑫⑮</t>
    </r>
    <r>
      <rPr>
        <sz val="11"/>
        <color theme="1"/>
        <rFont val="Segoe UI Symbol"/>
        <family val="3"/>
      </rPr>
      <t>⑯⑱</t>
    </r>
    <phoneticPr fontId="6" type="noConversion"/>
  </si>
  <si>
    <t>① 쌀을 씻어 밥을 짓는다.
② 돼지고기와 채소들을 사방 1cm 깍둑 썬 후 기름을 두른 팬에 볶는다.
③ 카레가루와 물을 섞어 잘 풀어준 후 '②'에 넣고 끓인다.
④ 적당한 농도가 될 때까지 저어가며 끓인 후 밥 위에 부어낸다.</t>
    <phoneticPr fontId="6" type="noConversion"/>
  </si>
  <si>
    <t>무채국⑤⑥</t>
    <phoneticPr fontId="6" type="noConversion"/>
  </si>
  <si>
    <t>① 다시마로 육수를 낸다.
② 무는 0.5cm 두께로 채썬다.
③ 들기름을 두른 냄비에 다진 마늘과 '②'를 넣고 볶다가 '①'을 부어 끓인 후, 
      간장으로 간한다.</t>
    <phoneticPr fontId="6" type="noConversion"/>
  </si>
  <si>
    <r>
      <t>과일샐러드①⑤</t>
    </r>
    <r>
      <rPr>
        <sz val="11"/>
        <rFont val="Segoe UI Symbol"/>
        <family val="3"/>
      </rPr>
      <t>⑯</t>
    </r>
    <phoneticPr fontId="6" type="noConversion"/>
  </si>
  <si>
    <t>① 과일은 껍질을 벗기고 1.5x1.5cm 크기로 자른다.
② '①'을 마요네즈와 설탕에 버무려 낸다.</t>
    <phoneticPr fontId="6" type="noConversion"/>
  </si>
  <si>
    <t>영양주먹밥⑤</t>
    <phoneticPr fontId="6" type="noConversion"/>
  </si>
  <si>
    <t>① 쌀을 불려 밥을 짓는다.
② 양파, 청피망, 당근은 1x1xm 보다 작게 다진다.
③ 기름을 두른 팬에 양파, 당근, 청피망을 볶는다.
④ 볼에 볶은 채소, 밥, 참기름, 깨, 소금, 김가루를 넣어 골고루 섞어 2.5cm 크기로 
     뭉쳐서 주먹밥을 완성한다.</t>
    <phoneticPr fontId="6" type="noConversion"/>
  </si>
  <si>
    <t>피망</t>
    <phoneticPr fontId="6" type="noConversion"/>
  </si>
  <si>
    <t>김가루</t>
    <phoneticPr fontId="6" type="noConversion"/>
  </si>
  <si>
    <t>2025년 12월 11일 (목)</t>
  </si>
  <si>
    <t>오전간식</t>
    <phoneticPr fontId="6" type="noConversion"/>
  </si>
  <si>
    <t>호상요구르트②</t>
    <phoneticPr fontId="6" type="noConversion"/>
  </si>
  <si>
    <t>호상요구르트</t>
    <phoneticPr fontId="6" type="noConversion"/>
  </si>
  <si>
    <t>모둠버섯국⑤⑥</t>
    <phoneticPr fontId="6" type="noConversion"/>
  </si>
  <si>
    <t>느타리버섯</t>
    <phoneticPr fontId="6" type="noConversion"/>
  </si>
  <si>
    <t>① 멸치와 다시마로 육수를 낸다.
② 느타리버섯, 팽이버섯, 표고버섯은 2cm 길이로 썰고 파는 송송 썬다.
③ 육수에 '②', 다진 마늘, 간장을 넣고 끓인다.</t>
    <phoneticPr fontId="6" type="noConversion"/>
  </si>
  <si>
    <t>팽이버섯</t>
    <phoneticPr fontId="6" type="noConversion"/>
  </si>
  <si>
    <t>표고버섯</t>
    <phoneticPr fontId="6" type="noConversion"/>
  </si>
  <si>
    <t>고등어구이⑤⑦</t>
    <phoneticPr fontId="6" type="noConversion"/>
  </si>
  <si>
    <t>① 고등어를 깨끗이 씻어 소금을 뿌려 놓는다.    
② 기름을 두른 팬에 '①'을 속까지 익도록 앞뒤로 노릇하게 구운 후, 살을 발라내어
     제공한다.</t>
    <phoneticPr fontId="6" type="noConversion"/>
  </si>
  <si>
    <t>청포묵김무침⑤⑥</t>
    <phoneticPr fontId="6" type="noConversion"/>
  </si>
  <si>
    <t>청포묵</t>
  </si>
  <si>
    <t>① 청포묵은 1x1cm 크기로 자른 후 끓는 물에 데친다.
② '①'에 김과 간장, 참기름, 깨를 넣고 버무린다.</t>
    <phoneticPr fontId="6" type="noConversion"/>
  </si>
  <si>
    <t>김</t>
    <phoneticPr fontId="6" type="noConversion"/>
  </si>
  <si>
    <t>칼국수⑤⑥</t>
    <phoneticPr fontId="6" type="noConversion"/>
  </si>
  <si>
    <t>① 멸치와 다시마로 육수를 낸다.
② 애호박, 양파, 당근은 0.5cm 두께로 채썰고, 파는 송송 썬다.
③ '①'에 '②'와 칼국수면을 넣고 끓이다가 다진 마늘, 소금, 간장으로 간한다.
④ 칼국수면이 익으면 그릇에 담은 후 2cm 길이로 자르고 김가루를 올린다.</t>
  </si>
  <si>
    <t>2025년 12월 12일 (금)</t>
  </si>
  <si>
    <t>사과</t>
    <phoneticPr fontId="6" type="noConversion"/>
  </si>
  <si>
    <t>① 사과는 껍질을 벗기고 작게 잘라 제공한다.</t>
    <phoneticPr fontId="6" type="noConversion"/>
  </si>
  <si>
    <t>ㄷ</t>
    <phoneticPr fontId="6" type="noConversion"/>
  </si>
  <si>
    <t>맑은두부국⑤⑥</t>
    <phoneticPr fontId="6" type="noConversion"/>
  </si>
  <si>
    <t xml:space="preserve">① 다시마와 멸치로 육수를 낸다.
② 양파, 두부는1x1cm 크기로 썰고, 파는 송송 썬다.
③ '①'에 '②'를 넣고 끓이다가 다진 마늘, 간장, 소금으로 간한다. </t>
    <phoneticPr fontId="6" type="noConversion"/>
  </si>
  <si>
    <t>닭살양파볶음⑤⑥⑮</t>
    <phoneticPr fontId="6" type="noConversion"/>
  </si>
  <si>
    <t>① 닭고기는 1.5x1.5cm 크기로 썰고, 양파는 0.5cm 두께로 채썬다.
② 파는 송송 썬다.
③ 닭고기에 다진 마늘, 간장, 참기름, 후추가루를 넣어 골고루 버무린다.
④ 기름을 두른 팬에 '③'을 넣어 볶다가 파와 양파를 넣고 함께 볶는다.</t>
    <phoneticPr fontId="6" type="noConversion"/>
  </si>
  <si>
    <t>오이생채</t>
    <phoneticPr fontId="6" type="noConversion"/>
  </si>
  <si>
    <t>① 오이는 0.5cm 두께의 반달모양으로 썰어 소금에 절인다.
② '①'을 헹궈 소금기를 제거한 후, 분량의 양념을 넣어 무친다.</t>
    <phoneticPr fontId="6" type="noConversion"/>
  </si>
  <si>
    <t>찐단호박</t>
    <phoneticPr fontId="6" type="noConversion"/>
  </si>
  <si>
    <t>① 단호박은 깨끗이 씻어 찜기에 쪄낸다.
② ‘①’의 껍질을 벗겨 작게 잘라 제공한다.</t>
    <phoneticPr fontId="6" type="noConversion"/>
  </si>
  <si>
    <t>삶은달걀①</t>
    <phoneticPr fontId="6" type="noConversion"/>
  </si>
  <si>
    <t>① 달걀은 끓는물에 삶아 껍질을 벗긴 후, 1.5x1.5cm 크기로 잘라 제공한다.</t>
    <phoneticPr fontId="6" type="noConversion"/>
  </si>
  <si>
    <t>둥글레차</t>
    <phoneticPr fontId="6" type="noConversion"/>
  </si>
  <si>
    <t>둥굴레차</t>
    <phoneticPr fontId="6" type="noConversion"/>
  </si>
  <si>
    <t>2025년 12월 13일 (토)</t>
  </si>
  <si>
    <r>
      <t>쇠고기청경채덮밥⑤⑥</t>
    </r>
    <r>
      <rPr>
        <sz val="11"/>
        <color theme="1"/>
        <rFont val="Segoe UI Symbol"/>
        <family val="3"/>
      </rPr>
      <t>⑯</t>
    </r>
    <phoneticPr fontId="6" type="noConversion"/>
  </si>
  <si>
    <t>① 쌀은 씻어 밥을 짓는다.
② 쇠고기, 양파, 청경채는 0.3cm 크기로 다진다.
③ 기름을 두른 팬에 쇠고기, 양파를 넣어 볶는다.
④ ‘③’에 밥과 청경채를 넣고 분량의 양념으로 간하여 볶아낸다.</t>
    <phoneticPr fontId="6" type="noConversion"/>
  </si>
  <si>
    <t>청경채</t>
    <phoneticPr fontId="6" type="noConversion"/>
  </si>
  <si>
    <t>미소장국⑤⑥</t>
    <phoneticPr fontId="6" type="noConversion"/>
  </si>
  <si>
    <t>메추리알장조림①⑤⑥</t>
    <phoneticPr fontId="6" type="noConversion"/>
  </si>
  <si>
    <t>① 메추리알은 삶아서 찬물에 담근 후 껍질을 벗긴다.
② 분량의 양념을 만들어 '①'을 넣고 조린다.
③ 메추리알을 ¼로 잘라 제공한다.</t>
    <phoneticPr fontId="6" type="noConversion"/>
  </si>
  <si>
    <t>2025년 12월 15일 (월)</t>
  </si>
  <si>
    <t>① 배는 껍질을 벗기고 작게 잘라 제공한다.</t>
    <phoneticPr fontId="6" type="noConversion"/>
  </si>
  <si>
    <t>미역국⑤⑥</t>
    <phoneticPr fontId="6" type="noConversion"/>
  </si>
  <si>
    <t>① 미역은 물에 불려 염분기를 빼고 2cm 길이로 자른다.
② 냄비에 참기름을 두르고 '①'과 다진 마늘을 넣어 볶는다.
③ '②'에 물을 넣고 끓이다가 간장, 소금으로 간을 한다.</t>
    <phoneticPr fontId="6" type="noConversion"/>
  </si>
  <si>
    <t>닭살간장조림⑤⑥⑮</t>
  </si>
  <si>
    <t>① 닭살은1.5x1.5cm, 채소는 사방 1cm 크기로 썬다. 
② 분량의 양념을 섞어 양념장을 만든다.
③ 냄비에 '①', '②'와 물을 넣어 조린 후 깨와 참기름으로 완성한다.</t>
    <phoneticPr fontId="6" type="noConversion"/>
  </si>
  <si>
    <t>애호박나물⑤</t>
    <phoneticPr fontId="6" type="noConversion"/>
  </si>
  <si>
    <t>① 애호박은 0.5cm 두께로 4등분하여 썬다.
② 기름을 두른 팬에 '①'과 다진 마늘, 소금을 넣고 볶은 후 깨를 뿌린다.</t>
    <phoneticPr fontId="6" type="noConversion"/>
  </si>
  <si>
    <t>채소전①⑤⑥</t>
    <phoneticPr fontId="6" type="noConversion"/>
  </si>
  <si>
    <t>달걀</t>
    <phoneticPr fontId="6" type="noConversion"/>
  </si>
  <si>
    <t>① 채소는 2cm 길이로 채썬다.
② 부침가루, 물, 소금, 달걀을 넣고 반죽을 만든다. 
③ '②'에 '①'을 넣고 버무려 기름을 두른 팬에 앞뒤로 노릇하게 부친다.
④ 3x3cm 크기로 잘라 제공한다.</t>
    <phoneticPr fontId="6" type="noConversion"/>
  </si>
  <si>
    <t>부침가루</t>
    <phoneticPr fontId="6" type="noConversion"/>
  </si>
  <si>
    <t>2025년 12월 16일 (화)</t>
  </si>
  <si>
    <t>카스테라①②⑤⑥</t>
    <phoneticPr fontId="6" type="noConversion"/>
  </si>
  <si>
    <t>카스테라</t>
    <phoneticPr fontId="6" type="noConversion"/>
  </si>
  <si>
    <t>① 카스테라는 3x3cm 크기로 잘라 제공한다.</t>
    <phoneticPr fontId="6" type="noConversion"/>
  </si>
  <si>
    <t>새송이버섯된장국⑤⑥</t>
    <phoneticPr fontId="6" type="noConversion"/>
  </si>
  <si>
    <t>새송이버섯</t>
    <phoneticPr fontId="6" type="noConversion"/>
  </si>
  <si>
    <t>① 다시마와 멸치로 육수를 낸다.
② 새송이버섯은 1x1cm 크기로 썰고 파는 송송 썬다.
③ 육수에 된장을 풀고 끓으면 새송이버섯과 파, 다진 마늘을 넣고 끓인다.</t>
    <phoneticPr fontId="6" type="noConversion"/>
  </si>
  <si>
    <r>
      <t>훈제오리양배추볶음
①②⑤⑥⑫</t>
    </r>
    <r>
      <rPr>
        <sz val="10"/>
        <rFont val="MS Gothic"/>
        <family val="3"/>
        <charset val="128"/>
      </rPr>
      <t>⑯</t>
    </r>
    <phoneticPr fontId="6" type="noConversion"/>
  </si>
  <si>
    <t>① 훈제오리와 양배추는 1.5x1.5cm 크기로 썬다.
② 기름을 두른 팬에 훈제오리를 넣어 볶다가 양배추, 소금을 넣고 더 볶는다.</t>
    <phoneticPr fontId="6" type="noConversion"/>
  </si>
  <si>
    <t>콩나물무침⑤</t>
    <phoneticPr fontId="6" type="noConversion"/>
  </si>
  <si>
    <t xml:space="preserve">① 콩나물은 끓는 물에 데친 후 찬물에 헹궈 물기를 빼고 2cm 길이로 썰고
     파는 다진다.
② '①'에 분량의 양념을 넣어 무친다.  </t>
    <phoneticPr fontId="6" type="noConversion"/>
  </si>
  <si>
    <t>깍두기⑨</t>
    <phoneticPr fontId="6" type="noConversion"/>
  </si>
  <si>
    <t>깍두기</t>
    <phoneticPr fontId="6" type="noConversion"/>
  </si>
  <si>
    <t>2025년 12월 17일 (수)</t>
  </si>
  <si>
    <t>파인애플</t>
    <phoneticPr fontId="6" type="noConversion"/>
  </si>
  <si>
    <t>① 파인애플은 껍질을 벗기고 한입 크기로 잘라 제공한다.</t>
    <phoneticPr fontId="6" type="noConversion"/>
  </si>
  <si>
    <r>
      <t>쇠고기채소비빔밥⑤⑥</t>
    </r>
    <r>
      <rPr>
        <sz val="9"/>
        <rFont val="함초롬돋움"/>
        <family val="3"/>
        <charset val="129"/>
      </rPr>
      <t>⑯</t>
    </r>
    <phoneticPr fontId="6" type="noConversion"/>
  </si>
  <si>
    <t>① 쌀을 씻어 밥을 짓는다.
① 애호박, 무는 0.5cm 두께로 채 썰고 콩나물은 2cm 길이로 자른다.
③ 애호박과 무는 참기름을 두른 팬에 소금을 넣어 볶고, 콩나물은 끓는 물에 데친 
     후 소금과 참기름으로 양념한다.
④ 다진 쇠고기는 키친타월에 핏물을 뺀 후 분량의 양념으로 밑간하여 콩기름을 두른
     팬에 볶는다.
⑤ 밥 위에 '②'와 '③'을 얹고 간장과 깨를 넣어 비벼 제공한다.</t>
    <phoneticPr fontId="6" type="noConversion"/>
  </si>
  <si>
    <t>다진쇠고기</t>
    <phoneticPr fontId="6" type="noConversion"/>
  </si>
  <si>
    <t>콩나물</t>
    <phoneticPr fontId="6" type="noConversion"/>
  </si>
  <si>
    <r>
      <t>모둠어묵국①②⑤⑥⑧⑨</t>
    </r>
    <r>
      <rPr>
        <sz val="11"/>
        <color theme="1"/>
        <rFont val="Segoe UI Symbol"/>
        <family val="3"/>
      </rPr>
      <t>⑱</t>
    </r>
    <phoneticPr fontId="6" type="noConversion"/>
  </si>
  <si>
    <t>어묵</t>
  </si>
  <si>
    <t xml:space="preserve">
① 멸치와 다시마로 육수를 낸다.
② 어묵과 양파는 1x1cm 크기로 썰고, 파는 송송 썬다.
③ '①'에 '②'를 넣고 끓인 후 다진마늘, 간장으로 간한다.  
</t>
    <phoneticPr fontId="6" type="noConversion"/>
  </si>
  <si>
    <t>무른잔멸치조림⑤⑥</t>
    <phoneticPr fontId="6" type="noConversion"/>
  </si>
  <si>
    <t>① 잔멸치는 체에 쳐서 불순물을 제거한다.
② 팬에 멸치를 볶다가 분량의 양념과 물을 넣어 조린다.</t>
    <phoneticPr fontId="6" type="noConversion"/>
  </si>
  <si>
    <t>당근참깨주먹밥⑤</t>
    <phoneticPr fontId="6" type="noConversion"/>
  </si>
  <si>
    <t>① 쌀을 씻은 후 밥을 짓는다.
② 당근을 잘게 다진 후 기름을 두른 팬에 살짝 볶는다.
③ 볼에 '①','②'와 소금, 깨를 넣고 섞은 후 2.5cm 크기의 주먹밥 모양을 만든다.</t>
    <phoneticPr fontId="6" type="noConversion"/>
  </si>
  <si>
    <t>2025년 12월 18일 (목)</t>
  </si>
  <si>
    <t>누룽지죽</t>
    <phoneticPr fontId="6" type="noConversion"/>
  </si>
  <si>
    <t>누룽지</t>
    <phoneticPr fontId="6" type="noConversion"/>
  </si>
  <si>
    <r>
      <t>물만두국①②⑤⑥⑩</t>
    </r>
    <r>
      <rPr>
        <sz val="11"/>
        <color theme="1"/>
        <rFont val="Segoe UI Symbol"/>
        <family val="3"/>
      </rPr>
      <t>⑯⑱</t>
    </r>
    <phoneticPr fontId="6" type="noConversion"/>
  </si>
  <si>
    <t>① 다시마와 멸치로 육수를 낸다.
② 양파는 0.5cm 두께로 채 썰고, 파는 다진다.
③ '①'에 물만두를 넣고 끓이다가 '②'와 다진 파, 마늘을 넣어 끓인다. 
④ 간장, 참기름으로 간한다.</t>
    <phoneticPr fontId="6" type="noConversion"/>
  </si>
  <si>
    <r>
      <rPr>
        <sz val="10"/>
        <color rgb="FF00B050"/>
        <rFont val="한컴산뜻돋움"/>
        <family val="3"/>
        <charset val="129"/>
      </rPr>
      <t>step2</t>
    </r>
    <r>
      <rPr>
        <sz val="10"/>
        <rFont val="한컴산뜻돋움"/>
        <family val="3"/>
        <charset val="129"/>
      </rPr>
      <t xml:space="preserve"> 시금치달걀말이
①⑤</t>
    </r>
    <phoneticPr fontId="6" type="noConversion"/>
  </si>
  <si>
    <t>① 달걀은 곱게 풀어 준비하고 시금치는 손질하여 살짝 데친 후 0.3cm로 잘게 다진다.
② 풀어 둔 달걀물에 시금치, 소금을 넣고 섞어준다.
③ 기름을 두른 팬에 ②를 넣고 돌돌 말아 완성한다.</t>
    <phoneticPr fontId="6" type="noConversion"/>
  </si>
  <si>
    <t>김자반⑤</t>
    <phoneticPr fontId="6" type="noConversion"/>
  </si>
  <si>
    <t>① 참기름을 두른 팬에 파래김을 볶는다.
② 소금, 설탕, 깨를 넣어 버무린다.</t>
    <phoneticPr fontId="6" type="noConversion"/>
  </si>
  <si>
    <t>도넛①②⑤⑥</t>
    <phoneticPr fontId="6" type="noConversion"/>
  </si>
  <si>
    <t>2025년 12월 19일 (금)</t>
  </si>
  <si>
    <t>키위</t>
    <phoneticPr fontId="6" type="noConversion"/>
  </si>
  <si>
    <t>① 키위는 껍질을 벗기고 작게 잘라 제공한다.</t>
    <phoneticPr fontId="6" type="noConversion"/>
  </si>
  <si>
    <t>아욱된장국⑤⑥</t>
    <phoneticPr fontId="6" type="noConversion"/>
  </si>
  <si>
    <t>아욱</t>
  </si>
  <si>
    <t>① 다시마와 멸치로 육수를 낸다.
② 아욱은 2cm 크기로 썬다.
③ 파는 송송 썬다.
④ '①'에 된장을 풀고 '②'를 넣고 끓인다.
⑤ '④'에 '③', 다진 마늘을 넣어 간한다.</t>
    <phoneticPr fontId="6" type="noConversion"/>
  </si>
  <si>
    <r>
      <t>돈육데리야끼조림
⑤⑥⑩⑫⑮</t>
    </r>
    <r>
      <rPr>
        <sz val="9"/>
        <color theme="1"/>
        <rFont val="함초롬바탕"/>
        <family val="1"/>
        <charset val="129"/>
      </rPr>
      <t>⑯⑱</t>
    </r>
    <phoneticPr fontId="6" type="noConversion"/>
  </si>
  <si>
    <t>① 돼지고기는 1.5x1.5cm 크기로 썰어 소금, 후추로 밑간한다.
② 양파는 1.5x1.5cm 크기로 썬다.
③ 기름을 두른 팬에 '①'과 '②'를 넣고 볶는다.
④ '③'에 데리야끼소스를 넣고 더 볶는다.</t>
    <phoneticPr fontId="6" type="noConversion"/>
  </si>
  <si>
    <t>데리야끼소스</t>
    <phoneticPr fontId="6" type="noConversion"/>
  </si>
  <si>
    <t xml:space="preserve">소금 </t>
    <phoneticPr fontId="6" type="noConversion"/>
  </si>
  <si>
    <t>들깨배추나물⑤⑥</t>
    <phoneticPr fontId="6" type="noConversion"/>
  </si>
  <si>
    <t>① 배추는 데쳐서 찬물에 헹구고 물기를 제거한 후 2cm 길이로 썬다.
② 파는 다진다.
③ '①'에 분량의 양념을 넣어 무친다.</t>
    <phoneticPr fontId="6" type="noConversion"/>
  </si>
  <si>
    <t>들깨가루</t>
    <phoneticPr fontId="6" type="noConversion"/>
  </si>
  <si>
    <t>군고구마</t>
    <phoneticPr fontId="6" type="noConversion"/>
  </si>
  <si>
    <t>고구마</t>
    <phoneticPr fontId="6" type="noConversion"/>
  </si>
  <si>
    <t>① 오븐이나 에어프라이어 등 조리기구를 사용하여 고구마를 굽는다.
② ‘①’의 껍질을 벗겨 작게 잘라 제공한다.</t>
    <phoneticPr fontId="30" type="noConversion"/>
  </si>
  <si>
    <t>옥수수차</t>
    <phoneticPr fontId="6" type="noConversion"/>
  </si>
  <si>
    <t>2025년 12월 20일 (토)</t>
  </si>
  <si>
    <r>
      <t>토마토스파게티
②⑤⑥⑫⑮</t>
    </r>
    <r>
      <rPr>
        <sz val="12"/>
        <color theme="1"/>
        <rFont val="Segoe UI Symbol"/>
        <family val="3"/>
      </rPr>
      <t>⑯⑱</t>
    </r>
    <phoneticPr fontId="6" type="noConversion"/>
  </si>
  <si>
    <t>① 토마토는 칼집을 내어 끓는 물에 데쳐 껍질을 벗겨 0.3cm로 잘게 다진다. 
② 양송이버섯, 양파는 0.3cm로 잘게 다진다.
③ 올리브유를 두른 팬에 '②'와 다진마늘, 다진 쇠고기를 넣어 센 불에 볶다가 
     '①', 케첩, 설탕을 넣고 볶아 소스를 만든다.
④ 끓는물에 소금과 올리브유를 넣고 스파게티면을 삶아 물기를 뺀 후 '③'를 
     버무려 낸다.</t>
    <phoneticPr fontId="6" type="noConversion"/>
  </si>
  <si>
    <r>
      <t>크림스프②⑤⑥⑮</t>
    </r>
    <r>
      <rPr>
        <sz val="9"/>
        <color theme="1"/>
        <rFont val="함초롬돋움"/>
        <family val="3"/>
        <charset val="129"/>
      </rPr>
      <t>⑯</t>
    </r>
    <phoneticPr fontId="6" type="noConversion"/>
  </si>
  <si>
    <t>① 버터를 팬에 두르고 밀가루를 넣어 볶아준다.
② 우유를 넣고 섞어준다.
③ 소금, 후추를 넣고 간을 한다.</t>
    <phoneticPr fontId="6" type="noConversion"/>
  </si>
  <si>
    <t>버터</t>
  </si>
  <si>
    <t>게살채소볶음
①②⑤⑥⑧⑫</t>
    <phoneticPr fontId="6" type="noConversion"/>
  </si>
  <si>
    <t>① 게살, 당근, 양파는1x1cm 크기로 썬다.
② 파는 송송 썬다.
③ 기름을 두른 팬에 다진 마늘을 볶다가 당근, 양파를 넣고 함께 볶는다.
④ '③'에 맛살과 파를 넣고 함께 볶다가 간장으로 간을 한 후 참기름으로 마무리한다.</t>
    <phoneticPr fontId="6" type="noConversion"/>
  </si>
  <si>
    <t>2025년 12월 22일 (월)</t>
  </si>
  <si>
    <t>① 다시마로 육수를 낸다.
② 무는 0.5cm 두께로 채썬다.
③ 냄비에 들기름을 두르고 다진 마늘과 '②'를 넣고 볶다가 '①'을 부어 끓인 후,
     간장으로 간한다.</t>
    <phoneticPr fontId="6" type="noConversion"/>
  </si>
  <si>
    <r>
      <t>쇠고기당근조림⑤⑥</t>
    </r>
    <r>
      <rPr>
        <sz val="9"/>
        <color theme="1"/>
        <rFont val="함초롬돋움"/>
        <family val="3"/>
        <charset val="129"/>
      </rPr>
      <t>⑯</t>
    </r>
    <phoneticPr fontId="6" type="noConversion"/>
  </si>
  <si>
    <t>① 쇠고기, 양파, 당근은 1.5x1.5cm 크기로 썬다.
② 분량의 양념을 섞어 양념장을 만든다.
③ 냄비에 '①', '②'와 물을 넣어 조린 후 깨와 참기름으로 완성한다.</t>
    <phoneticPr fontId="6" type="noConversion"/>
  </si>
  <si>
    <t>브로콜리나물</t>
    <phoneticPr fontId="6" type="noConversion"/>
  </si>
  <si>
    <t>① 브로콜리는 끓는 물에 데친 후 1.5x1.5cm 크기로 자른다.
② ‘①’에 소금, 참기름, 깨를 넣어 무친다.</t>
    <phoneticPr fontId="6" type="noConversion"/>
  </si>
  <si>
    <t>동지팥죽⑤</t>
    <phoneticPr fontId="6" type="noConversion"/>
  </si>
  <si>
    <t>팥</t>
  </si>
  <si>
    <t>① 멥쌀과 팥은 각각 물에 불린다.
② 불린 팥은 한번 삶아 첫 물은 버리고 다시 한 번 푹 삶아준다.
③ 삶은 팥과 팥물을 분리하여 팥은 믹서에 갈아준다.
④ 팥 삶은 물에 ‘②’와 불린 멥쌀을 넣고 저어가며 끓인 후 소금, 설탕으로 간한다.</t>
    <phoneticPr fontId="6" type="noConversion"/>
  </si>
  <si>
    <t>멥쌀</t>
  </si>
  <si>
    <t>2025년 12월 23일 (화)</t>
  </si>
  <si>
    <t>고구마죽</t>
    <phoneticPr fontId="6" type="noConversion"/>
  </si>
  <si>
    <t>① 쌀은 불리고, 고구마는 0.3cm로 잘게 다진다.
② 냄비에 참기름을 두르고 '①'의 불린 쌀을 넣고 볶다가 고구마를 
     함께 넣어 볶는다.
③ '②'에 물을 붓고 끓이다가 소금으로 간을 한다.</t>
    <phoneticPr fontId="6" type="noConversion"/>
  </si>
  <si>
    <t>① 쌀과 흑미를 씻은 후, 물에 불린다.
② 적당량의 물을 부어 밥을 짓는다.</t>
    <phoneticPr fontId="6" type="noConversion"/>
  </si>
  <si>
    <t>닭개장⑤⑥⑮</t>
    <phoneticPr fontId="6" type="noConversion"/>
  </si>
  <si>
    <t>닭가슴살</t>
    <phoneticPr fontId="6" type="noConversion"/>
  </si>
  <si>
    <t xml:space="preserve">① 닭가슴살, 파, 마늘을 넣고 끓여 국물은 육수로 사용한다.
② 삶은 닭가슴살은 찢고, 무는 0.5cm 두께로 나박썬다.
③ 다듬은 숙주와 고사리는 2cm 길이로 썬다.
④ 파는 0.5cm 두께로 썬다.
⑤ 육수에 '②',  '③', 파를 넣고 맛이 어우러질 때까지 끓인다.
⑥ 간장, 다진 마늘, 참기름으로 간한다.  </t>
    <phoneticPr fontId="6" type="noConversion"/>
  </si>
  <si>
    <t>마늘</t>
    <phoneticPr fontId="6" type="noConversion"/>
  </si>
  <si>
    <t>두부구이⑤&amp;양념장⑤⑥</t>
    <phoneticPr fontId="6" type="noConversion"/>
  </si>
  <si>
    <t>① 두부를 1cm 두께로 편썰어 소금을 뿌려 물기를 제거한다.
② 기름을 두른 팬에 두부를 앞뒤로 익힌다.
③ 양념장을 만들어 곁들인다.</t>
    <phoneticPr fontId="6" type="noConversion"/>
  </si>
  <si>
    <r>
      <rPr>
        <sz val="10"/>
        <color rgb="FF00B050"/>
        <rFont val="한컴산뜻돋움"/>
        <family val="3"/>
        <charset val="129"/>
      </rPr>
      <t xml:space="preserve"> step3 </t>
    </r>
    <r>
      <rPr>
        <sz val="10"/>
        <color theme="1"/>
        <rFont val="한컴산뜻돋움"/>
        <family val="3"/>
        <charset val="129"/>
      </rPr>
      <t>시금치나물⑤⑥</t>
    </r>
    <phoneticPr fontId="6" type="noConversion"/>
  </si>
  <si>
    <t>① 시금치는 끓는물에 소금을 넣고 데친 후 찬물에 헹궈 물기를 빼고 2cm 길이로
     썬다.
② '①'에 분량의 양념을 넣고 무친다.</t>
    <phoneticPr fontId="6" type="noConversion"/>
  </si>
  <si>
    <r>
      <t>미니우동⑤⑥⑦⑨</t>
    </r>
    <r>
      <rPr>
        <sz val="10"/>
        <color theme="1"/>
        <rFont val="Segoe UI Symbol"/>
        <family val="3"/>
      </rPr>
      <t>⑯⑱</t>
    </r>
    <phoneticPr fontId="6" type="noConversion"/>
  </si>
  <si>
    <t>① 멸치, 다시마, 가쓰오부시로 육수를 낸다. 
    (국수장국과 물을 1:3으로 섞어 활용 가능하다.)
② 우동면은 끓는 물에 삶아 건져 찬물로 씻은 후 물기를 빼고 2cm 길이로 자른다.
③ 파는 송송 썰고, 쑥갓은 2cm 길이로 썬다.
④ '①'에 다진 마늘과 간장을 넣고 끓이다가 파, 쑥갓, 소금을 넣어 함께 끓인다.
⑤ 그릇에 '②'를 담고 '④'를 부어낸다.</t>
    <phoneticPr fontId="6" type="noConversion"/>
  </si>
  <si>
    <t>쑥갓</t>
    <phoneticPr fontId="6" type="noConversion"/>
  </si>
  <si>
    <t>2025년 12월 24일 (수)</t>
  </si>
  <si>
    <r>
      <t>돈까스
①②⑤⑥⑩⑮</t>
    </r>
    <r>
      <rPr>
        <sz val="11"/>
        <color theme="1"/>
        <rFont val="Segoe UI Symbol"/>
        <family val="3"/>
      </rPr>
      <t>⑯</t>
    </r>
    <r>
      <rPr>
        <sz val="10"/>
        <color theme="1"/>
        <rFont val="Segoe UI Symbol"/>
        <family val="3"/>
      </rPr>
      <t xml:space="preserve">
</t>
    </r>
    <r>
      <rPr>
        <sz val="10"/>
        <color theme="1"/>
        <rFont val="한컴산뜻돋움"/>
        <family val="3"/>
        <charset val="129"/>
      </rPr>
      <t>&amp;돈까스소스
②⑤⑥⑩⑫</t>
    </r>
    <r>
      <rPr>
        <sz val="11"/>
        <color theme="1"/>
        <rFont val="Segoe UI Symbol"/>
        <family val="3"/>
      </rPr>
      <t>⑯⑱</t>
    </r>
    <phoneticPr fontId="6" type="noConversion"/>
  </si>
  <si>
    <t xml:space="preserve">① 돼지고기는 넓게 펴서 소금과 후추로 밑간을 한다.
② 달걀은 풀어 알끈을 제거한다.
③ '①'에 밀가루-달걀-빵가루 순으로 묻힌다.
④ 기름을 충분히 부은 후 '③'을 튀긴 후 소스와 함께 제공한다. </t>
  </si>
  <si>
    <r>
      <t>가쓰오장국
⑤⑥⑦⑨</t>
    </r>
    <r>
      <rPr>
        <sz val="11"/>
        <rFont val="Segoe UI Symbol"/>
        <family val="3"/>
      </rPr>
      <t>⑯⑱</t>
    </r>
    <phoneticPr fontId="6" type="noConversion"/>
  </si>
  <si>
    <t>① 멸치, 다시마, 가쓰오부시로 육수를 낸다. 
    (국수장국과 물을 1:3으로 섞어 활용 가능하다.)
② 파는 송송 썰고 쑥갓은 먹기 좋은 크기로 썬다.
③ '①'에 다진 마늘과 간장을 넣고 끓이다가 '②'를 넣어 함께
     끓인다.</t>
    <phoneticPr fontId="6" type="noConversion"/>
  </si>
  <si>
    <t>양상추샐러드②</t>
    <phoneticPr fontId="6" type="noConversion"/>
  </si>
  <si>
    <t xml:space="preserve">① 양상추는 씻은 후 먹기 좋은 크기로 찢는다.
② 당근, 적채는 채 썬다.
③ '①', '②'에 호상요구르트를 넣어 버무린다. </t>
    <phoneticPr fontId="6" type="noConversion"/>
  </si>
  <si>
    <t>케이크①②⑤⑥</t>
    <phoneticPr fontId="6" type="noConversion"/>
  </si>
  <si>
    <t>조각케이크</t>
    <phoneticPr fontId="6" type="noConversion"/>
  </si>
  <si>
    <t>① 케이크는 한입 크기로 잘라 제공한다.</t>
  </si>
  <si>
    <t xml:space="preserve"> </t>
    <phoneticPr fontId="6" type="noConversion"/>
  </si>
  <si>
    <t>2025년 12월 26일 (금)</t>
  </si>
  <si>
    <r>
      <t>쇠고기탕국⑤⑥</t>
    </r>
    <r>
      <rPr>
        <sz val="11"/>
        <rFont val="Segoe UI Symbol"/>
        <family val="3"/>
      </rPr>
      <t>⑯</t>
    </r>
    <phoneticPr fontId="6" type="noConversion"/>
  </si>
  <si>
    <t>① 냄비에 참기름을 두르고 0.5cm 두께로 썬 무와 1.5x1.5cm 크기로 썬 쇠고기를 
     넣고 볶는다.
② 다진 마늘을 넣어 볶다가 물을 자작하게 넣어 끓인다.
③ 두부, 파를 넣고 간장으로 간을 맞춘다.</t>
    <phoneticPr fontId="6" type="noConversion"/>
  </si>
  <si>
    <t>두부</t>
    <phoneticPr fontId="6" type="noConversion"/>
  </si>
  <si>
    <t>삼치조림⑤⑥</t>
    <phoneticPr fontId="6" type="noConversion"/>
  </si>
  <si>
    <t>① 삼치는 흐르는 물에 씻어, 핏물을 제거해 물기를 뺀다.
② 양파는 채 썰고 파는 다진다.
③ 분량의 양념을 섞어 양념장을 만든다.
④ 냄비에 양파를 깔고 '①'을 올린 뒤 양념장, 물을 부어 조린 후, 살을 발라내어 
     제공한다.</t>
    <phoneticPr fontId="6" type="noConversion"/>
  </si>
  <si>
    <r>
      <rPr>
        <sz val="10"/>
        <color theme="5" tint="-0.249977111117893"/>
        <rFont val="한컴산뜻돋움"/>
        <family val="3"/>
        <charset val="129"/>
      </rPr>
      <t xml:space="preserve"> </t>
    </r>
    <r>
      <rPr>
        <sz val="10"/>
        <color theme="1"/>
        <rFont val="한컴산뜻돋움"/>
        <family val="3"/>
        <charset val="129"/>
      </rPr>
      <t>무나물</t>
    </r>
    <phoneticPr fontId="6" type="noConversion"/>
  </si>
  <si>
    <t>① 무는 껍질을 벗겨 채썰고 2cm 이하 길이로 자른다.
② 들기름을 두른 팬에 '①', 다진 마늘, 소금을 넣고 볶는다.
③ 깨를 뿌려 담아낸다.</t>
    <phoneticPr fontId="6" type="noConversion"/>
  </si>
  <si>
    <t>2025년 12월 27일 (토)</t>
  </si>
  <si>
    <r>
      <t>참치채소비빔밥⑤⑥</t>
    </r>
    <r>
      <rPr>
        <sz val="9"/>
        <rFont val="함초롬돋움"/>
        <family val="3"/>
        <charset val="129"/>
      </rPr>
      <t>⑯⑱</t>
    </r>
    <phoneticPr fontId="6" type="noConversion"/>
  </si>
  <si>
    <t>① 쌀을 씻어 밥을 짓는다.
② 당근, 양배추, 깻잎은 2cm 길이로 채 썰고, 당근과 양배추는 
     소금으로 간하여 기름에 두른 팬에 볶는다.
③ 통조림참치는 체에 밭쳐 기름기를 뺀다.
④ 밥에 '②', '③'을 담고 양념장(간장, 다진 파, 깨, 참기름)을 
     비빈 후 제공한다.</t>
    <phoneticPr fontId="6" type="noConversion"/>
  </si>
  <si>
    <t>참치</t>
    <phoneticPr fontId="6" type="noConversion"/>
  </si>
  <si>
    <t>깻잎</t>
    <phoneticPr fontId="6" type="noConversion"/>
  </si>
  <si>
    <t>유부장국⑤⑥</t>
    <phoneticPr fontId="6" type="noConversion"/>
  </si>
  <si>
    <t>① 다시마와 멸치로 육수를 낸다. 
② 유부는 1x1cm 크기로 썰고, 파는 다진다.
③ 육수에 된장을 풀어 넣고 '②', 다진 마늘을 넣어 끓인다.</t>
    <phoneticPr fontId="6" type="noConversion"/>
  </si>
  <si>
    <t>2025년 12월 29일 (월)</t>
  </si>
  <si>
    <t>방울토마토⑫</t>
    <phoneticPr fontId="6" type="noConversion"/>
  </si>
  <si>
    <t>방울토마토</t>
  </si>
  <si>
    <t>① 방울토마토는 ¼로 잘라 제공한다.</t>
    <phoneticPr fontId="6" type="noConversion"/>
  </si>
  <si>
    <t>배추된장국⑤⑥</t>
    <phoneticPr fontId="6" type="noConversion"/>
  </si>
  <si>
    <t>배추</t>
    <phoneticPr fontId="6" type="noConversion"/>
  </si>
  <si>
    <t>① 냄비에 물을 붓고 멸치로 육수를 우려낸 후 된장을 푼다.
② 배추는 2cm 크기로 썬다.
③ 파는 송송 썬다.
④ '①'에 '②'와 '③', 다진마늘을 넣고 끓인다.</t>
    <phoneticPr fontId="6" type="noConversion"/>
  </si>
  <si>
    <t>된장</t>
    <phoneticPr fontId="6" type="noConversion"/>
  </si>
  <si>
    <t>순살닭갈비⑤⑥⑮</t>
    <phoneticPr fontId="6" type="noConversion"/>
  </si>
  <si>
    <t>① 채소는 1x1cm 크기로 썰고 파는 어슷썬다.
② 닭살은 1.5x1.5cm 크기로 썬 후 소금, 후추로 밑간한다.
③ 기름을 두른 팬에 다진 마늘, 닭살을 넣고 볶다가 채소와 분량의 양념을 넣어 
     더 볶는다.</t>
    <phoneticPr fontId="6" type="noConversion"/>
  </si>
  <si>
    <t>미역오이무침⑤⑥</t>
    <phoneticPr fontId="6" type="noConversion"/>
  </si>
  <si>
    <t>① 오이는 0.5cm 두께로 채썰고 , 미역은 여러 번 물에 헹구고 끓는 물에 데친 후 
     2cm 길이로 자른다.
② 파는 다진다.
③ 그릇에 ①, ②, 간장, 설탕, 식초, 깨소금으로 양념하여 골고루 버무린다.</t>
    <phoneticPr fontId="6" type="noConversion"/>
  </si>
  <si>
    <t>미역</t>
    <phoneticPr fontId="6" type="noConversion"/>
  </si>
  <si>
    <t>김가루주먹밥</t>
    <phoneticPr fontId="6" type="noConversion"/>
  </si>
  <si>
    <t>① 쌀을 씻어 밥을 짓는다.
② 밥에 깨, 참기름을 넣고 섞은 후 2.5cm 크기의 주먹밥 모양을 만든다.
③ 김가루에 주먹밥을 굴려 묻힌 후, 손으로 감싸 눌러준다.</t>
    <phoneticPr fontId="6" type="noConversion"/>
  </si>
  <si>
    <t>2025년 12월 30일 (화)</t>
  </si>
  <si>
    <t>흑임자죽</t>
    <phoneticPr fontId="6" type="noConversion"/>
  </si>
  <si>
    <t>① 쌀은 불린다.
② 믹서기에 불린 쌀과 흑임자를 넣고 물을 부어 곱게 간다.
③ 냄비에 '②'를 붓고 끓이다가 소금으로 간을 한다.</t>
    <phoneticPr fontId="6" type="noConversion"/>
  </si>
  <si>
    <t>검은깨</t>
    <phoneticPr fontId="6" type="noConversion"/>
  </si>
  <si>
    <t>순두부국⑤⑨</t>
    <phoneticPr fontId="6" type="noConversion"/>
  </si>
  <si>
    <t>순두부</t>
  </si>
  <si>
    <t>① 다시마와 멸치로 육수를 낸다.
② 양파는 1x1cm 크기로 썰고, 파는 송송 썬다.
③ '①'에 '②'와 순두부를 넣어 끓인다.
④ '③'이 끓으면 분량의 양념을 넣어 더 끓인다.</t>
    <phoneticPr fontId="6" type="noConversion"/>
  </si>
  <si>
    <t>흰살생선전①⑤⑥</t>
    <phoneticPr fontId="6" type="noConversion"/>
  </si>
  <si>
    <t>① 달걀은 풀어 달걀물을 만든다.
② 동태포는 소금, 후추로 밑간한 후, 밀가루-달걀물 순으로 입혀 기름을 두른 팬에
     부친다.
③ 3x3cm 크기로 잘라 제공한다.</t>
    <phoneticPr fontId="6" type="noConversion"/>
  </si>
  <si>
    <t>표고버섯나물</t>
    <phoneticPr fontId="6" type="noConversion"/>
  </si>
  <si>
    <t>① 표고버섯은 2cm 길이로 자르고 파는 송송 썬다.
② 끓는 물에 표고버섯을 데쳐 찬물에 한번 헹군 뒤, 분량의 양념과 송송 썬 파를 
     넣어 무친다.</t>
    <phoneticPr fontId="6" type="noConversion"/>
  </si>
  <si>
    <r>
      <t>로제스파게티
①②⑤⑥⑩⑫⑮</t>
    </r>
    <r>
      <rPr>
        <sz val="10"/>
        <rFont val="Segoe UI Symbol"/>
        <family val="3"/>
      </rPr>
      <t>⑯⑱</t>
    </r>
    <phoneticPr fontId="6" type="noConversion"/>
  </si>
  <si>
    <t>① 스파게티면은 끓는 물에 10분간 삶은 후, 채반에 건져 물기를 빼고 2cm 길이로 
      자른다.
② 베이컨은 1x1cm 크기로 썰고 끓는 물에 데친 후 물기를 뺀다.
② 양파, 양송이버섯은 0.3cm 크기로 다진다.
③ 기름을 두른 팬에 '②'를 볶다가 토마토소스, 우유, 생크림을 넣어 끓인다.
④ '③'에 후춧가루를 넣어 소스를 완성하고 '①'을 넣어 골고루 섞으며 볶는다.</t>
    <phoneticPr fontId="6" type="noConversion"/>
  </si>
  <si>
    <t>양송이버섯</t>
    <phoneticPr fontId="6" type="noConversion"/>
  </si>
  <si>
    <t>베이컨</t>
    <phoneticPr fontId="6" type="noConversion"/>
  </si>
  <si>
    <t>토마토소스</t>
    <phoneticPr fontId="6" type="noConversion"/>
  </si>
  <si>
    <t>생크림</t>
    <phoneticPr fontId="6" type="noConversion"/>
  </si>
  <si>
    <t>2025년 12월 31일 (수)</t>
    <phoneticPr fontId="6" type="noConversion"/>
  </si>
  <si>
    <t>돈육불고기덮밥⑤⑥⑩</t>
    <phoneticPr fontId="6" type="noConversion"/>
  </si>
  <si>
    <t>① 쌀을 씻은 후 밥을 짓는다.
② 돼지고기, 양파, 당근은 1.5x1.5cm 크기로 썰고, 파는 송송 썬다.
③ 돼지고기를 분량의 양념과 함께 골고루 버무린다.
④ 팬에 콩기름을 두르고 '③'을 넣어 볶다가 당근, 양파, 파를 넣고 볶는다.
⑤ 그릇에 '①'을 담고 그 위에 '④'를 올린다.</t>
    <phoneticPr fontId="6" type="noConversion"/>
  </si>
  <si>
    <t>달걀파국①</t>
    <phoneticPr fontId="6" type="noConversion"/>
  </si>
  <si>
    <t>① 다시마와 멸치로 육수를 낸다.
② 달걀은 풀고, 파는 송송 썬다.
③ '①'에 다진 마늘과 소금을 넣고 끓인다.
④ 중불로 낮추어 달걀물을 천천히 붓고 가볍게 저어준 후, 파를 넣어 끓인다.</t>
    <phoneticPr fontId="6" type="noConversion"/>
  </si>
  <si>
    <r>
      <t>어묵감자채볶음
①②⑤⑥⑧⑨</t>
    </r>
    <r>
      <rPr>
        <sz val="10"/>
        <rFont val="Segoe UI Symbol"/>
        <family val="3"/>
      </rPr>
      <t>⑱</t>
    </r>
    <phoneticPr fontId="6" type="noConversion"/>
  </si>
  <si>
    <t>어묵</t>
    <phoneticPr fontId="6" type="noConversion"/>
  </si>
  <si>
    <t>① 어묵, 감자는 0.5cm 두께로 채썬다.
② 기름을 두른 팬에 '①'을 볶는다.
③ 다진 마늘, 소금, 참기름으로 간하고 살짝 더 볶는다.</t>
    <phoneticPr fontId="6" type="noConversion"/>
  </si>
  <si>
    <t>딸기잼샌드위치①②⑤⑥</t>
    <phoneticPr fontId="6" type="noConversion"/>
  </si>
  <si>
    <t>① 식빵에 딸기잼을 바른 후, 3x3cm 크기로 잘라 제공한다.</t>
    <phoneticPr fontId="6" type="noConversion"/>
  </si>
  <si>
    <t>딸기잼</t>
    <phoneticPr fontId="6" type="noConversion"/>
  </si>
  <si>
    <t xml:space="preserve">★Birthday식단           </t>
    <phoneticPr fontId="6" type="noConversion"/>
  </si>
  <si>
    <t>새우살미역국⑤⑥⑨</t>
    <phoneticPr fontId="6" type="noConversion"/>
  </si>
  <si>
    <t>새우</t>
    <phoneticPr fontId="6" type="noConversion"/>
  </si>
  <si>
    <t>① 미역은 불려 2cm 크기로 자르고
② 새우는1x1cm 크기로 썰어서 준비한다.
③ 냄비에 참기름을 두르고 다진마늘과 '①'을 넣어 볶는다.
④ '③'에 물을 붓고 새우를 넣어 끓이다가 소금, 간장으로 간을 한다.</t>
    <phoneticPr fontId="6" type="noConversion"/>
  </si>
  <si>
    <t>돈육갈비찜⑤⑥⑩</t>
    <phoneticPr fontId="6" type="noConversion"/>
  </si>
  <si>
    <t>돼지갈비</t>
    <phoneticPr fontId="6" type="noConversion"/>
  </si>
  <si>
    <t>① 돼지갈비는 1.5x1.5cm 크기로 자른 후, 물에 담궈 핏물을 제거한다.
② 감자, 양파는 2x2cm 크기로 썰고 파는 다진다. 
③ 분량의 양념을 섞어 양념장을 만든다.
④ 냄비에 '①', '③'과 물을 넣어 약불에서 끓이다가 반쯤 익으면 '②'와 대추, 밤을
     넣어 푹 익힌다.</t>
    <phoneticPr fontId="6" type="noConversion"/>
  </si>
  <si>
    <t>대추</t>
    <phoneticPr fontId="6" type="noConversion"/>
  </si>
  <si>
    <t>맛술</t>
    <phoneticPr fontId="6" type="noConversion"/>
  </si>
  <si>
    <t>버섯잡채⑤⑥</t>
    <phoneticPr fontId="6" type="noConversion"/>
  </si>
  <si>
    <t xml:space="preserve">① 당면은 물에 불린다.
② 느타리버섯은 잘게 찢고 표고버섯, 양파, 당근은 0.5cm 두께로 채 썬다. 
③ 기름을 두른 팬에 다진 마늘과 ‘②’를 넣고 소금으로 간하여 볶는다.
④ 당면은 삶아서 물기 제거 후 2cm 길이로 잘라 간장, 설탕, 참기름으로 간을 하여
     볶는다.
⑤ 모든 재료를 잘 섞은 후 깨를 뿌려 마무리한다. </t>
    <phoneticPr fontId="6" type="noConversion"/>
  </si>
  <si>
    <t>당면</t>
    <phoneticPr fontId="6" type="noConversion"/>
  </si>
  <si>
    <t>① 케이크는 3x3cm 크기로 잘라 제공한다.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</si>
</sst>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0.0_);[Red]\(0.0\)"/>
    <numFmt numFmtId="178" formatCode="0_);[Red]\(0\)"/>
    <numFmt numFmtId="179" formatCode="0.0_ "/>
    <numFmt numFmtId="180" formatCode="0.0"/>
  </numFmts>
  <fonts count="3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한컴산뜻돋움"/>
      <family val="3"/>
      <charset val="129"/>
    </font>
    <font>
      <b/>
      <sz val="11"/>
      <color theme="1"/>
      <name val="한컴산뜻돋움"/>
      <family val="3"/>
      <charset val="129"/>
    </font>
    <font>
      <sz val="12"/>
      <color rgb="FFFF0000"/>
      <name val="한컴산뜻돋움"/>
      <family val="3"/>
      <charset val="129"/>
    </font>
    <font>
      <sz val="8"/>
      <name val="맑은 고딕"/>
      <family val="2"/>
      <charset val="129"/>
      <scheme val="minor"/>
    </font>
    <font>
      <b/>
      <sz val="40"/>
      <name val="한컴산뜻돋움"/>
      <family val="3"/>
      <charset val="129"/>
    </font>
    <font>
      <b/>
      <sz val="14"/>
      <name val="한컴산뜻돋움"/>
      <family val="3"/>
      <charset val="129"/>
    </font>
    <font>
      <sz val="10"/>
      <color theme="1"/>
      <name val="한컴산뜻돋움"/>
      <family val="3"/>
      <charset val="129"/>
    </font>
    <font>
      <sz val="10"/>
      <name val="한컴산뜻돋움"/>
      <family val="3"/>
      <charset val="129"/>
    </font>
    <font>
      <b/>
      <sz val="12"/>
      <color theme="1"/>
      <name val="한컴산뜻돋움"/>
      <family val="3"/>
      <charset val="129"/>
    </font>
    <font>
      <sz val="10"/>
      <color rgb="FF000000"/>
      <name val="한컴산뜻돋움"/>
      <family val="3"/>
      <charset val="129"/>
    </font>
    <font>
      <sz val="9"/>
      <color rgb="FF000000"/>
      <name val="맑은 고딕"/>
      <family val="3"/>
      <charset val="128"/>
    </font>
    <font>
      <sz val="9"/>
      <name val="Arial"/>
      <family val="2"/>
    </font>
    <font>
      <sz val="9"/>
      <name val="한컴산뜻돋움"/>
      <family val="3"/>
      <charset val="129"/>
    </font>
    <font>
      <sz val="10"/>
      <color indexed="8"/>
      <name val="한컴산뜻돋움"/>
      <family val="3"/>
      <charset val="129"/>
    </font>
    <font>
      <sz val="10"/>
      <color rgb="FFFF0000"/>
      <name val="한컴산뜻돋움"/>
      <family val="3"/>
      <charset val="129"/>
    </font>
    <font>
      <sz val="10"/>
      <name val="Segoe UI Symbol"/>
      <family val="3"/>
    </font>
    <font>
      <sz val="10"/>
      <name val="MS Gothic"/>
      <family val="3"/>
    </font>
    <font>
      <sz val="10"/>
      <color theme="1"/>
      <name val="Segoe UI Symbol"/>
      <family val="3"/>
    </font>
    <font>
      <sz val="10"/>
      <color rgb="FF00B050"/>
      <name val="한컴산뜻돋움"/>
      <family val="3"/>
      <charset val="129"/>
    </font>
    <font>
      <sz val="10"/>
      <color rgb="FF000000"/>
      <name val="Segoe UI Symbol"/>
      <family val="3"/>
    </font>
    <font>
      <sz val="11"/>
      <color theme="1"/>
      <name val="Segoe UI Symbol"/>
      <family val="3"/>
    </font>
    <font>
      <sz val="11"/>
      <color theme="1"/>
      <name val="맑은 고딕"/>
      <family val="3"/>
      <charset val="129"/>
      <scheme val="minor"/>
    </font>
    <font>
      <sz val="11"/>
      <name val="Segoe UI Symbol"/>
      <family val="3"/>
    </font>
    <font>
      <sz val="9"/>
      <name val="함초롬돋움"/>
      <family val="3"/>
      <charset val="129"/>
    </font>
    <font>
      <sz val="11"/>
      <color theme="1"/>
      <name val="함초롬돋움"/>
      <family val="3"/>
      <charset val="129"/>
    </font>
    <font>
      <sz val="10"/>
      <name val="MS Gothic"/>
      <family val="3"/>
      <charset val="128"/>
    </font>
    <font>
      <sz val="9"/>
      <color theme="1"/>
      <name val="함초롬바탕"/>
      <family val="1"/>
      <charset val="129"/>
    </font>
    <font>
      <sz val="8"/>
      <name val="맑은 고딕"/>
      <family val="3"/>
      <charset val="129"/>
    </font>
    <font>
      <sz val="12"/>
      <color theme="1"/>
      <name val="Segoe UI Symbol"/>
      <family val="3"/>
    </font>
    <font>
      <sz val="9"/>
      <color theme="1"/>
      <name val="함초롬돋움"/>
      <family val="3"/>
      <charset val="129"/>
    </font>
    <font>
      <sz val="10"/>
      <color theme="5" tint="-0.249977111117893"/>
      <name val="한컴산뜻돋움"/>
      <family val="3"/>
      <charset val="129"/>
    </font>
  </fonts>
  <fills count="10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E7D8EC"/>
        <bgColor indexed="64"/>
      </patternFill>
    </fill>
    <fill>
      <patternFill patternType="solid">
        <fgColor rgb="FFFFDBAB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ck">
        <color rgb="FF0000FF"/>
      </left>
      <right style="thick">
        <color rgb="FF0000FF"/>
      </right>
      <top style="thick">
        <color rgb="FF0000FF"/>
      </top>
      <bottom style="thick">
        <color rgb="FF0000FF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/>
      <diagonal/>
    </border>
  </borders>
  <cellStyleXfs count="44">
    <xf numFmtId="0" fontId="0" fillId="0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4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24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24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  <xf numFmtId="0" fontId="1" fillId="2" borderId="0">
      <alignment vertical="center"/>
    </xf>
  </cellStyleXfs>
  <cellXfs count="667">
    <xf numFmtId="0" fontId="0" fillId="0" borderId="0" xfId="0">
      <alignment vertical="center"/>
    </xf>
    <xf numFmtId="0" fontId="1" fillId="2" borderId="0" xfId="1">
      <alignment vertical="center"/>
    </xf>
    <xf numFmtId="0" fontId="3" fillId="2" borderId="0" xfId="1" applyFont="1">
      <alignment vertical="center"/>
    </xf>
    <xf numFmtId="0" fontId="4" fillId="2" borderId="1" xfId="1" applyFont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5" fillId="2" borderId="0" xfId="1" applyFont="1" applyAlignment="1">
      <alignment horizontal="left" vertical="center"/>
    </xf>
    <xf numFmtId="0" fontId="7" fillId="2" borderId="0" xfId="1" applyFont="1" applyAlignment="1">
      <alignment horizontal="center" vertical="center"/>
    </xf>
    <xf numFmtId="0" fontId="7" fillId="2" borderId="2" xfId="1" applyFont="1" applyBorder="1" applyAlignment="1">
      <alignment horizontal="center" vertical="center"/>
    </xf>
    <xf numFmtId="0" fontId="8" fillId="7" borderId="3" xfId="1" applyFont="1" applyFill="1" applyBorder="1" applyAlignment="1">
      <alignment horizontal="center" vertical="center"/>
    </xf>
    <xf numFmtId="0" fontId="8" fillId="7" borderId="4" xfId="1" applyFont="1" applyFill="1" applyBorder="1" applyAlignment="1">
      <alignment horizontal="center" vertical="center"/>
    </xf>
    <xf numFmtId="0" fontId="8" fillId="7" borderId="5" xfId="1" applyFont="1" applyFill="1" applyBorder="1" applyAlignment="1">
      <alignment horizontal="center" vertical="center"/>
    </xf>
    <xf numFmtId="0" fontId="4" fillId="8" borderId="6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4" fillId="8" borderId="7" xfId="1" applyFont="1" applyFill="1" applyBorder="1" applyAlignment="1">
      <alignment horizontal="center" vertical="center"/>
    </xf>
    <xf numFmtId="0" fontId="4" fillId="8" borderId="8" xfId="1" applyFont="1" applyFill="1" applyBorder="1" applyAlignment="1">
      <alignment horizontal="center" vertical="center"/>
    </xf>
    <xf numFmtId="0" fontId="4" fillId="6" borderId="7" xfId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9" fillId="2" borderId="7" xfId="1" applyFont="1" applyBorder="1" applyAlignment="1">
      <alignment horizontal="center" vertical="center"/>
    </xf>
    <xf numFmtId="0" fontId="9" fillId="2" borderId="10" xfId="1" applyFont="1" applyBorder="1" applyAlignment="1">
      <alignment horizontal="center" vertical="center"/>
    </xf>
    <xf numFmtId="176" fontId="9" fillId="2" borderId="7" xfId="1" applyNumberFormat="1" applyFont="1" applyBorder="1" applyAlignment="1">
      <alignment horizontal="center" vertical="center"/>
    </xf>
    <xf numFmtId="0" fontId="9" fillId="2" borderId="11" xfId="1" applyFont="1" applyBorder="1" applyAlignment="1">
      <alignment horizontal="left" vertical="center" wrapText="1"/>
    </xf>
    <xf numFmtId="0" fontId="9" fillId="2" borderId="12" xfId="1" applyFont="1" applyBorder="1" applyAlignment="1">
      <alignment horizontal="left" vertical="center" wrapText="1"/>
    </xf>
    <xf numFmtId="0" fontId="9" fillId="2" borderId="13" xfId="1" applyFont="1" applyBorder="1" applyAlignment="1">
      <alignment horizontal="left" vertical="center" wrapText="1"/>
    </xf>
    <xf numFmtId="0" fontId="4" fillId="4" borderId="14" xfId="1" applyFont="1" applyFill="1" applyBorder="1" applyAlignment="1">
      <alignment horizontal="center" vertical="center"/>
    </xf>
    <xf numFmtId="0" fontId="9" fillId="2" borderId="15" xfId="2" applyFont="1" applyBorder="1" applyAlignment="1">
      <alignment horizontal="center" vertical="center" wrapText="1" shrinkToFit="1"/>
    </xf>
    <xf numFmtId="0" fontId="10" fillId="2" borderId="7" xfId="1" applyFont="1" applyBorder="1" applyAlignment="1">
      <alignment horizontal="center" vertical="center" shrinkToFit="1"/>
    </xf>
    <xf numFmtId="0" fontId="9" fillId="2" borderId="11" xfId="2" applyFont="1" applyBorder="1" applyAlignment="1">
      <alignment horizontal="center" vertical="center" wrapText="1"/>
    </xf>
    <xf numFmtId="0" fontId="9" fillId="2" borderId="12" xfId="2" applyFont="1" applyBorder="1" applyAlignment="1">
      <alignment horizontal="center" vertical="center" wrapText="1"/>
    </xf>
    <xf numFmtId="0" fontId="9" fillId="2" borderId="13" xfId="2" applyFont="1" applyBorder="1" applyAlignment="1">
      <alignment horizontal="center" vertical="center" wrapText="1"/>
    </xf>
    <xf numFmtId="0" fontId="11" fillId="5" borderId="6" xfId="1" applyFont="1" applyFill="1" applyBorder="1" applyAlignment="1">
      <alignment horizontal="center" vertical="center"/>
    </xf>
    <xf numFmtId="0" fontId="9" fillId="2" borderId="7" xfId="1" applyFont="1" applyBorder="1" applyAlignment="1">
      <alignment horizontal="center" vertical="center" shrinkToFit="1"/>
    </xf>
    <xf numFmtId="177" fontId="9" fillId="2" borderId="7" xfId="1" applyNumberFormat="1" applyFont="1" applyBorder="1" applyAlignment="1">
      <alignment horizontal="center" vertical="center"/>
    </xf>
    <xf numFmtId="0" fontId="9" fillId="2" borderId="15" xfId="1" applyFont="1" applyBorder="1" applyAlignment="1">
      <alignment horizontal="left" vertical="center" wrapText="1"/>
    </xf>
    <xf numFmtId="0" fontId="9" fillId="2" borderId="10" xfId="2" applyFont="1" applyBorder="1" applyAlignment="1">
      <alignment horizontal="center" vertical="center" wrapText="1" shrinkToFit="1"/>
    </xf>
    <xf numFmtId="0" fontId="9" fillId="2" borderId="7" xfId="2" applyFont="1" applyBorder="1" applyAlignment="1">
      <alignment horizontal="center" vertical="center" shrinkToFit="1"/>
    </xf>
    <xf numFmtId="0" fontId="9" fillId="2" borderId="16" xfId="3" applyFont="1" applyBorder="1" applyAlignment="1">
      <alignment horizontal="left" vertical="center" wrapText="1"/>
    </xf>
    <xf numFmtId="0" fontId="9" fillId="2" borderId="17" xfId="3" applyFont="1" applyBorder="1" applyAlignment="1">
      <alignment horizontal="left" vertical="center" wrapText="1"/>
    </xf>
    <xf numFmtId="0" fontId="9" fillId="2" borderId="18" xfId="3" applyFont="1" applyBorder="1" applyAlignment="1">
      <alignment horizontal="left" vertical="center" wrapText="1"/>
    </xf>
    <xf numFmtId="0" fontId="9" fillId="2" borderId="19" xfId="2" applyFont="1" applyBorder="1" applyAlignment="1">
      <alignment horizontal="center" vertical="center" shrinkToFit="1"/>
    </xf>
    <xf numFmtId="0" fontId="9" fillId="2" borderId="20" xfId="3" applyFont="1" applyBorder="1" applyAlignment="1">
      <alignment horizontal="left" vertical="center" wrapText="1"/>
    </xf>
    <xf numFmtId="0" fontId="9" fillId="2" borderId="0" xfId="3" applyFont="1" applyAlignment="1">
      <alignment horizontal="left" vertical="center" wrapText="1"/>
    </xf>
    <xf numFmtId="0" fontId="9" fillId="2" borderId="21" xfId="3" applyFont="1" applyBorder="1" applyAlignment="1">
      <alignment horizontal="left" vertical="center" wrapText="1"/>
    </xf>
    <xf numFmtId="178" fontId="9" fillId="2" borderId="7" xfId="1" applyNumberFormat="1" applyFont="1" applyBorder="1" applyAlignment="1">
      <alignment horizontal="center" vertical="center"/>
    </xf>
    <xf numFmtId="0" fontId="9" fillId="2" borderId="15" xfId="2" applyFont="1" applyBorder="1" applyAlignment="1">
      <alignment horizontal="center" vertical="center" shrinkToFit="1"/>
    </xf>
    <xf numFmtId="0" fontId="9" fillId="2" borderId="22" xfId="3" applyFont="1" applyBorder="1" applyAlignment="1">
      <alignment horizontal="left" vertical="center" wrapText="1"/>
    </xf>
    <xf numFmtId="0" fontId="9" fillId="2" borderId="23" xfId="3" applyFont="1" applyBorder="1" applyAlignment="1">
      <alignment horizontal="left" vertical="center" wrapText="1"/>
    </xf>
    <xf numFmtId="0" fontId="9" fillId="2" borderId="24" xfId="3" applyFont="1" applyBorder="1" applyAlignment="1">
      <alignment horizontal="left" vertical="center" wrapText="1"/>
    </xf>
    <xf numFmtId="0" fontId="12" fillId="2" borderId="10" xfId="1" applyFont="1" applyBorder="1" applyAlignment="1">
      <alignment horizontal="center" vertical="center" wrapText="1"/>
    </xf>
    <xf numFmtId="0" fontId="9" fillId="2" borderId="16" xfId="4" applyFont="1" applyBorder="1" applyAlignment="1">
      <alignment horizontal="left" vertical="center" wrapText="1"/>
    </xf>
    <xf numFmtId="0" fontId="9" fillId="2" borderId="17" xfId="4" applyFont="1" applyBorder="1" applyAlignment="1">
      <alignment horizontal="left" vertical="center" wrapText="1"/>
    </xf>
    <xf numFmtId="0" fontId="9" fillId="2" borderId="18" xfId="4" applyFont="1" applyBorder="1" applyAlignment="1">
      <alignment horizontal="left" vertical="center" wrapText="1"/>
    </xf>
    <xf numFmtId="0" fontId="12" fillId="2" borderId="19" xfId="1" applyFont="1" applyBorder="1" applyAlignment="1">
      <alignment horizontal="center" vertical="center" wrapText="1"/>
    </xf>
    <xf numFmtId="0" fontId="9" fillId="2" borderId="20" xfId="4" applyFont="1" applyBorder="1" applyAlignment="1">
      <alignment horizontal="left" vertical="center" wrapText="1"/>
    </xf>
    <xf numFmtId="0" fontId="9" fillId="2" borderId="0" xfId="4" applyFont="1" applyAlignment="1">
      <alignment horizontal="left" vertical="center" wrapText="1"/>
    </xf>
    <xf numFmtId="0" fontId="9" fillId="2" borderId="21" xfId="4" applyFont="1" applyBorder="1" applyAlignment="1">
      <alignment horizontal="left" vertical="center" wrapText="1"/>
    </xf>
    <xf numFmtId="179" fontId="9" fillId="2" borderId="7" xfId="1" applyNumberFormat="1" applyFont="1" applyBorder="1" applyAlignment="1">
      <alignment horizontal="center" vertical="center"/>
    </xf>
    <xf numFmtId="0" fontId="10" fillId="2" borderId="10" xfId="2" applyFont="1" applyBorder="1" applyAlignment="1">
      <alignment horizontal="center" vertical="center" wrapText="1" shrinkToFit="1"/>
    </xf>
    <xf numFmtId="0" fontId="9" fillId="2" borderId="16" xfId="2" applyFont="1" applyBorder="1" applyAlignment="1">
      <alignment horizontal="left" vertical="center" wrapText="1"/>
    </xf>
    <xf numFmtId="0" fontId="9" fillId="2" borderId="17" xfId="2" applyFont="1" applyBorder="1" applyAlignment="1">
      <alignment horizontal="left" vertical="center" wrapText="1"/>
    </xf>
    <xf numFmtId="0" fontId="9" fillId="2" borderId="18" xfId="2" applyFont="1" applyBorder="1" applyAlignment="1">
      <alignment horizontal="left" vertical="center" wrapText="1"/>
    </xf>
    <xf numFmtId="0" fontId="10" fillId="2" borderId="19" xfId="2" applyFont="1" applyBorder="1" applyAlignment="1">
      <alignment horizontal="center" vertical="center" wrapText="1" shrinkToFit="1"/>
    </xf>
    <xf numFmtId="180" fontId="9" fillId="2" borderId="7" xfId="1" applyNumberFormat="1" applyFont="1" applyBorder="1" applyAlignment="1">
      <alignment horizontal="center" vertical="center"/>
    </xf>
    <xf numFmtId="0" fontId="9" fillId="2" borderId="20" xfId="2" applyFont="1" applyBorder="1" applyAlignment="1">
      <alignment horizontal="left" vertical="center" wrapText="1"/>
    </xf>
    <xf numFmtId="0" fontId="9" fillId="2" borderId="0" xfId="2" applyFont="1" applyAlignment="1">
      <alignment horizontal="left" vertical="center" wrapText="1"/>
    </xf>
    <xf numFmtId="0" fontId="9" fillId="2" borderId="21" xfId="2" applyFont="1" applyBorder="1" applyAlignment="1">
      <alignment horizontal="left" vertical="center" wrapText="1"/>
    </xf>
    <xf numFmtId="0" fontId="9" fillId="2" borderId="22" xfId="2" applyFont="1" applyBorder="1" applyAlignment="1">
      <alignment horizontal="left" vertical="center" wrapText="1"/>
    </xf>
    <xf numFmtId="0" fontId="9" fillId="2" borderId="23" xfId="2" applyFont="1" applyBorder="1" applyAlignment="1">
      <alignment horizontal="left" vertical="center" wrapText="1"/>
    </xf>
    <xf numFmtId="0" fontId="9" fillId="2" borderId="24" xfId="2" applyFont="1" applyBorder="1" applyAlignment="1">
      <alignment horizontal="left" vertical="center" wrapText="1"/>
    </xf>
    <xf numFmtId="0" fontId="9" fillId="2" borderId="10" xfId="2" applyFont="1" applyBorder="1" applyAlignment="1">
      <alignment horizontal="center" vertical="center" shrinkToFit="1"/>
    </xf>
    <xf numFmtId="0" fontId="9" fillId="2" borderId="11" xfId="2" applyFont="1" applyBorder="1" applyAlignment="1">
      <alignment horizontal="left" vertical="center" wrapText="1"/>
    </xf>
    <xf numFmtId="0" fontId="9" fillId="2" borderId="12" xfId="2" applyFont="1" applyBorder="1" applyAlignment="1">
      <alignment horizontal="left" vertical="center" wrapText="1"/>
    </xf>
    <xf numFmtId="0" fontId="9" fillId="2" borderId="13" xfId="2" applyFont="1" applyBorder="1" applyAlignment="1">
      <alignment horizontal="left" vertical="center" wrapText="1"/>
    </xf>
    <xf numFmtId="0" fontId="11" fillId="3" borderId="25" xfId="1" applyFont="1" applyFill="1" applyBorder="1" applyAlignment="1">
      <alignment horizontal="center" vertical="center" shrinkToFit="1"/>
    </xf>
    <xf numFmtId="1" fontId="9" fillId="2" borderId="7" xfId="1" applyNumberFormat="1" applyFont="1" applyBorder="1" applyAlignment="1">
      <alignment horizontal="center" vertical="center"/>
    </xf>
    <xf numFmtId="0" fontId="9" fillId="2" borderId="16" xfId="5" applyFont="1" applyBorder="1" applyAlignment="1">
      <alignment horizontal="left" vertical="center" wrapText="1"/>
    </xf>
    <xf numFmtId="0" fontId="9" fillId="2" borderId="17" xfId="5" applyFont="1" applyBorder="1" applyAlignment="1">
      <alignment horizontal="left" vertical="center" wrapText="1"/>
    </xf>
    <xf numFmtId="0" fontId="9" fillId="2" borderId="18" xfId="5" applyFont="1" applyBorder="1" applyAlignment="1">
      <alignment horizontal="left" vertical="center" wrapText="1"/>
    </xf>
    <xf numFmtId="0" fontId="11" fillId="3" borderId="26" xfId="1" applyFont="1" applyFill="1" applyBorder="1" applyAlignment="1">
      <alignment horizontal="center" vertical="center" shrinkToFit="1"/>
    </xf>
    <xf numFmtId="0" fontId="9" fillId="2" borderId="19" xfId="2" applyFont="1" applyBorder="1" applyAlignment="1">
      <alignment horizontal="center" vertical="center" wrapText="1" shrinkToFit="1"/>
    </xf>
    <xf numFmtId="0" fontId="9" fillId="2" borderId="20" xfId="5" applyFont="1" applyBorder="1" applyAlignment="1">
      <alignment horizontal="left" vertical="center" wrapText="1"/>
    </xf>
    <xf numFmtId="0" fontId="9" fillId="2" borderId="0" xfId="5" applyFont="1" applyAlignment="1">
      <alignment horizontal="left" vertical="center" wrapText="1"/>
    </xf>
    <xf numFmtId="0" fontId="9" fillId="2" borderId="21" xfId="5" applyFont="1" applyBorder="1" applyAlignment="1">
      <alignment horizontal="left" vertical="center" wrapText="1"/>
    </xf>
    <xf numFmtId="0" fontId="11" fillId="3" borderId="27" xfId="1" applyFont="1" applyFill="1" applyBorder="1" applyAlignment="1">
      <alignment horizontal="center" vertical="center" shrinkToFit="1"/>
    </xf>
    <xf numFmtId="0" fontId="9" fillId="2" borderId="28" xfId="2" applyFont="1" applyBorder="1" applyAlignment="1">
      <alignment horizontal="center" vertical="center" wrapText="1" shrinkToFit="1"/>
    </xf>
    <xf numFmtId="0" fontId="9" fillId="2" borderId="29" xfId="1" applyFont="1" applyBorder="1" applyAlignment="1">
      <alignment horizontal="center" vertical="center" shrinkToFit="1"/>
    </xf>
    <xf numFmtId="180" fontId="9" fillId="2" borderId="29" xfId="1" applyNumberFormat="1" applyFont="1" applyBorder="1" applyAlignment="1">
      <alignment horizontal="center" vertical="center"/>
    </xf>
    <xf numFmtId="0" fontId="9" fillId="2" borderId="29" xfId="1" applyFont="1" applyBorder="1" applyAlignment="1">
      <alignment horizontal="center" vertical="center"/>
    </xf>
    <xf numFmtId="0" fontId="9" fillId="2" borderId="30" xfId="5" applyFont="1" applyBorder="1" applyAlignment="1">
      <alignment horizontal="left" vertical="center" wrapText="1"/>
    </xf>
    <xf numFmtId="0" fontId="9" fillId="2" borderId="2" xfId="5" applyFont="1" applyBorder="1" applyAlignment="1">
      <alignment horizontal="left" vertical="center" wrapText="1"/>
    </xf>
    <xf numFmtId="0" fontId="9" fillId="2" borderId="31" xfId="5" applyFont="1" applyBorder="1" applyAlignment="1">
      <alignment horizontal="left" vertical="center" wrapText="1"/>
    </xf>
    <xf numFmtId="0" fontId="15" fillId="2" borderId="0" xfId="6" applyFont="1">
      <alignment vertical="center"/>
    </xf>
    <xf numFmtId="0" fontId="11" fillId="2" borderId="0" xfId="1" applyFont="1" applyAlignment="1">
      <alignment horizontal="center" vertical="center" shrinkToFit="1"/>
    </xf>
    <xf numFmtId="0" fontId="9" fillId="2" borderId="0" xfId="1" applyFont="1" applyAlignment="1">
      <alignment horizontal="center" vertical="center" shrinkToFit="1"/>
    </xf>
    <xf numFmtId="0" fontId="9" fillId="2" borderId="0" xfId="1" applyFont="1" applyAlignment="1">
      <alignment horizontal="center" vertical="center"/>
    </xf>
    <xf numFmtId="0" fontId="9" fillId="2" borderId="0" xfId="2" applyFont="1" applyAlignment="1">
      <alignment horizontal="center" vertical="center" wrapText="1"/>
    </xf>
    <xf numFmtId="0" fontId="4" fillId="4" borderId="32" xfId="1" applyFont="1" applyFill="1" applyBorder="1" applyAlignment="1">
      <alignment horizontal="center" vertical="center"/>
    </xf>
    <xf numFmtId="0" fontId="9" fillId="2" borderId="15" xfId="1" applyFont="1" applyBorder="1" applyAlignment="1">
      <alignment horizontal="center" vertical="center"/>
    </xf>
    <xf numFmtId="0" fontId="9" fillId="2" borderId="11" xfId="7" applyFont="1" applyBorder="1" applyAlignment="1">
      <alignment horizontal="left" vertical="center" wrapText="1"/>
    </xf>
    <xf numFmtId="0" fontId="9" fillId="2" borderId="12" xfId="7" applyFont="1" applyBorder="1" applyAlignment="1">
      <alignment horizontal="left" vertical="center" wrapText="1"/>
    </xf>
    <xf numFmtId="0" fontId="9" fillId="2" borderId="13" xfId="7" applyFont="1" applyBorder="1" applyAlignment="1">
      <alignment horizontal="left" vertical="center" wrapText="1"/>
    </xf>
    <xf numFmtId="0" fontId="9" fillId="2" borderId="11" xfId="1" applyFont="1" applyBorder="1" applyAlignment="1">
      <alignment horizontal="center" vertical="center"/>
    </xf>
    <xf numFmtId="0" fontId="9" fillId="2" borderId="12" xfId="1" applyFont="1" applyBorder="1" applyAlignment="1">
      <alignment horizontal="center" vertical="center"/>
    </xf>
    <xf numFmtId="0" fontId="9" fillId="2" borderId="13" xfId="1" applyFont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9" fillId="2" borderId="19" xfId="1" applyFont="1" applyBorder="1" applyAlignment="1">
      <alignment horizontal="center" vertical="center" shrinkToFit="1"/>
    </xf>
    <xf numFmtId="0" fontId="9" fillId="2" borderId="16" xfId="1" applyFont="1" applyBorder="1" applyAlignment="1">
      <alignment horizontal="left" vertical="center" wrapText="1"/>
    </xf>
    <xf numFmtId="0" fontId="9" fillId="2" borderId="17" xfId="1" applyFont="1" applyBorder="1" applyAlignment="1">
      <alignment horizontal="left" vertical="center" wrapText="1"/>
    </xf>
    <xf numFmtId="0" fontId="9" fillId="2" borderId="18" xfId="1" applyFont="1" applyBorder="1" applyAlignment="1">
      <alignment horizontal="left" vertical="center" wrapText="1"/>
    </xf>
    <xf numFmtId="0" fontId="11" fillId="5" borderId="32" xfId="1" applyFont="1" applyFill="1" applyBorder="1" applyAlignment="1">
      <alignment horizontal="center" vertical="center"/>
    </xf>
    <xf numFmtId="0" fontId="9" fillId="2" borderId="15" xfId="1" applyFont="1" applyBorder="1" applyAlignment="1">
      <alignment horizontal="center" vertical="center" shrinkToFit="1"/>
    </xf>
    <xf numFmtId="0" fontId="9" fillId="2" borderId="22" xfId="1" applyFont="1" applyBorder="1" applyAlignment="1">
      <alignment horizontal="left" vertical="center" wrapText="1"/>
    </xf>
    <xf numFmtId="0" fontId="9" fillId="2" borderId="23" xfId="1" applyFont="1" applyBorder="1" applyAlignment="1">
      <alignment horizontal="left" vertical="center" wrapText="1"/>
    </xf>
    <xf numFmtId="0" fontId="9" fillId="2" borderId="24" xfId="1" applyFont="1" applyBorder="1" applyAlignment="1">
      <alignment horizontal="left" vertical="center" wrapText="1"/>
    </xf>
    <xf numFmtId="0" fontId="9" fillId="2" borderId="10" xfId="2" applyFont="1" applyBorder="1" applyAlignment="1">
      <alignment horizontal="center" vertical="center" shrinkToFit="1"/>
    </xf>
    <xf numFmtId="0" fontId="9" fillId="2" borderId="16" xfId="8" applyFont="1" applyBorder="1" applyAlignment="1">
      <alignment horizontal="left" vertical="center" wrapText="1"/>
    </xf>
    <xf numFmtId="0" fontId="9" fillId="2" borderId="17" xfId="8" applyFont="1" applyBorder="1" applyAlignment="1">
      <alignment horizontal="left" vertical="center" wrapText="1"/>
    </xf>
    <xf numFmtId="0" fontId="9" fillId="2" borderId="18" xfId="8" applyFont="1" applyBorder="1" applyAlignment="1">
      <alignment horizontal="left" vertical="center" wrapText="1"/>
    </xf>
    <xf numFmtId="0" fontId="9" fillId="2" borderId="20" xfId="8" applyFont="1" applyBorder="1" applyAlignment="1">
      <alignment horizontal="left" vertical="center" wrapText="1"/>
    </xf>
    <xf numFmtId="0" fontId="9" fillId="2" borderId="0" xfId="8" applyFont="1" applyAlignment="1">
      <alignment horizontal="left" vertical="center" wrapText="1"/>
    </xf>
    <xf numFmtId="0" fontId="9" fillId="2" borderId="21" xfId="8" applyFont="1" applyBorder="1" applyAlignment="1">
      <alignment horizontal="left" vertical="center" wrapText="1"/>
    </xf>
    <xf numFmtId="0" fontId="9" fillId="2" borderId="20" xfId="1" applyFont="1" applyBorder="1" applyAlignment="1">
      <alignment horizontal="left" vertical="center" wrapText="1"/>
    </xf>
    <xf numFmtId="0" fontId="9" fillId="2" borderId="0" xfId="1" applyFont="1" applyAlignment="1">
      <alignment horizontal="left" vertical="center" wrapText="1"/>
    </xf>
    <xf numFmtId="0" fontId="9" fillId="2" borderId="21" xfId="1" applyFont="1" applyBorder="1" applyAlignment="1">
      <alignment horizontal="left" vertical="center" wrapText="1"/>
    </xf>
    <xf numFmtId="0" fontId="9" fillId="2" borderId="15" xfId="2" applyFont="1" applyBorder="1" applyAlignment="1">
      <alignment horizontal="center" vertical="center" wrapText="1" shrinkToFit="1"/>
    </xf>
    <xf numFmtId="0" fontId="9" fillId="2" borderId="7" xfId="1" applyFont="1" applyBorder="1" applyAlignment="1">
      <alignment horizontal="left" vertical="center" wrapText="1"/>
    </xf>
    <xf numFmtId="0" fontId="9" fillId="2" borderId="8" xfId="1" applyFont="1" applyBorder="1" applyAlignment="1">
      <alignment horizontal="left" vertical="center" wrapText="1"/>
    </xf>
    <xf numFmtId="0" fontId="12" fillId="2" borderId="0" xfId="1" applyFont="1" applyAlignment="1">
      <alignment horizontal="center" vertical="center"/>
    </xf>
    <xf numFmtId="0" fontId="11" fillId="3" borderId="9" xfId="1" applyFont="1" applyFill="1" applyBorder="1" applyAlignment="1">
      <alignment horizontal="center" vertical="center" shrinkToFit="1"/>
    </xf>
    <xf numFmtId="178" fontId="10" fillId="2" borderId="7" xfId="1" applyNumberFormat="1" applyFont="1" applyBorder="1" applyAlignment="1">
      <alignment horizontal="center" vertical="center"/>
    </xf>
    <xf numFmtId="0" fontId="10" fillId="2" borderId="7" xfId="1" applyFont="1" applyBorder="1" applyAlignment="1">
      <alignment horizontal="left" vertical="center" wrapText="1"/>
    </xf>
    <xf numFmtId="0" fontId="17" fillId="2" borderId="7" xfId="1" applyFont="1" applyBorder="1" applyAlignment="1">
      <alignment horizontal="left" vertical="center" wrapText="1"/>
    </xf>
    <xf numFmtId="0" fontId="17" fillId="2" borderId="8" xfId="1" applyFont="1" applyBorder="1" applyAlignment="1">
      <alignment horizontal="left" vertical="center" wrapText="1"/>
    </xf>
    <xf numFmtId="0" fontId="11" fillId="3" borderId="32" xfId="1" applyFont="1" applyFill="1" applyBorder="1" applyAlignment="1">
      <alignment horizontal="center" vertical="center" shrinkToFit="1"/>
    </xf>
    <xf numFmtId="177" fontId="10" fillId="2" borderId="7" xfId="1" applyNumberFormat="1" applyFont="1" applyBorder="1" applyAlignment="1">
      <alignment horizontal="center" vertical="center"/>
    </xf>
    <xf numFmtId="0" fontId="11" fillId="3" borderId="33" xfId="1" applyFont="1" applyFill="1" applyBorder="1" applyAlignment="1">
      <alignment horizontal="center" vertical="center" shrinkToFit="1"/>
    </xf>
    <xf numFmtId="179" fontId="9" fillId="2" borderId="29" xfId="1" applyNumberFormat="1" applyFont="1" applyBorder="1" applyAlignment="1">
      <alignment horizontal="center" vertical="center"/>
    </xf>
    <xf numFmtId="0" fontId="17" fillId="2" borderId="29" xfId="1" applyFont="1" applyBorder="1" applyAlignment="1">
      <alignment horizontal="left" vertical="center" wrapText="1"/>
    </xf>
    <xf numFmtId="0" fontId="17" fillId="2" borderId="34" xfId="1" applyFont="1" applyBorder="1" applyAlignment="1">
      <alignment horizontal="left" vertical="center" wrapText="1"/>
    </xf>
    <xf numFmtId="0" fontId="15" fillId="2" borderId="35" xfId="6" applyFont="1" applyBorder="1">
      <alignment vertical="center"/>
    </xf>
    <xf numFmtId="0" fontId="15" fillId="2" borderId="0" xfId="6" applyFo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9" fillId="2" borderId="36" xfId="1" applyFont="1" applyBorder="1" applyAlignment="1">
      <alignment horizontal="center" vertical="center"/>
    </xf>
    <xf numFmtId="0" fontId="9" fillId="2" borderId="11" xfId="9" applyFont="1" applyBorder="1" applyAlignment="1">
      <alignment horizontal="left" vertical="center"/>
    </xf>
    <xf numFmtId="0" fontId="9" fillId="2" borderId="12" xfId="9" applyFont="1" applyBorder="1" applyAlignment="1">
      <alignment horizontal="left" vertical="center"/>
    </xf>
    <xf numFmtId="0" fontId="9" fillId="2" borderId="13" xfId="9" applyFont="1" applyBorder="1" applyAlignment="1">
      <alignment horizontal="left" vertical="center"/>
    </xf>
    <xf numFmtId="0" fontId="10" fillId="2" borderId="10" xfId="1" applyFont="1" applyBorder="1" applyAlignment="1">
      <alignment horizontal="center" vertical="center" wrapText="1" shrinkToFit="1"/>
    </xf>
    <xf numFmtId="0" fontId="10" fillId="2" borderId="19" xfId="1" applyFont="1" applyBorder="1" applyAlignment="1">
      <alignment horizontal="center" vertical="center" shrinkToFit="1"/>
    </xf>
    <xf numFmtId="0" fontId="10" fillId="2" borderId="15" xfId="1" applyFont="1" applyBorder="1" applyAlignment="1">
      <alignment horizontal="center" vertical="center" shrinkToFit="1"/>
    </xf>
    <xf numFmtId="0" fontId="9" fillId="2" borderId="7" xfId="2" applyFont="1" applyBorder="1" applyAlignment="1">
      <alignment horizontal="center" vertical="center" wrapText="1" shrinkToFit="1"/>
    </xf>
    <xf numFmtId="0" fontId="9" fillId="2" borderId="7" xfId="3" applyFont="1" applyBorder="1" applyAlignment="1">
      <alignment horizontal="left" vertical="center" wrapText="1"/>
    </xf>
    <xf numFmtId="0" fontId="9" fillId="2" borderId="8" xfId="3" applyFont="1" applyBorder="1" applyAlignment="1">
      <alignment horizontal="left" vertical="center" wrapText="1"/>
    </xf>
    <xf numFmtId="0" fontId="9" fillId="2" borderId="16" xfId="10" applyFont="1" applyBorder="1" applyAlignment="1">
      <alignment horizontal="left" vertical="center" wrapText="1"/>
    </xf>
    <xf numFmtId="0" fontId="9" fillId="2" borderId="17" xfId="10" applyFont="1" applyBorder="1" applyAlignment="1">
      <alignment horizontal="left" vertical="center" wrapText="1"/>
    </xf>
    <xf numFmtId="0" fontId="9" fillId="2" borderId="18" xfId="10" applyFont="1" applyBorder="1" applyAlignment="1">
      <alignment horizontal="left" vertical="center" wrapText="1"/>
    </xf>
    <xf numFmtId="0" fontId="9" fillId="2" borderId="20" xfId="10" applyFont="1" applyBorder="1" applyAlignment="1">
      <alignment horizontal="left" vertical="center" wrapText="1"/>
    </xf>
    <xf numFmtId="0" fontId="9" fillId="2" borderId="0" xfId="10" applyFont="1" applyAlignment="1">
      <alignment horizontal="left" vertical="center" wrapText="1"/>
    </xf>
    <xf numFmtId="0" fontId="9" fillId="2" borderId="21" xfId="10" applyFont="1" applyBorder="1" applyAlignment="1">
      <alignment horizontal="left" vertical="center" wrapText="1"/>
    </xf>
    <xf numFmtId="0" fontId="9" fillId="2" borderId="22" xfId="10" applyFont="1" applyBorder="1" applyAlignment="1">
      <alignment horizontal="left" vertical="center" wrapText="1"/>
    </xf>
    <xf numFmtId="0" fontId="9" fillId="2" borderId="23" xfId="10" applyFont="1" applyBorder="1" applyAlignment="1">
      <alignment horizontal="left" vertical="center" wrapText="1"/>
    </xf>
    <xf numFmtId="0" fontId="9" fillId="2" borderId="24" xfId="10" applyFont="1" applyBorder="1" applyAlignment="1">
      <alignment horizontal="left" vertical="center" wrapText="1"/>
    </xf>
    <xf numFmtId="0" fontId="8" fillId="7" borderId="37" xfId="1" applyFont="1" applyFill="1" applyBorder="1" applyAlignment="1">
      <alignment horizontal="center" vertical="center"/>
    </xf>
    <xf numFmtId="0" fontId="8" fillId="7" borderId="38" xfId="1" applyFont="1" applyFill="1" applyBorder="1" applyAlignment="1">
      <alignment horizontal="center" vertical="center"/>
    </xf>
    <xf numFmtId="0" fontId="8" fillId="7" borderId="39" xfId="1" applyFont="1" applyFill="1" applyBorder="1" applyAlignment="1">
      <alignment horizontal="center" vertical="center"/>
    </xf>
    <xf numFmtId="0" fontId="4" fillId="8" borderId="11" xfId="1" applyFont="1" applyFill="1" applyBorder="1" applyAlignment="1">
      <alignment horizontal="center" vertical="center"/>
    </xf>
    <xf numFmtId="0" fontId="12" fillId="2" borderId="7" xfId="1" applyFont="1" applyBorder="1" applyAlignment="1">
      <alignment horizontal="center" vertical="center" wrapText="1"/>
    </xf>
    <xf numFmtId="0" fontId="9" fillId="2" borderId="7" xfId="2" applyFont="1" applyBorder="1" applyAlignment="1">
      <alignment horizontal="left" vertical="center" wrapText="1"/>
    </xf>
    <xf numFmtId="0" fontId="9" fillId="2" borderId="8" xfId="2" applyFont="1" applyBorder="1" applyAlignment="1">
      <alignment horizontal="left" vertical="center" wrapText="1"/>
    </xf>
    <xf numFmtId="0" fontId="12" fillId="2" borderId="7" xfId="1" applyFont="1" applyBorder="1" applyAlignment="1">
      <alignment horizontal="center" vertical="center"/>
    </xf>
    <xf numFmtId="0" fontId="9" fillId="2" borderId="15" xfId="1" applyFont="1" applyBorder="1" applyAlignment="1">
      <alignment horizontal="center" vertical="center" shrinkToFit="1"/>
    </xf>
    <xf numFmtId="177" fontId="9" fillId="2" borderId="15" xfId="1" applyNumberFormat="1" applyFont="1" applyBorder="1" applyAlignment="1">
      <alignment horizontal="center" vertical="center"/>
    </xf>
    <xf numFmtId="0" fontId="9" fillId="2" borderId="7" xfId="11" applyFont="1" applyBorder="1" applyAlignment="1">
      <alignment horizontal="center" vertical="center" shrinkToFit="1"/>
    </xf>
    <xf numFmtId="0" fontId="9" fillId="2" borderId="16" xfId="11" applyFont="1" applyBorder="1" applyAlignment="1">
      <alignment horizontal="left" vertical="center" wrapText="1"/>
    </xf>
    <xf numFmtId="0" fontId="9" fillId="2" borderId="17" xfId="11" applyFont="1" applyBorder="1" applyAlignment="1">
      <alignment horizontal="left" vertical="center" wrapText="1"/>
    </xf>
    <xf numFmtId="0" fontId="9" fillId="2" borderId="18" xfId="11" applyFont="1" applyBorder="1" applyAlignment="1">
      <alignment horizontal="left" vertical="center" wrapText="1"/>
    </xf>
    <xf numFmtId="0" fontId="9" fillId="2" borderId="20" xfId="11" applyFont="1" applyBorder="1" applyAlignment="1">
      <alignment horizontal="left" vertical="center" wrapText="1"/>
    </xf>
    <xf numFmtId="0" fontId="9" fillId="2" borderId="0" xfId="11" applyFont="1" applyAlignment="1">
      <alignment horizontal="left" vertical="center" wrapText="1"/>
    </xf>
    <xf numFmtId="0" fontId="9" fillId="2" borderId="21" xfId="11" applyFont="1" applyBorder="1" applyAlignment="1">
      <alignment horizontal="left" vertical="center" wrapText="1"/>
    </xf>
    <xf numFmtId="0" fontId="9" fillId="2" borderId="22" xfId="11" applyFont="1" applyBorder="1" applyAlignment="1">
      <alignment horizontal="left" vertical="center" wrapText="1"/>
    </xf>
    <xf numFmtId="0" fontId="9" fillId="2" borderId="23" xfId="11" applyFont="1" applyBorder="1" applyAlignment="1">
      <alignment horizontal="left" vertical="center" wrapText="1"/>
    </xf>
    <xf numFmtId="0" fontId="9" fillId="2" borderId="24" xfId="11" applyFont="1" applyBorder="1" applyAlignment="1">
      <alignment horizontal="left" vertical="center" wrapText="1"/>
    </xf>
    <xf numFmtId="0" fontId="9" fillId="2" borderId="7" xfId="7" applyFont="1" applyBorder="1" applyAlignment="1">
      <alignment horizontal="center" vertical="center" wrapText="1" shrinkToFit="1"/>
    </xf>
    <xf numFmtId="0" fontId="9" fillId="2" borderId="7" xfId="12" applyFont="1" applyBorder="1" applyAlignment="1">
      <alignment horizontal="left" vertical="center" wrapText="1"/>
    </xf>
    <xf numFmtId="0" fontId="9" fillId="2" borderId="8" xfId="12" applyFont="1" applyBorder="1" applyAlignment="1">
      <alignment horizontal="left" vertical="center" wrapText="1"/>
    </xf>
    <xf numFmtId="0" fontId="11" fillId="5" borderId="14" xfId="1" applyFont="1" applyFill="1" applyBorder="1" applyAlignment="1">
      <alignment horizontal="center" vertical="center"/>
    </xf>
    <xf numFmtId="0" fontId="9" fillId="2" borderId="19" xfId="2" applyFont="1" applyBorder="1" applyAlignment="1">
      <alignment horizontal="center" vertical="center" wrapText="1" shrinkToFit="1"/>
    </xf>
    <xf numFmtId="178" fontId="9" fillId="2" borderId="15" xfId="1" applyNumberFormat="1" applyFont="1" applyBorder="1" applyAlignment="1">
      <alignment horizontal="center" vertical="center"/>
    </xf>
    <xf numFmtId="0" fontId="9" fillId="2" borderId="19" xfId="1" applyFont="1" applyBorder="1" applyAlignment="1">
      <alignment horizontal="center" vertical="center"/>
    </xf>
    <xf numFmtId="0" fontId="9" fillId="2" borderId="11" xfId="11" applyFont="1" applyBorder="1" applyAlignment="1">
      <alignment horizontal="left" vertical="center" wrapText="1"/>
    </xf>
    <xf numFmtId="0" fontId="9" fillId="2" borderId="12" xfId="11" applyFont="1" applyBorder="1" applyAlignment="1">
      <alignment horizontal="left" vertical="center" wrapText="1"/>
    </xf>
    <xf numFmtId="0" fontId="9" fillId="2" borderId="13" xfId="11" applyFont="1" applyBorder="1" applyAlignment="1">
      <alignment horizontal="left" vertical="center" wrapText="1"/>
    </xf>
    <xf numFmtId="0" fontId="4" fillId="3" borderId="9" xfId="1" applyFont="1" applyFill="1" applyBorder="1" applyAlignment="1">
      <alignment horizontal="center" vertical="center"/>
    </xf>
    <xf numFmtId="0" fontId="9" fillId="2" borderId="7" xfId="2" applyFont="1" applyBorder="1" applyAlignment="1">
      <alignment horizontal="center" vertical="center" wrapText="1" shrinkToFit="1"/>
    </xf>
    <xf numFmtId="0" fontId="9" fillId="2" borderId="11" xfId="13" applyFont="1" applyBorder="1" applyAlignment="1">
      <alignment horizontal="left" vertical="center" wrapText="1"/>
    </xf>
    <xf numFmtId="0" fontId="9" fillId="2" borderId="12" xfId="13" applyFont="1" applyBorder="1" applyAlignment="1">
      <alignment horizontal="left" vertical="center" wrapText="1"/>
    </xf>
    <xf numFmtId="0" fontId="9" fillId="2" borderId="13" xfId="13" applyFont="1" applyBorder="1" applyAlignment="1">
      <alignment horizontal="left" vertical="center" wrapText="1"/>
    </xf>
    <xf numFmtId="0" fontId="4" fillId="3" borderId="33" xfId="1" applyFont="1" applyFill="1" applyBorder="1" applyAlignment="1">
      <alignment horizontal="center" vertical="center"/>
    </xf>
    <xf numFmtId="0" fontId="9" fillId="2" borderId="28" xfId="1" applyFont="1" applyBorder="1" applyAlignment="1">
      <alignment horizontal="center" vertical="center" shrinkToFit="1"/>
    </xf>
    <xf numFmtId="178" fontId="9" fillId="2" borderId="28" xfId="1" applyNumberFormat="1" applyFont="1" applyBorder="1" applyAlignment="1">
      <alignment horizontal="center" vertical="center"/>
    </xf>
    <xf numFmtId="0" fontId="9" fillId="2" borderId="30" xfId="2" applyFont="1" applyBorder="1" applyAlignment="1">
      <alignment horizontal="center" vertical="center" wrapText="1"/>
    </xf>
    <xf numFmtId="0" fontId="9" fillId="2" borderId="2" xfId="2" applyFont="1" applyBorder="1" applyAlignment="1">
      <alignment horizontal="center" vertical="center" wrapText="1"/>
    </xf>
    <xf numFmtId="0" fontId="9" fillId="2" borderId="31" xfId="2" applyFont="1" applyBorder="1" applyAlignment="1">
      <alignment horizontal="center" vertical="center" wrapText="1"/>
    </xf>
    <xf numFmtId="0" fontId="3" fillId="2" borderId="0" xfId="1" applyFont="1" applyAlignment="1">
      <alignment horizontal="center" vertical="center"/>
    </xf>
    <xf numFmtId="0" fontId="4" fillId="8" borderId="9" xfId="1" applyFont="1" applyFill="1" applyBorder="1" applyAlignment="1">
      <alignment horizontal="center" vertical="center"/>
    </xf>
    <xf numFmtId="0" fontId="4" fillId="8" borderId="10" xfId="1" applyFont="1" applyFill="1" applyBorder="1" applyAlignment="1">
      <alignment horizontal="center" vertical="center"/>
    </xf>
    <xf numFmtId="0" fontId="4" fillId="8" borderId="16" xfId="1" applyFont="1" applyFill="1" applyBorder="1" applyAlignment="1">
      <alignment horizontal="center" vertical="center"/>
    </xf>
    <xf numFmtId="0" fontId="4" fillId="8" borderId="17" xfId="1" applyFont="1" applyFill="1" applyBorder="1" applyAlignment="1">
      <alignment horizontal="center" vertical="center"/>
    </xf>
    <xf numFmtId="0" fontId="4" fillId="8" borderId="18" xfId="1" applyFont="1" applyFill="1" applyBorder="1" applyAlignment="1">
      <alignment horizontal="center" vertical="center"/>
    </xf>
    <xf numFmtId="0" fontId="4" fillId="8" borderId="14" xfId="1" applyFont="1" applyFill="1" applyBorder="1" applyAlignment="1">
      <alignment horizontal="center" vertical="center"/>
    </xf>
    <xf numFmtId="0" fontId="4" fillId="8" borderId="15" xfId="1" applyFont="1" applyFill="1" applyBorder="1" applyAlignment="1">
      <alignment horizontal="center" vertical="center"/>
    </xf>
    <xf numFmtId="0" fontId="4" fillId="6" borderId="10" xfId="1" applyFont="1" applyFill="1" applyBorder="1" applyAlignment="1">
      <alignment horizontal="center" vertical="center"/>
    </xf>
    <xf numFmtId="0" fontId="4" fillId="8" borderId="22" xfId="1" applyFont="1" applyFill="1" applyBorder="1" applyAlignment="1">
      <alignment horizontal="center" vertical="center"/>
    </xf>
    <xf numFmtId="0" fontId="4" fillId="8" borderId="23" xfId="1" applyFont="1" applyFill="1" applyBorder="1" applyAlignment="1">
      <alignment horizontal="center" vertical="center"/>
    </xf>
    <xf numFmtId="0" fontId="4" fillId="8" borderId="24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9" fillId="2" borderId="7" xfId="1" applyFont="1" applyBorder="1" applyAlignment="1">
      <alignment horizontal="center" vertical="center" wrapText="1"/>
    </xf>
    <xf numFmtId="0" fontId="9" fillId="2" borderId="11" xfId="10" applyFont="1" applyBorder="1" applyAlignment="1">
      <alignment horizontal="left" vertical="center"/>
    </xf>
    <xf numFmtId="0" fontId="9" fillId="2" borderId="12" xfId="10" applyFont="1" applyBorder="1" applyAlignment="1">
      <alignment horizontal="left" vertical="center"/>
    </xf>
    <xf numFmtId="0" fontId="9" fillId="2" borderId="13" xfId="10" applyFont="1" applyBorder="1" applyAlignment="1">
      <alignment horizontal="left" vertical="center"/>
    </xf>
    <xf numFmtId="0" fontId="9" fillId="2" borderId="40" xfId="1" applyFont="1" applyBorder="1" applyAlignment="1">
      <alignment horizontal="left" vertical="center" wrapText="1"/>
    </xf>
    <xf numFmtId="0" fontId="9" fillId="2" borderId="7" xfId="1" applyFont="1" applyBorder="1" applyAlignment="1">
      <alignment horizontal="center" vertical="center" shrinkToFit="1"/>
    </xf>
    <xf numFmtId="0" fontId="9" fillId="2" borderId="16" xfId="7" applyFont="1" applyBorder="1" applyAlignment="1">
      <alignment horizontal="left" vertical="center" wrapText="1"/>
    </xf>
    <xf numFmtId="0" fontId="9" fillId="2" borderId="17" xfId="7" applyFont="1" applyBorder="1" applyAlignment="1">
      <alignment horizontal="left" vertical="center" wrapText="1"/>
    </xf>
    <xf numFmtId="0" fontId="9" fillId="2" borderId="18" xfId="7" applyFont="1" applyBorder="1" applyAlignment="1">
      <alignment horizontal="left" vertical="center" wrapText="1"/>
    </xf>
    <xf numFmtId="0" fontId="9" fillId="2" borderId="20" xfId="7" applyFont="1" applyBorder="1" applyAlignment="1">
      <alignment horizontal="left" vertical="center" wrapText="1"/>
    </xf>
    <xf numFmtId="0" fontId="9" fillId="2" borderId="0" xfId="7" applyFont="1" applyAlignment="1">
      <alignment horizontal="left" vertical="center" wrapText="1"/>
    </xf>
    <xf numFmtId="0" fontId="9" fillId="2" borderId="21" xfId="7" applyFont="1" applyBorder="1" applyAlignment="1">
      <alignment horizontal="left" vertical="center" wrapText="1"/>
    </xf>
    <xf numFmtId="0" fontId="9" fillId="2" borderId="16" xfId="14" applyFont="1" applyBorder="1" applyAlignment="1">
      <alignment horizontal="left" vertical="center" wrapText="1"/>
    </xf>
    <xf numFmtId="0" fontId="9" fillId="2" borderId="17" xfId="14" applyFont="1" applyBorder="1" applyAlignment="1">
      <alignment horizontal="left" vertical="center" wrapText="1"/>
    </xf>
    <xf numFmtId="0" fontId="9" fillId="2" borderId="18" xfId="14" applyFont="1" applyBorder="1" applyAlignment="1">
      <alignment horizontal="left" vertical="center" wrapText="1"/>
    </xf>
    <xf numFmtId="0" fontId="9" fillId="2" borderId="20" xfId="14" applyFont="1" applyBorder="1" applyAlignment="1">
      <alignment horizontal="left" vertical="center" wrapText="1"/>
    </xf>
    <xf numFmtId="0" fontId="9" fillId="2" borderId="0" xfId="14" applyFont="1" applyAlignment="1">
      <alignment horizontal="left" vertical="center" wrapText="1"/>
    </xf>
    <xf numFmtId="0" fontId="9" fillId="2" borderId="21" xfId="14" applyFont="1" applyBorder="1" applyAlignment="1">
      <alignment horizontal="left" vertical="center" wrapText="1"/>
    </xf>
    <xf numFmtId="0" fontId="9" fillId="2" borderId="16" xfId="15" applyFont="1" applyBorder="1" applyAlignment="1">
      <alignment horizontal="left" vertical="center" wrapText="1"/>
    </xf>
    <xf numFmtId="0" fontId="9" fillId="2" borderId="17" xfId="15" applyFont="1" applyBorder="1" applyAlignment="1">
      <alignment horizontal="left" vertical="center" wrapText="1"/>
    </xf>
    <xf numFmtId="0" fontId="9" fillId="2" borderId="18" xfId="15" applyFont="1" applyBorder="1" applyAlignment="1">
      <alignment horizontal="left" vertical="center" wrapText="1"/>
    </xf>
    <xf numFmtId="0" fontId="10" fillId="2" borderId="19" xfId="2" applyFont="1" applyBorder="1" applyAlignment="1">
      <alignment horizontal="center" vertical="center" shrinkToFit="1"/>
    </xf>
    <xf numFmtId="0" fontId="9" fillId="2" borderId="20" xfId="15" applyFont="1" applyBorder="1" applyAlignment="1">
      <alignment horizontal="left" vertical="center" wrapText="1"/>
    </xf>
    <xf numFmtId="0" fontId="9" fillId="2" borderId="0" xfId="15" applyFont="1" applyAlignment="1">
      <alignment horizontal="left" vertical="center" wrapText="1"/>
    </xf>
    <xf numFmtId="0" fontId="9" fillId="2" borderId="21" xfId="15" applyFont="1" applyBorder="1" applyAlignment="1">
      <alignment horizontal="left" vertical="center" wrapText="1"/>
    </xf>
    <xf numFmtId="0" fontId="9" fillId="2" borderId="7" xfId="14" applyFont="1" applyBorder="1" applyAlignment="1">
      <alignment horizontal="left" vertical="center" wrapText="1"/>
    </xf>
    <xf numFmtId="0" fontId="9" fillId="2" borderId="8" xfId="14" applyFont="1" applyBorder="1" applyAlignment="1">
      <alignment horizontal="left" vertical="center" wrapText="1"/>
    </xf>
    <xf numFmtId="0" fontId="9" fillId="2" borderId="29" xfId="2" applyFont="1" applyBorder="1" applyAlignment="1">
      <alignment horizontal="center" vertical="center" wrapText="1" shrinkToFit="1"/>
    </xf>
    <xf numFmtId="0" fontId="9" fillId="2" borderId="28" xfId="1" applyFont="1" applyBorder="1" applyAlignment="1">
      <alignment horizontal="center" vertical="center"/>
    </xf>
    <xf numFmtId="0" fontId="9" fillId="2" borderId="16" xfId="1" applyFont="1" applyBorder="1" applyAlignment="1">
      <alignment horizontal="center" vertical="center"/>
    </xf>
    <xf numFmtId="0" fontId="9" fillId="2" borderId="17" xfId="1" applyFont="1" applyBorder="1" applyAlignment="1">
      <alignment horizontal="center" vertical="center"/>
    </xf>
    <xf numFmtId="0" fontId="9" fillId="2" borderId="18" xfId="1" applyFont="1" applyBorder="1" applyAlignment="1">
      <alignment horizontal="center" vertical="center"/>
    </xf>
    <xf numFmtId="0" fontId="10" fillId="2" borderId="10" xfId="1" applyFont="1" applyBorder="1" applyAlignment="1">
      <alignment horizontal="center" vertical="center" shrinkToFit="1"/>
    </xf>
    <xf numFmtId="0" fontId="9" fillId="2" borderId="16" xfId="16" applyFont="1" applyBorder="1" applyAlignment="1">
      <alignment horizontal="left" vertical="center" wrapText="1"/>
    </xf>
    <xf numFmtId="0" fontId="9" fillId="2" borderId="17" xfId="16" applyFont="1" applyBorder="1" applyAlignment="1">
      <alignment horizontal="left" vertical="center" wrapText="1"/>
    </xf>
    <xf numFmtId="0" fontId="9" fillId="2" borderId="18" xfId="16" applyFont="1" applyBorder="1" applyAlignment="1">
      <alignment horizontal="left" vertical="center" wrapText="1"/>
    </xf>
    <xf numFmtId="0" fontId="9" fillId="2" borderId="20" xfId="16" applyFont="1" applyBorder="1" applyAlignment="1">
      <alignment horizontal="left" vertical="center" wrapText="1"/>
    </xf>
    <xf numFmtId="0" fontId="9" fillId="2" borderId="0" xfId="16" applyFont="1" applyAlignment="1">
      <alignment horizontal="left" vertical="center" wrapText="1"/>
    </xf>
    <xf numFmtId="0" fontId="9" fillId="2" borderId="21" xfId="16" applyFont="1" applyBorder="1" applyAlignment="1">
      <alignment horizontal="left" vertical="center" wrapText="1"/>
    </xf>
    <xf numFmtId="0" fontId="9" fillId="2" borderId="7" xfId="2" applyFont="1" applyBorder="1" applyAlignment="1">
      <alignment horizontal="center" vertical="center" shrinkToFit="1"/>
    </xf>
    <xf numFmtId="0" fontId="9" fillId="2" borderId="7" xfId="17" applyFont="1" applyBorder="1" applyAlignment="1">
      <alignment horizontal="left" vertical="center" wrapText="1"/>
    </xf>
    <xf numFmtId="0" fontId="9" fillId="2" borderId="8" xfId="17" applyFont="1" applyBorder="1" applyAlignment="1">
      <alignment horizontal="left" vertical="center" wrapText="1"/>
    </xf>
    <xf numFmtId="0" fontId="11" fillId="5" borderId="41" xfId="1" applyFont="1" applyFill="1" applyBorder="1" applyAlignment="1">
      <alignment horizontal="center" vertical="center"/>
    </xf>
    <xf numFmtId="0" fontId="9" fillId="2" borderId="29" xfId="2" applyFont="1" applyBorder="1" applyAlignment="1">
      <alignment horizontal="center" vertical="center" shrinkToFit="1"/>
    </xf>
    <xf numFmtId="178" fontId="9" fillId="2" borderId="29" xfId="1" applyNumberFormat="1" applyFont="1" applyBorder="1" applyAlignment="1">
      <alignment horizontal="center" vertical="center"/>
    </xf>
    <xf numFmtId="0" fontId="9" fillId="2" borderId="42" xfId="11" applyFont="1" applyBorder="1" applyAlignment="1">
      <alignment horizontal="left" vertical="center" wrapText="1"/>
    </xf>
    <xf numFmtId="0" fontId="9" fillId="2" borderId="43" xfId="11" applyFont="1" applyBorder="1" applyAlignment="1">
      <alignment horizontal="left" vertical="center" wrapText="1"/>
    </xf>
    <xf numFmtId="0" fontId="9" fillId="2" borderId="44" xfId="11" applyFont="1" applyBorder="1" applyAlignment="1">
      <alignment horizontal="left" vertical="center" wrapText="1"/>
    </xf>
    <xf numFmtId="0" fontId="1" fillId="2" borderId="0" xfId="10">
      <alignment vertical="center"/>
    </xf>
    <xf numFmtId="0" fontId="3" fillId="2" borderId="0" xfId="10" applyFont="1">
      <alignment vertical="center"/>
    </xf>
    <xf numFmtId="0" fontId="4" fillId="2" borderId="1" xfId="10" applyFont="1" applyBorder="1" applyAlignment="1">
      <alignment horizontal="center" vertical="center"/>
    </xf>
    <xf numFmtId="0" fontId="3" fillId="6" borderId="1" xfId="10" applyFont="1" applyFill="1" applyBorder="1" applyAlignment="1">
      <alignment horizontal="center" vertical="center"/>
    </xf>
    <xf numFmtId="0" fontId="5" fillId="2" borderId="0" xfId="10" applyFont="1" applyAlignment="1">
      <alignment horizontal="left" vertical="center"/>
    </xf>
    <xf numFmtId="0" fontId="7" fillId="2" borderId="0" xfId="10" applyFont="1" applyAlignment="1">
      <alignment horizontal="center" vertical="center"/>
    </xf>
    <xf numFmtId="0" fontId="7" fillId="2" borderId="2" xfId="10" applyFont="1" applyBorder="1" applyAlignment="1">
      <alignment horizontal="center" vertical="center"/>
    </xf>
    <xf numFmtId="0" fontId="8" fillId="7" borderId="3" xfId="10" applyFont="1" applyFill="1" applyBorder="1" applyAlignment="1">
      <alignment horizontal="center" vertical="center"/>
    </xf>
    <xf numFmtId="0" fontId="8" fillId="7" borderId="4" xfId="10" applyFont="1" applyFill="1" applyBorder="1" applyAlignment="1">
      <alignment horizontal="center" vertical="center"/>
    </xf>
    <xf numFmtId="0" fontId="8" fillId="7" borderId="5" xfId="10" applyFont="1" applyFill="1" applyBorder="1" applyAlignment="1">
      <alignment horizontal="center" vertical="center"/>
    </xf>
    <xf numFmtId="0" fontId="4" fillId="8" borderId="6" xfId="10" applyFont="1" applyFill="1" applyBorder="1" applyAlignment="1">
      <alignment horizontal="center" vertical="center"/>
    </xf>
    <xf numFmtId="0" fontId="4" fillId="8" borderId="7" xfId="10" applyFont="1" applyFill="1" applyBorder="1" applyAlignment="1">
      <alignment horizontal="center" vertical="center"/>
    </xf>
    <xf numFmtId="0" fontId="4" fillId="8" borderId="7" xfId="10" applyFont="1" applyFill="1" applyBorder="1" applyAlignment="1">
      <alignment horizontal="center" vertical="center"/>
    </xf>
    <xf numFmtId="0" fontId="4" fillId="8" borderId="8" xfId="10" applyFont="1" applyFill="1" applyBorder="1" applyAlignment="1">
      <alignment horizontal="center" vertical="center"/>
    </xf>
    <xf numFmtId="0" fontId="4" fillId="6" borderId="7" xfId="10" applyFont="1" applyFill="1" applyBorder="1" applyAlignment="1">
      <alignment horizontal="center" vertical="center"/>
    </xf>
    <xf numFmtId="0" fontId="4" fillId="4" borderId="9" xfId="10" applyFont="1" applyFill="1" applyBorder="1" applyAlignment="1">
      <alignment horizontal="center" vertical="center"/>
    </xf>
    <xf numFmtId="0" fontId="9" fillId="2" borderId="7" xfId="10" applyFont="1" applyBorder="1" applyAlignment="1">
      <alignment horizontal="center" vertical="center"/>
    </xf>
    <xf numFmtId="179" fontId="9" fillId="2" borderId="7" xfId="10" applyNumberFormat="1" applyFont="1" applyBorder="1" applyAlignment="1">
      <alignment horizontal="center" vertical="center"/>
    </xf>
    <xf numFmtId="0" fontId="11" fillId="5" borderId="6" xfId="10" applyFont="1" applyFill="1" applyBorder="1" applyAlignment="1">
      <alignment horizontal="center" vertical="center"/>
    </xf>
    <xf numFmtId="0" fontId="9" fillId="2" borderId="7" xfId="10" applyFont="1" applyBorder="1" applyAlignment="1">
      <alignment horizontal="center" vertical="center" shrinkToFit="1"/>
    </xf>
    <xf numFmtId="177" fontId="9" fillId="2" borderId="7" xfId="10" applyNumberFormat="1" applyFont="1" applyBorder="1" applyAlignment="1">
      <alignment horizontal="center" vertical="center"/>
    </xf>
    <xf numFmtId="0" fontId="9" fillId="2" borderId="15" xfId="10" applyFont="1" applyBorder="1" applyAlignment="1">
      <alignment horizontal="left" vertical="center" wrapText="1"/>
    </xf>
    <xf numFmtId="0" fontId="9" fillId="2" borderId="12" xfId="10" applyFont="1" applyBorder="1" applyAlignment="1">
      <alignment horizontal="left" vertical="center" wrapText="1"/>
    </xf>
    <xf numFmtId="0" fontId="9" fillId="2" borderId="13" xfId="10" applyFont="1" applyBorder="1" applyAlignment="1">
      <alignment horizontal="left" vertical="center" wrapText="1"/>
    </xf>
    <xf numFmtId="0" fontId="12" fillId="2" borderId="19" xfId="10" applyFont="1" applyBorder="1" applyAlignment="1">
      <alignment horizontal="center" vertical="center"/>
    </xf>
    <xf numFmtId="0" fontId="9" fillId="2" borderId="7" xfId="7" applyFont="1" applyBorder="1" applyAlignment="1">
      <alignment horizontal="center" vertical="center" shrinkToFit="1"/>
    </xf>
    <xf numFmtId="176" fontId="9" fillId="2" borderId="7" xfId="10" applyNumberFormat="1" applyFont="1" applyBorder="1" applyAlignment="1">
      <alignment horizontal="center" vertical="center"/>
    </xf>
    <xf numFmtId="0" fontId="9" fillId="2" borderId="16" xfId="18" applyFont="1" applyBorder="1" applyAlignment="1">
      <alignment horizontal="left" vertical="center" wrapText="1"/>
    </xf>
    <xf numFmtId="0" fontId="9" fillId="2" borderId="17" xfId="18" applyFont="1" applyBorder="1" applyAlignment="1">
      <alignment horizontal="left" vertical="center" wrapText="1"/>
    </xf>
    <xf numFmtId="0" fontId="9" fillId="2" borderId="18" xfId="18" applyFont="1" applyBorder="1" applyAlignment="1">
      <alignment horizontal="left" vertical="center" wrapText="1"/>
    </xf>
    <xf numFmtId="0" fontId="9" fillId="2" borderId="20" xfId="18" applyFont="1" applyBorder="1" applyAlignment="1">
      <alignment horizontal="left" vertical="center" wrapText="1"/>
    </xf>
    <xf numFmtId="0" fontId="9" fillId="2" borderId="0" xfId="18" applyFont="1" applyAlignment="1">
      <alignment horizontal="left" vertical="center" wrapText="1"/>
    </xf>
    <xf numFmtId="0" fontId="9" fillId="2" borderId="21" xfId="18" applyFont="1" applyBorder="1" applyAlignment="1">
      <alignment horizontal="left" vertical="center" wrapText="1"/>
    </xf>
    <xf numFmtId="0" fontId="12" fillId="2" borderId="15" xfId="10" applyFont="1" applyBorder="1" applyAlignment="1">
      <alignment horizontal="center" vertical="center"/>
    </xf>
    <xf numFmtId="0" fontId="9" fillId="2" borderId="22" xfId="18" applyFont="1" applyBorder="1" applyAlignment="1">
      <alignment horizontal="left" vertical="center" wrapText="1"/>
    </xf>
    <xf numFmtId="0" fontId="9" fillId="2" borderId="23" xfId="18" applyFont="1" applyBorder="1" applyAlignment="1">
      <alignment horizontal="left" vertical="center" wrapText="1"/>
    </xf>
    <xf numFmtId="0" fontId="9" fillId="2" borderId="24" xfId="18" applyFont="1" applyBorder="1" applyAlignment="1">
      <alignment horizontal="left" vertical="center" wrapText="1"/>
    </xf>
    <xf numFmtId="0" fontId="10" fillId="2" borderId="10" xfId="10" applyFont="1" applyBorder="1" applyAlignment="1">
      <alignment horizontal="center" vertical="center" wrapText="1" shrinkToFit="1"/>
    </xf>
    <xf numFmtId="178" fontId="9" fillId="2" borderId="7" xfId="10" applyNumberFormat="1" applyFont="1" applyBorder="1" applyAlignment="1">
      <alignment horizontal="center" vertical="center"/>
    </xf>
    <xf numFmtId="0" fontId="9" fillId="2" borderId="16" xfId="19" applyFont="1" applyBorder="1" applyAlignment="1">
      <alignment horizontal="left" vertical="center" wrapText="1"/>
    </xf>
    <xf numFmtId="0" fontId="9" fillId="2" borderId="17" xfId="19" applyFont="1" applyBorder="1" applyAlignment="1">
      <alignment horizontal="left" vertical="center" wrapText="1"/>
    </xf>
    <xf numFmtId="0" fontId="9" fillId="2" borderId="18" xfId="19" applyFont="1" applyBorder="1" applyAlignment="1">
      <alignment horizontal="left" vertical="center" wrapText="1"/>
    </xf>
    <xf numFmtId="0" fontId="10" fillId="2" borderId="19" xfId="10" applyFont="1" applyBorder="1" applyAlignment="1">
      <alignment horizontal="center" vertical="center" wrapText="1" shrinkToFit="1"/>
    </xf>
    <xf numFmtId="0" fontId="9" fillId="2" borderId="20" xfId="19" applyFont="1" applyBorder="1" applyAlignment="1">
      <alignment horizontal="left" vertical="center" wrapText="1"/>
    </xf>
    <xf numFmtId="0" fontId="9" fillId="2" borderId="0" xfId="19" applyFont="1" applyAlignment="1">
      <alignment horizontal="left" vertical="center" wrapText="1"/>
    </xf>
    <xf numFmtId="0" fontId="9" fillId="2" borderId="21" xfId="19" applyFont="1" applyBorder="1" applyAlignment="1">
      <alignment horizontal="left" vertical="center" wrapText="1"/>
    </xf>
    <xf numFmtId="180" fontId="9" fillId="2" borderId="7" xfId="10" applyNumberFormat="1" applyFont="1" applyBorder="1" applyAlignment="1">
      <alignment horizontal="center" vertical="center"/>
    </xf>
    <xf numFmtId="1" fontId="9" fillId="2" borderId="7" xfId="10" applyNumberFormat="1" applyFont="1" applyBorder="1" applyAlignment="1">
      <alignment horizontal="center" vertical="center"/>
    </xf>
    <xf numFmtId="0" fontId="10" fillId="2" borderId="15" xfId="10" applyFont="1" applyBorder="1" applyAlignment="1">
      <alignment horizontal="center" vertical="center" wrapText="1" shrinkToFit="1"/>
    </xf>
    <xf numFmtId="0" fontId="9" fillId="2" borderId="22" xfId="19" applyFont="1" applyBorder="1" applyAlignment="1">
      <alignment horizontal="left" vertical="center" wrapText="1"/>
    </xf>
    <xf numFmtId="0" fontId="9" fillId="2" borderId="23" xfId="19" applyFont="1" applyBorder="1" applyAlignment="1">
      <alignment horizontal="left" vertical="center" wrapText="1"/>
    </xf>
    <xf numFmtId="0" fontId="9" fillId="2" borderId="24" xfId="19" applyFont="1" applyBorder="1" applyAlignment="1">
      <alignment horizontal="left" vertical="center" wrapText="1"/>
    </xf>
    <xf numFmtId="0" fontId="9" fillId="2" borderId="7" xfId="7" applyFont="1" applyBorder="1" applyAlignment="1">
      <alignment horizontal="center" vertical="center" shrinkToFit="1"/>
    </xf>
    <xf numFmtId="0" fontId="9" fillId="2" borderId="7" xfId="7" applyFont="1" applyBorder="1" applyAlignment="1">
      <alignment horizontal="left" vertical="center" wrapText="1"/>
    </xf>
    <xf numFmtId="0" fontId="9" fillId="2" borderId="8" xfId="7" applyFont="1" applyBorder="1" applyAlignment="1">
      <alignment horizontal="left" vertical="center" wrapText="1"/>
    </xf>
    <xf numFmtId="0" fontId="9" fillId="2" borderId="10" xfId="7" applyFont="1" applyBorder="1" applyAlignment="1">
      <alignment horizontal="center" vertical="center" shrinkToFit="1"/>
    </xf>
    <xf numFmtId="0" fontId="11" fillId="3" borderId="9" xfId="10" applyFont="1" applyFill="1" applyBorder="1" applyAlignment="1">
      <alignment horizontal="center" vertical="center" shrinkToFit="1"/>
    </xf>
    <xf numFmtId="0" fontId="12" fillId="2" borderId="10" xfId="10" applyFont="1" applyBorder="1" applyAlignment="1">
      <alignment horizontal="center" vertical="center"/>
    </xf>
    <xf numFmtId="0" fontId="9" fillId="2" borderId="7" xfId="20" applyFont="1" applyBorder="1" applyAlignment="1">
      <alignment horizontal="left" vertical="center" wrapText="1"/>
    </xf>
    <xf numFmtId="0" fontId="9" fillId="2" borderId="8" xfId="20" applyFont="1" applyBorder="1" applyAlignment="1">
      <alignment horizontal="left" vertical="center" wrapText="1"/>
    </xf>
    <xf numFmtId="0" fontId="11" fillId="3" borderId="32" xfId="10" applyFont="1" applyFill="1" applyBorder="1" applyAlignment="1">
      <alignment horizontal="center" vertical="center" shrinkToFit="1"/>
    </xf>
    <xf numFmtId="0" fontId="11" fillId="3" borderId="33" xfId="10" applyFont="1" applyFill="1" applyBorder="1" applyAlignment="1">
      <alignment horizontal="center" vertical="center" shrinkToFit="1"/>
    </xf>
    <xf numFmtId="0" fontId="9" fillId="2" borderId="28" xfId="10" applyFont="1" applyBorder="1" applyAlignment="1">
      <alignment horizontal="center" vertical="center" shrinkToFit="1"/>
    </xf>
    <xf numFmtId="1" fontId="9" fillId="2" borderId="28" xfId="10" applyNumberFormat="1" applyFont="1" applyBorder="1" applyAlignment="1">
      <alignment horizontal="center" vertical="center"/>
    </xf>
    <xf numFmtId="0" fontId="9" fillId="2" borderId="28" xfId="10" applyFont="1" applyBorder="1" applyAlignment="1">
      <alignment horizontal="center" vertical="center"/>
    </xf>
    <xf numFmtId="0" fontId="9" fillId="2" borderId="30" xfId="7" applyFont="1" applyBorder="1" applyAlignment="1">
      <alignment horizontal="center" vertical="center" wrapText="1"/>
    </xf>
    <xf numFmtId="0" fontId="9" fillId="2" borderId="2" xfId="7" applyFont="1" applyBorder="1" applyAlignment="1">
      <alignment horizontal="center" vertical="center" wrapText="1"/>
    </xf>
    <xf numFmtId="0" fontId="9" fillId="2" borderId="31" xfId="7" applyFont="1" applyBorder="1" applyAlignment="1">
      <alignment horizontal="center" vertical="center" wrapText="1"/>
    </xf>
    <xf numFmtId="0" fontId="4" fillId="4" borderId="9" xfId="10" applyFont="1" applyFill="1" applyBorder="1" applyAlignment="1">
      <alignment horizontal="center" vertical="center"/>
    </xf>
    <xf numFmtId="0" fontId="9" fillId="2" borderId="10" xfId="11" applyFont="1" applyBorder="1" applyAlignment="1">
      <alignment horizontal="center" vertical="center"/>
    </xf>
    <xf numFmtId="0" fontId="4" fillId="4" borderId="32" xfId="10" applyFont="1" applyFill="1" applyBorder="1" applyAlignment="1">
      <alignment horizontal="center" vertical="center"/>
    </xf>
    <xf numFmtId="0" fontId="9" fillId="2" borderId="19" xfId="11" applyFont="1" applyBorder="1" applyAlignment="1">
      <alignment horizontal="center" vertical="center"/>
    </xf>
    <xf numFmtId="0" fontId="9" fillId="2" borderId="10" xfId="10" applyFont="1" applyBorder="1" applyAlignment="1">
      <alignment horizontal="center" vertical="center"/>
    </xf>
    <xf numFmtId="0" fontId="4" fillId="4" borderId="14" xfId="10" applyFont="1" applyFill="1" applyBorder="1" applyAlignment="1">
      <alignment horizontal="center" vertical="center"/>
    </xf>
    <xf numFmtId="0" fontId="9" fillId="2" borderId="15" xfId="11" applyFont="1" applyBorder="1" applyAlignment="1">
      <alignment horizontal="center" vertical="center"/>
    </xf>
    <xf numFmtId="0" fontId="11" fillId="5" borderId="32" xfId="10" applyFont="1" applyFill="1" applyBorder="1" applyAlignment="1">
      <alignment horizontal="center" vertical="center"/>
    </xf>
    <xf numFmtId="0" fontId="9" fillId="2" borderId="15" xfId="10" applyFont="1" applyBorder="1" applyAlignment="1">
      <alignment horizontal="center" vertical="center" shrinkToFit="1"/>
    </xf>
    <xf numFmtId="0" fontId="9" fillId="2" borderId="15" xfId="10" applyFont="1" applyBorder="1" applyAlignment="1">
      <alignment horizontal="center" vertical="center" shrinkToFit="1"/>
    </xf>
    <xf numFmtId="177" fontId="9" fillId="2" borderId="15" xfId="10" applyNumberFormat="1" applyFont="1" applyBorder="1" applyAlignment="1">
      <alignment horizontal="center" vertical="center"/>
    </xf>
    <xf numFmtId="0" fontId="9" fillId="2" borderId="40" xfId="10" applyFont="1" applyBorder="1" applyAlignment="1">
      <alignment horizontal="left" vertical="center" wrapText="1"/>
    </xf>
    <xf numFmtId="0" fontId="9" fillId="2" borderId="7" xfId="10" applyFont="1" applyBorder="1" applyAlignment="1">
      <alignment horizontal="center" vertical="center" shrinkToFit="1"/>
    </xf>
    <xf numFmtId="0" fontId="9" fillId="2" borderId="7" xfId="10" applyFont="1" applyBorder="1" applyAlignment="1">
      <alignment horizontal="left" vertical="center" wrapText="1"/>
    </xf>
    <xf numFmtId="0" fontId="9" fillId="2" borderId="8" xfId="10" applyFont="1" applyBorder="1" applyAlignment="1">
      <alignment horizontal="left" vertical="center" wrapText="1"/>
    </xf>
    <xf numFmtId="0" fontId="9" fillId="2" borderId="10" xfId="7" applyFont="1" applyBorder="1" applyAlignment="1">
      <alignment horizontal="center" vertical="center" wrapText="1" shrinkToFit="1"/>
    </xf>
    <xf numFmtId="0" fontId="9" fillId="2" borderId="19" xfId="7" applyFont="1" applyBorder="1" applyAlignment="1">
      <alignment horizontal="center" vertical="center" wrapText="1" shrinkToFit="1"/>
    </xf>
    <xf numFmtId="0" fontId="9" fillId="2" borderId="15" xfId="10" applyFont="1" applyBorder="1" applyAlignment="1">
      <alignment horizontal="center" vertical="center"/>
    </xf>
    <xf numFmtId="0" fontId="9" fillId="2" borderId="16" xfId="21" applyFont="1" applyBorder="1" applyAlignment="1">
      <alignment horizontal="left" vertical="center" wrapText="1"/>
    </xf>
    <xf numFmtId="0" fontId="9" fillId="2" borderId="17" xfId="21" applyFont="1" applyBorder="1" applyAlignment="1">
      <alignment horizontal="left" vertical="center" wrapText="1"/>
    </xf>
    <xf numFmtId="0" fontId="9" fillId="2" borderId="18" xfId="21" applyFont="1" applyBorder="1" applyAlignment="1">
      <alignment horizontal="left" vertical="center" wrapText="1"/>
    </xf>
    <xf numFmtId="0" fontId="9" fillId="2" borderId="20" xfId="21" applyFont="1" applyBorder="1" applyAlignment="1">
      <alignment horizontal="left" vertical="center" wrapText="1"/>
    </xf>
    <xf numFmtId="0" fontId="9" fillId="2" borderId="0" xfId="21" applyFont="1" applyAlignment="1">
      <alignment horizontal="left" vertical="center" wrapText="1"/>
    </xf>
    <xf numFmtId="0" fontId="9" fillId="2" borderId="21" xfId="21" applyFont="1" applyBorder="1" applyAlignment="1">
      <alignment horizontal="left" vertical="center" wrapText="1"/>
    </xf>
    <xf numFmtId="0" fontId="9" fillId="2" borderId="22" xfId="21" applyFont="1" applyBorder="1" applyAlignment="1">
      <alignment horizontal="left" vertical="center" wrapText="1"/>
    </xf>
    <xf numFmtId="0" fontId="9" fillId="2" borderId="23" xfId="21" applyFont="1" applyBorder="1" applyAlignment="1">
      <alignment horizontal="left" vertical="center" wrapText="1"/>
    </xf>
    <xf numFmtId="0" fontId="9" fillId="2" borderId="24" xfId="21" applyFont="1" applyBorder="1" applyAlignment="1">
      <alignment horizontal="left" vertical="center" wrapText="1"/>
    </xf>
    <xf numFmtId="0" fontId="27" fillId="2" borderId="0" xfId="10" applyFont="1">
      <alignment vertical="center"/>
    </xf>
    <xf numFmtId="0" fontId="9" fillId="2" borderId="10" xfId="7" applyFont="1" applyBorder="1" applyAlignment="1">
      <alignment horizontal="center" vertical="center" shrinkToFit="1"/>
    </xf>
    <xf numFmtId="0" fontId="9" fillId="2" borderId="16" xfId="22" applyFont="1" applyBorder="1" applyAlignment="1">
      <alignment horizontal="left" vertical="center" wrapText="1"/>
    </xf>
    <xf numFmtId="0" fontId="9" fillId="2" borderId="17" xfId="22" applyFont="1" applyBorder="1" applyAlignment="1">
      <alignment horizontal="left" vertical="center" wrapText="1"/>
    </xf>
    <xf numFmtId="0" fontId="9" fillId="2" borderId="18" xfId="22" applyFont="1" applyBorder="1" applyAlignment="1">
      <alignment horizontal="left" vertical="center" wrapText="1"/>
    </xf>
    <xf numFmtId="0" fontId="9" fillId="2" borderId="19" xfId="7" applyFont="1" applyBorder="1" applyAlignment="1">
      <alignment horizontal="center" vertical="center" shrinkToFit="1"/>
    </xf>
    <xf numFmtId="0" fontId="9" fillId="2" borderId="20" xfId="22" applyFont="1" applyBorder="1" applyAlignment="1">
      <alignment horizontal="left" vertical="center" wrapText="1"/>
    </xf>
    <xf numFmtId="0" fontId="9" fillId="2" borderId="0" xfId="22" applyFont="1" applyAlignment="1">
      <alignment horizontal="left" vertical="center" wrapText="1"/>
    </xf>
    <xf numFmtId="0" fontId="9" fillId="2" borderId="21" xfId="22" applyFont="1" applyBorder="1" applyAlignment="1">
      <alignment horizontal="left" vertical="center" wrapText="1"/>
    </xf>
    <xf numFmtId="0" fontId="9" fillId="2" borderId="22" xfId="22" applyFont="1" applyBorder="1" applyAlignment="1">
      <alignment horizontal="left" vertical="center" wrapText="1"/>
    </xf>
    <xf numFmtId="0" fontId="9" fillId="2" borderId="23" xfId="22" applyFont="1" applyBorder="1" applyAlignment="1">
      <alignment horizontal="left" vertical="center" wrapText="1"/>
    </xf>
    <xf numFmtId="0" fontId="9" fillId="2" borderId="24" xfId="22" applyFont="1" applyBorder="1" applyAlignment="1">
      <alignment horizontal="left" vertical="center" wrapText="1"/>
    </xf>
    <xf numFmtId="0" fontId="9" fillId="2" borderId="19" xfId="7" applyFont="1" applyBorder="1" applyAlignment="1">
      <alignment horizontal="center" vertical="center" wrapText="1" shrinkToFit="1"/>
    </xf>
    <xf numFmtId="178" fontId="9" fillId="2" borderId="15" xfId="10" applyNumberFormat="1" applyFont="1" applyBorder="1" applyAlignment="1">
      <alignment horizontal="center" vertical="center"/>
    </xf>
    <xf numFmtId="0" fontId="9" fillId="2" borderId="19" xfId="10" applyFont="1" applyBorder="1" applyAlignment="1">
      <alignment horizontal="center" vertical="center"/>
    </xf>
    <xf numFmtId="0" fontId="9" fillId="2" borderId="11" xfId="23" applyFont="1" applyBorder="1" applyAlignment="1">
      <alignment horizontal="left" vertical="center"/>
    </xf>
    <xf numFmtId="0" fontId="9" fillId="2" borderId="12" xfId="23" applyFont="1" applyBorder="1" applyAlignment="1">
      <alignment horizontal="left" vertical="center"/>
    </xf>
    <xf numFmtId="0" fontId="9" fillId="2" borderId="13" xfId="23" applyFont="1" applyBorder="1" applyAlignment="1">
      <alignment horizontal="left" vertical="center"/>
    </xf>
    <xf numFmtId="0" fontId="9" fillId="2" borderId="29" xfId="10" applyFont="1" applyBorder="1" applyAlignment="1">
      <alignment horizontal="center" vertical="center"/>
    </xf>
    <xf numFmtId="1" fontId="9" fillId="2" borderId="29" xfId="10" applyNumberFormat="1" applyFont="1" applyBorder="1" applyAlignment="1">
      <alignment horizontal="center" vertical="center"/>
    </xf>
    <xf numFmtId="0" fontId="9" fillId="2" borderId="42" xfId="10" applyFont="1" applyBorder="1" applyAlignment="1">
      <alignment horizontal="center" vertical="center"/>
    </xf>
    <xf numFmtId="0" fontId="9" fillId="2" borderId="43" xfId="10" applyFont="1" applyBorder="1" applyAlignment="1">
      <alignment horizontal="center" vertical="center"/>
    </xf>
    <xf numFmtId="0" fontId="9" fillId="2" borderId="44" xfId="10" applyFont="1" applyBorder="1" applyAlignment="1">
      <alignment horizontal="center" vertical="center"/>
    </xf>
    <xf numFmtId="0" fontId="11" fillId="2" borderId="0" xfId="10" applyFont="1" applyAlignment="1">
      <alignment horizontal="center" vertical="center" shrinkToFit="1"/>
    </xf>
    <xf numFmtId="0" fontId="9" fillId="2" borderId="0" xfId="10" applyFont="1" applyAlignment="1">
      <alignment horizontal="center" vertical="center" shrinkToFit="1"/>
    </xf>
    <xf numFmtId="0" fontId="9" fillId="2" borderId="0" xfId="10" applyFont="1" applyAlignment="1">
      <alignment horizontal="center" vertical="center"/>
    </xf>
    <xf numFmtId="0" fontId="9" fillId="2" borderId="0" xfId="7" applyFont="1" applyAlignment="1">
      <alignment horizontal="center" vertical="center" wrapText="1"/>
    </xf>
    <xf numFmtId="0" fontId="8" fillId="7" borderId="37" xfId="10" applyFont="1" applyFill="1" applyBorder="1" applyAlignment="1">
      <alignment horizontal="center" vertical="center"/>
    </xf>
    <xf numFmtId="0" fontId="8" fillId="7" borderId="38" xfId="10" applyFont="1" applyFill="1" applyBorder="1" applyAlignment="1">
      <alignment horizontal="center" vertical="center"/>
    </xf>
    <xf numFmtId="0" fontId="8" fillId="7" borderId="39" xfId="10" applyFont="1" applyFill="1" applyBorder="1" applyAlignment="1">
      <alignment horizontal="center" vertical="center"/>
    </xf>
    <xf numFmtId="0" fontId="4" fillId="8" borderId="16" xfId="10" applyFont="1" applyFill="1" applyBorder="1" applyAlignment="1">
      <alignment horizontal="center" vertical="center"/>
    </xf>
    <xf numFmtId="0" fontId="4" fillId="8" borderId="17" xfId="10" applyFont="1" applyFill="1" applyBorder="1" applyAlignment="1">
      <alignment horizontal="center" vertical="center"/>
    </xf>
    <xf numFmtId="0" fontId="4" fillId="8" borderId="18" xfId="10" applyFont="1" applyFill="1" applyBorder="1" applyAlignment="1">
      <alignment horizontal="center" vertical="center"/>
    </xf>
    <xf numFmtId="0" fontId="4" fillId="8" borderId="22" xfId="10" applyFont="1" applyFill="1" applyBorder="1" applyAlignment="1">
      <alignment horizontal="center" vertical="center"/>
    </xf>
    <xf numFmtId="0" fontId="4" fillId="8" borderId="23" xfId="10" applyFont="1" applyFill="1" applyBorder="1" applyAlignment="1">
      <alignment horizontal="center" vertical="center"/>
    </xf>
    <xf numFmtId="0" fontId="4" fillId="8" borderId="24" xfId="10" applyFont="1" applyFill="1" applyBorder="1" applyAlignment="1">
      <alignment horizontal="center" vertical="center"/>
    </xf>
    <xf numFmtId="0" fontId="4" fillId="4" borderId="6" xfId="10" applyFont="1" applyFill="1" applyBorder="1" applyAlignment="1">
      <alignment horizontal="center" vertical="center"/>
    </xf>
    <xf numFmtId="0" fontId="9" fillId="2" borderId="11" xfId="24" applyFont="1" applyBorder="1" applyAlignment="1">
      <alignment horizontal="left" vertical="center"/>
    </xf>
    <xf numFmtId="0" fontId="9" fillId="2" borderId="12" xfId="24" applyFont="1" applyBorder="1" applyAlignment="1">
      <alignment horizontal="left" vertical="center"/>
    </xf>
    <xf numFmtId="0" fontId="9" fillId="2" borderId="13" xfId="24" applyFont="1" applyBorder="1" applyAlignment="1">
      <alignment horizontal="left" vertical="center"/>
    </xf>
    <xf numFmtId="0" fontId="11" fillId="5" borderId="9" xfId="10" applyFont="1" applyFill="1" applyBorder="1" applyAlignment="1">
      <alignment horizontal="center" vertical="center"/>
    </xf>
    <xf numFmtId="0" fontId="9" fillId="2" borderId="10" xfId="10" applyFont="1" applyBorder="1" applyAlignment="1">
      <alignment horizontal="center" vertical="center" wrapText="1" shrinkToFit="1"/>
    </xf>
    <xf numFmtId="0" fontId="9" fillId="2" borderId="16" xfId="25" applyFont="1" applyBorder="1" applyAlignment="1">
      <alignment vertical="center" wrapText="1"/>
    </xf>
    <xf numFmtId="0" fontId="9" fillId="2" borderId="17" xfId="25" applyFont="1" applyBorder="1" applyAlignment="1">
      <alignment vertical="center" wrapText="1"/>
    </xf>
    <xf numFmtId="0" fontId="9" fillId="2" borderId="18" xfId="25" applyFont="1" applyBorder="1" applyAlignment="1">
      <alignment vertical="center" wrapText="1"/>
    </xf>
    <xf numFmtId="0" fontId="9" fillId="2" borderId="19" xfId="10" applyFont="1" applyBorder="1" applyAlignment="1">
      <alignment horizontal="center" vertical="center" shrinkToFit="1"/>
    </xf>
    <xf numFmtId="0" fontId="9" fillId="2" borderId="20" xfId="25" applyFont="1" applyBorder="1" applyAlignment="1">
      <alignment vertical="center" wrapText="1"/>
    </xf>
    <xf numFmtId="0" fontId="9" fillId="2" borderId="0" xfId="25" applyFont="1" applyAlignment="1">
      <alignment vertical="center" wrapText="1"/>
    </xf>
    <xf numFmtId="0" fontId="9" fillId="2" borderId="21" xfId="25" applyFont="1" applyBorder="1" applyAlignment="1">
      <alignment vertical="center" wrapText="1"/>
    </xf>
    <xf numFmtId="0" fontId="9" fillId="2" borderId="22" xfId="25" applyFont="1" applyBorder="1" applyAlignment="1">
      <alignment vertical="center" wrapText="1"/>
    </xf>
    <xf numFmtId="0" fontId="9" fillId="2" borderId="23" xfId="25" applyFont="1" applyBorder="1" applyAlignment="1">
      <alignment vertical="center" wrapText="1"/>
    </xf>
    <xf numFmtId="0" fontId="9" fillId="2" borderId="24" xfId="25" applyFont="1" applyBorder="1" applyAlignment="1">
      <alignment vertical="center" wrapText="1"/>
    </xf>
    <xf numFmtId="0" fontId="10" fillId="9" borderId="10" xfId="10" applyFont="1" applyFill="1" applyBorder="1" applyAlignment="1">
      <alignment horizontal="center" vertical="center" wrapText="1" shrinkToFit="1"/>
    </xf>
    <xf numFmtId="0" fontId="10" fillId="9" borderId="19" xfId="10" applyFont="1" applyFill="1" applyBorder="1" applyAlignment="1">
      <alignment horizontal="center" vertical="center" wrapText="1" shrinkToFit="1"/>
    </xf>
    <xf numFmtId="0" fontId="10" fillId="9" borderId="15" xfId="10" applyFont="1" applyFill="1" applyBorder="1" applyAlignment="1">
      <alignment horizontal="center" vertical="center" wrapText="1" shrinkToFit="1"/>
    </xf>
    <xf numFmtId="0" fontId="9" fillId="2" borderId="22" xfId="7" applyFont="1" applyBorder="1" applyAlignment="1">
      <alignment horizontal="left" vertical="center" wrapText="1"/>
    </xf>
    <xf numFmtId="0" fontId="9" fillId="2" borderId="23" xfId="7" applyFont="1" applyBorder="1" applyAlignment="1">
      <alignment horizontal="left" vertical="center" wrapText="1"/>
    </xf>
    <xf numFmtId="0" fontId="9" fillId="2" borderId="24" xfId="7" applyFont="1" applyBorder="1" applyAlignment="1">
      <alignment horizontal="left" vertical="center" wrapText="1"/>
    </xf>
    <xf numFmtId="0" fontId="9" fillId="9" borderId="7" xfId="10" applyFont="1" applyFill="1" applyBorder="1" applyAlignment="1">
      <alignment horizontal="center" vertical="center"/>
    </xf>
    <xf numFmtId="0" fontId="10" fillId="2" borderId="19" xfId="10" applyFont="1" applyBorder="1" applyAlignment="1">
      <alignment horizontal="center" vertical="center" shrinkToFit="1"/>
    </xf>
    <xf numFmtId="0" fontId="9" fillId="2" borderId="10" xfId="11" applyFont="1" applyBorder="1" applyAlignment="1">
      <alignment horizontal="center" vertical="center" shrinkToFit="1"/>
    </xf>
    <xf numFmtId="177" fontId="9" fillId="2" borderId="10" xfId="10" applyNumberFormat="1" applyFont="1" applyBorder="1" applyAlignment="1">
      <alignment horizontal="center" vertical="center"/>
    </xf>
    <xf numFmtId="0" fontId="10" fillId="2" borderId="28" xfId="10" applyFont="1" applyBorder="1" applyAlignment="1">
      <alignment horizontal="center" vertical="center" shrinkToFit="1"/>
    </xf>
    <xf numFmtId="0" fontId="9" fillId="2" borderId="29" xfId="11" applyFont="1" applyBorder="1" applyAlignment="1">
      <alignment horizontal="center" vertical="center" shrinkToFit="1"/>
    </xf>
    <xf numFmtId="177" fontId="9" fillId="2" borderId="29" xfId="10" applyNumberFormat="1" applyFont="1" applyBorder="1" applyAlignment="1">
      <alignment horizontal="center" vertical="center"/>
    </xf>
    <xf numFmtId="0" fontId="9" fillId="9" borderId="29" xfId="10" applyFont="1" applyFill="1" applyBorder="1" applyAlignment="1">
      <alignment horizontal="center" vertical="center"/>
    </xf>
    <xf numFmtId="0" fontId="9" fillId="2" borderId="30" xfId="11" applyFont="1" applyBorder="1" applyAlignment="1">
      <alignment horizontal="left" vertical="center" wrapText="1"/>
    </xf>
    <xf numFmtId="0" fontId="9" fillId="2" borderId="2" xfId="11" applyFont="1" applyBorder="1" applyAlignment="1">
      <alignment horizontal="left" vertical="center" wrapText="1"/>
    </xf>
    <xf numFmtId="0" fontId="9" fillId="2" borderId="31" xfId="11" applyFont="1" applyBorder="1" applyAlignment="1">
      <alignment horizontal="left" vertical="center" wrapText="1"/>
    </xf>
    <xf numFmtId="0" fontId="10" fillId="2" borderId="7" xfId="10" applyFont="1" applyBorder="1" applyAlignment="1">
      <alignment horizontal="center" vertical="center" shrinkToFit="1"/>
    </xf>
    <xf numFmtId="0" fontId="12" fillId="2" borderId="19" xfId="7" applyFont="1" applyBorder="1" applyAlignment="1">
      <alignment horizontal="center" vertical="center" shrinkToFit="1"/>
    </xf>
    <xf numFmtId="0" fontId="9" fillId="2" borderId="15" xfId="7" applyFont="1" applyBorder="1" applyAlignment="1">
      <alignment horizontal="center" vertical="center" shrinkToFit="1"/>
    </xf>
    <xf numFmtId="0" fontId="9" fillId="2" borderId="22" xfId="15" applyFont="1" applyBorder="1" applyAlignment="1">
      <alignment horizontal="left" vertical="center" wrapText="1"/>
    </xf>
    <xf numFmtId="0" fontId="9" fillId="2" borderId="23" xfId="15" applyFont="1" applyBorder="1" applyAlignment="1">
      <alignment horizontal="left" vertical="center" wrapText="1"/>
    </xf>
    <xf numFmtId="0" fontId="9" fillId="2" borderId="24" xfId="15" applyFont="1" applyBorder="1" applyAlignment="1">
      <alignment horizontal="left" vertical="center" wrapText="1"/>
    </xf>
    <xf numFmtId="0" fontId="10" fillId="2" borderId="10" xfId="7" applyFont="1" applyBorder="1" applyAlignment="1">
      <alignment horizontal="center" vertical="center" wrapText="1" shrinkToFit="1"/>
    </xf>
    <xf numFmtId="0" fontId="9" fillId="2" borderId="16" xfId="26" applyFont="1" applyBorder="1" applyAlignment="1">
      <alignment horizontal="left" vertical="center" wrapText="1"/>
    </xf>
    <xf numFmtId="0" fontId="9" fillId="2" borderId="17" xfId="26" applyFont="1" applyBorder="1" applyAlignment="1">
      <alignment horizontal="left" vertical="center" wrapText="1"/>
    </xf>
    <xf numFmtId="0" fontId="9" fillId="2" borderId="18" xfId="26" applyFont="1" applyBorder="1" applyAlignment="1">
      <alignment horizontal="left" vertical="center" wrapText="1"/>
    </xf>
    <xf numFmtId="0" fontId="10" fillId="2" borderId="19" xfId="7" applyFont="1" applyBorder="1" applyAlignment="1">
      <alignment horizontal="center" vertical="center" wrapText="1" shrinkToFit="1"/>
    </xf>
    <xf numFmtId="0" fontId="9" fillId="2" borderId="20" xfId="26" applyFont="1" applyBorder="1" applyAlignment="1">
      <alignment horizontal="left" vertical="center" wrapText="1"/>
    </xf>
    <xf numFmtId="0" fontId="9" fillId="2" borderId="0" xfId="26" applyFont="1" applyAlignment="1">
      <alignment horizontal="left" vertical="center" wrapText="1"/>
    </xf>
    <xf numFmtId="0" fontId="9" fillId="2" borderId="21" xfId="26" applyFont="1" applyBorder="1" applyAlignment="1">
      <alignment horizontal="left" vertical="center" wrapText="1"/>
    </xf>
    <xf numFmtId="0" fontId="10" fillId="2" borderId="10" xfId="7" applyFont="1" applyBorder="1" applyAlignment="1">
      <alignment horizontal="center" vertical="center" shrinkToFit="1"/>
    </xf>
    <xf numFmtId="0" fontId="10" fillId="2" borderId="19" xfId="7" applyFont="1" applyBorder="1" applyAlignment="1">
      <alignment horizontal="center" vertical="center" shrinkToFit="1"/>
    </xf>
    <xf numFmtId="0" fontId="11" fillId="5" borderId="14" xfId="10" applyFont="1" applyFill="1" applyBorder="1" applyAlignment="1">
      <alignment horizontal="center" vertical="center"/>
    </xf>
    <xf numFmtId="0" fontId="9" fillId="2" borderId="16" xfId="27" applyFont="1" applyBorder="1" applyAlignment="1">
      <alignment horizontal="left" vertical="center" wrapText="1"/>
    </xf>
    <xf numFmtId="0" fontId="9" fillId="2" borderId="17" xfId="27" applyFont="1" applyBorder="1" applyAlignment="1">
      <alignment horizontal="left" vertical="center" wrapText="1"/>
    </xf>
    <xf numFmtId="0" fontId="9" fillId="2" borderId="18" xfId="27" applyFont="1" applyBorder="1" applyAlignment="1">
      <alignment horizontal="left" vertical="center" wrapText="1"/>
    </xf>
    <xf numFmtId="0" fontId="9" fillId="2" borderId="10" xfId="10" applyFont="1" applyBorder="1" applyAlignment="1">
      <alignment horizontal="center" vertical="center" shrinkToFit="1"/>
    </xf>
    <xf numFmtId="0" fontId="9" fillId="2" borderId="20" xfId="27" applyFont="1" applyBorder="1" applyAlignment="1">
      <alignment horizontal="left" vertical="center" wrapText="1"/>
    </xf>
    <xf numFmtId="0" fontId="9" fillId="2" borderId="0" xfId="27" applyFont="1" applyAlignment="1">
      <alignment horizontal="left" vertical="center" wrapText="1"/>
    </xf>
    <xf numFmtId="0" fontId="9" fillId="2" borderId="21" xfId="27" applyFont="1" applyBorder="1" applyAlignment="1">
      <alignment horizontal="left" vertical="center" wrapText="1"/>
    </xf>
    <xf numFmtId="0" fontId="9" fillId="2" borderId="28" xfId="10" applyFont="1" applyBorder="1" applyAlignment="1">
      <alignment horizontal="center" vertical="center" shrinkToFit="1"/>
    </xf>
    <xf numFmtId="0" fontId="9" fillId="2" borderId="29" xfId="10" applyFont="1" applyBorder="1" applyAlignment="1">
      <alignment horizontal="center" vertical="center" shrinkToFit="1"/>
    </xf>
    <xf numFmtId="179" fontId="9" fillId="2" borderId="29" xfId="10" applyNumberFormat="1" applyFont="1" applyBorder="1" applyAlignment="1">
      <alignment horizontal="center" vertical="center"/>
    </xf>
    <xf numFmtId="0" fontId="9" fillId="2" borderId="30" xfId="27" applyFont="1" applyBorder="1" applyAlignment="1">
      <alignment horizontal="left" vertical="center" wrapText="1"/>
    </xf>
    <xf numFmtId="0" fontId="9" fillId="2" borderId="2" xfId="27" applyFont="1" applyBorder="1" applyAlignment="1">
      <alignment horizontal="left" vertical="center" wrapText="1"/>
    </xf>
    <xf numFmtId="0" fontId="9" fillId="2" borderId="31" xfId="27" applyFont="1" applyBorder="1" applyAlignment="1">
      <alignment horizontal="left" vertical="center" wrapText="1"/>
    </xf>
    <xf numFmtId="0" fontId="3" fillId="2" borderId="0" xfId="10" applyFont="1" applyAlignment="1">
      <alignment horizontal="center" vertical="center"/>
    </xf>
    <xf numFmtId="0" fontId="9" fillId="2" borderId="7" xfId="10" applyFont="1" applyBorder="1" applyAlignment="1">
      <alignment horizontal="center" vertical="center" wrapText="1"/>
    </xf>
    <xf numFmtId="0" fontId="9" fillId="2" borderId="7" xfId="10" applyFont="1" applyBorder="1">
      <alignment vertical="center"/>
    </xf>
    <xf numFmtId="0" fontId="9" fillId="2" borderId="8" xfId="10" applyFont="1" applyBorder="1">
      <alignment vertical="center"/>
    </xf>
    <xf numFmtId="0" fontId="9" fillId="2" borderId="15" xfId="7" applyFont="1" applyBorder="1" applyAlignment="1">
      <alignment horizontal="center" vertical="center" wrapText="1" shrinkToFit="1"/>
    </xf>
    <xf numFmtId="0" fontId="9" fillId="2" borderId="16" xfId="28" applyFont="1" applyBorder="1" applyAlignment="1">
      <alignment horizontal="left" vertical="center" wrapText="1"/>
    </xf>
    <xf numFmtId="0" fontId="9" fillId="2" borderId="17" xfId="28" applyFont="1" applyBorder="1" applyAlignment="1">
      <alignment horizontal="left" vertical="center" wrapText="1"/>
    </xf>
    <xf numFmtId="0" fontId="9" fillId="2" borderId="18" xfId="28" applyFont="1" applyBorder="1" applyAlignment="1">
      <alignment horizontal="left" vertical="center" wrapText="1"/>
    </xf>
    <xf numFmtId="0" fontId="9" fillId="2" borderId="20" xfId="28" applyFont="1" applyBorder="1" applyAlignment="1">
      <alignment horizontal="left" vertical="center" wrapText="1"/>
    </xf>
    <xf numFmtId="0" fontId="9" fillId="2" borderId="0" xfId="28" applyFont="1" applyAlignment="1">
      <alignment horizontal="left" vertical="center" wrapText="1"/>
    </xf>
    <xf numFmtId="0" fontId="9" fillId="2" borderId="21" xfId="28" applyFont="1" applyBorder="1" applyAlignment="1">
      <alignment horizontal="left" vertical="center" wrapText="1"/>
    </xf>
    <xf numFmtId="0" fontId="11" fillId="3" borderId="6" xfId="10" applyFont="1" applyFill="1" applyBorder="1" applyAlignment="1">
      <alignment horizontal="center" vertical="center" shrinkToFit="1"/>
    </xf>
    <xf numFmtId="0" fontId="9" fillId="2" borderId="11" xfId="10" applyFont="1" applyBorder="1" applyAlignment="1">
      <alignment horizontal="left" vertical="center" wrapText="1"/>
    </xf>
    <xf numFmtId="0" fontId="9" fillId="2" borderId="7" xfId="7" applyFont="1" applyBorder="1" applyAlignment="1">
      <alignment horizontal="center" vertical="center" wrapText="1" shrinkToFit="1"/>
    </xf>
    <xf numFmtId="0" fontId="9" fillId="2" borderId="7" xfId="7" applyFont="1" applyBorder="1" applyAlignment="1">
      <alignment vertical="center" wrapText="1"/>
    </xf>
    <xf numFmtId="0" fontId="9" fillId="2" borderId="8" xfId="7" applyFont="1" applyBorder="1" applyAlignment="1">
      <alignment vertical="center" wrapText="1"/>
    </xf>
    <xf numFmtId="0" fontId="11" fillId="3" borderId="41" xfId="10" applyFont="1" applyFill="1" applyBorder="1" applyAlignment="1">
      <alignment horizontal="center" vertical="center" shrinkToFit="1"/>
    </xf>
    <xf numFmtId="0" fontId="9" fillId="2" borderId="29" xfId="7" applyFont="1" applyBorder="1" applyAlignment="1">
      <alignment horizontal="center" vertical="center" wrapText="1" shrinkToFit="1"/>
    </xf>
    <xf numFmtId="178" fontId="9" fillId="2" borderId="29" xfId="10" applyNumberFormat="1" applyFont="1" applyBorder="1" applyAlignment="1">
      <alignment horizontal="center" vertical="center"/>
    </xf>
    <xf numFmtId="0" fontId="9" fillId="2" borderId="42" xfId="10" applyFont="1" applyBorder="1" applyAlignment="1">
      <alignment horizontal="left" vertical="center" wrapText="1"/>
    </xf>
    <xf numFmtId="0" fontId="9" fillId="2" borderId="43" xfId="10" applyFont="1" applyBorder="1" applyAlignment="1">
      <alignment horizontal="left" vertical="center" wrapText="1"/>
    </xf>
    <xf numFmtId="0" fontId="9" fillId="2" borderId="44" xfId="10" applyFont="1" applyBorder="1" applyAlignment="1">
      <alignment horizontal="left" vertical="center" wrapText="1"/>
    </xf>
    <xf numFmtId="0" fontId="4" fillId="8" borderId="9" xfId="10" applyFont="1" applyFill="1" applyBorder="1" applyAlignment="1">
      <alignment horizontal="center" vertical="center"/>
    </xf>
    <xf numFmtId="0" fontId="4" fillId="8" borderId="10" xfId="10" applyFont="1" applyFill="1" applyBorder="1" applyAlignment="1">
      <alignment horizontal="center" vertical="center"/>
    </xf>
    <xf numFmtId="0" fontId="4" fillId="8" borderId="11" xfId="10" applyFont="1" applyFill="1" applyBorder="1" applyAlignment="1">
      <alignment horizontal="center" vertical="center"/>
    </xf>
    <xf numFmtId="0" fontId="4" fillId="8" borderId="14" xfId="10" applyFont="1" applyFill="1" applyBorder="1" applyAlignment="1">
      <alignment horizontal="center" vertical="center"/>
    </xf>
    <xf numFmtId="0" fontId="4" fillId="8" borderId="15" xfId="10" applyFont="1" applyFill="1" applyBorder="1" applyAlignment="1">
      <alignment horizontal="center" vertical="center"/>
    </xf>
    <xf numFmtId="0" fontId="4" fillId="6" borderId="10" xfId="10" applyFont="1" applyFill="1" applyBorder="1" applyAlignment="1">
      <alignment horizontal="center" vertical="center"/>
    </xf>
    <xf numFmtId="0" fontId="9" fillId="2" borderId="10" xfId="7" applyFont="1" applyBorder="1" applyAlignment="1">
      <alignment horizontal="center" vertical="center" wrapText="1" shrinkToFit="1"/>
    </xf>
    <xf numFmtId="0" fontId="9" fillId="2" borderId="11" xfId="7" applyFont="1" applyBorder="1" applyAlignment="1">
      <alignment horizontal="center" vertical="center" wrapText="1"/>
    </xf>
    <xf numFmtId="0" fontId="9" fillId="2" borderId="12" xfId="7" applyFont="1" applyBorder="1" applyAlignment="1">
      <alignment horizontal="center" vertical="center" wrapText="1"/>
    </xf>
    <xf numFmtId="0" fontId="9" fillId="2" borderId="13" xfId="7" applyFont="1" applyBorder="1" applyAlignment="1">
      <alignment horizontal="center" vertical="center" wrapText="1"/>
    </xf>
    <xf numFmtId="0" fontId="9" fillId="2" borderId="16" xfId="10" applyFont="1" applyBorder="1" applyAlignment="1">
      <alignment vertical="center" wrapText="1"/>
    </xf>
    <xf numFmtId="0" fontId="9" fillId="2" borderId="17" xfId="10" applyFont="1" applyBorder="1" applyAlignment="1">
      <alignment vertical="center" wrapText="1"/>
    </xf>
    <xf numFmtId="0" fontId="9" fillId="2" borderId="18" xfId="10" applyFont="1" applyBorder="1" applyAlignment="1">
      <alignment vertical="center" wrapText="1"/>
    </xf>
    <xf numFmtId="0" fontId="9" fillId="2" borderId="20" xfId="10" applyFont="1" applyBorder="1" applyAlignment="1">
      <alignment vertical="center" wrapText="1"/>
    </xf>
    <xf numFmtId="0" fontId="9" fillId="2" borderId="0" xfId="10" applyFont="1" applyAlignment="1">
      <alignment vertical="center" wrapText="1"/>
    </xf>
    <xf numFmtId="0" fontId="9" fillId="2" borderId="21" xfId="10" applyFont="1" applyBorder="1" applyAlignment="1">
      <alignment vertical="center" wrapText="1"/>
    </xf>
    <xf numFmtId="0" fontId="10" fillId="2" borderId="7" xfId="6" applyFont="1" applyBorder="1" applyAlignment="1" applyProtection="1">
      <alignment horizontal="center" vertical="center"/>
      <protection locked="0"/>
    </xf>
    <xf numFmtId="0" fontId="11" fillId="5" borderId="41" xfId="10" applyFont="1" applyFill="1" applyBorder="1" applyAlignment="1">
      <alignment horizontal="center" vertical="center"/>
    </xf>
    <xf numFmtId="0" fontId="9" fillId="2" borderId="29" xfId="7" applyFont="1" applyBorder="1" applyAlignment="1">
      <alignment horizontal="center" vertical="center" shrinkToFit="1"/>
    </xf>
    <xf numFmtId="0" fontId="9" fillId="2" borderId="42" xfId="7" applyFont="1" applyBorder="1" applyAlignment="1">
      <alignment horizontal="left" vertical="center" wrapText="1"/>
    </xf>
    <xf numFmtId="0" fontId="9" fillId="2" borderId="43" xfId="7" applyFont="1" applyBorder="1" applyAlignment="1">
      <alignment horizontal="left" vertical="center" wrapText="1"/>
    </xf>
    <xf numFmtId="0" fontId="9" fillId="2" borderId="44" xfId="7" applyFont="1" applyBorder="1" applyAlignment="1">
      <alignment horizontal="left" vertical="center" wrapText="1"/>
    </xf>
    <xf numFmtId="0" fontId="9" fillId="2" borderId="36" xfId="10" applyFont="1" applyBorder="1" applyAlignment="1">
      <alignment horizontal="center" vertical="center" shrinkToFit="1"/>
    </xf>
    <xf numFmtId="0" fontId="9" fillId="9" borderId="7" xfId="10" applyFont="1" applyFill="1" applyBorder="1" applyAlignment="1">
      <alignment horizontal="center" vertical="center" shrinkToFit="1"/>
    </xf>
    <xf numFmtId="0" fontId="9" fillId="9" borderId="29" xfId="10" applyFont="1" applyFill="1" applyBorder="1" applyAlignment="1">
      <alignment horizontal="center" vertical="center" shrinkToFit="1"/>
    </xf>
    <xf numFmtId="0" fontId="9" fillId="2" borderId="29" xfId="3" applyFont="1" applyBorder="1" applyAlignment="1">
      <alignment horizontal="left" vertical="center" wrapText="1"/>
    </xf>
    <xf numFmtId="0" fontId="9" fillId="2" borderId="34" xfId="3" applyFont="1" applyBorder="1" applyAlignment="1">
      <alignment horizontal="left" vertical="center" wrapText="1"/>
    </xf>
    <xf numFmtId="0" fontId="4" fillId="4" borderId="6" xfId="10" applyFont="1" applyFill="1" applyBorder="1" applyAlignment="1">
      <alignment horizontal="center" vertical="center"/>
    </xf>
    <xf numFmtId="0" fontId="9" fillId="2" borderId="36" xfId="10" applyFont="1" applyBorder="1" applyAlignment="1">
      <alignment horizontal="center" vertical="center"/>
    </xf>
    <xf numFmtId="0" fontId="9" fillId="2" borderId="7" xfId="11" applyFont="1" applyBorder="1" applyAlignment="1">
      <alignment horizontal="left" vertical="center" wrapText="1"/>
    </xf>
    <xf numFmtId="0" fontId="9" fillId="2" borderId="8" xfId="11" applyFont="1" applyBorder="1" applyAlignment="1">
      <alignment horizontal="left" vertical="center" wrapText="1"/>
    </xf>
    <xf numFmtId="0" fontId="11" fillId="3" borderId="25" xfId="10" applyFont="1" applyFill="1" applyBorder="1" applyAlignment="1">
      <alignment horizontal="center" vertical="center" shrinkToFit="1"/>
    </xf>
    <xf numFmtId="0" fontId="11" fillId="3" borderId="26" xfId="10" applyFont="1" applyFill="1" applyBorder="1" applyAlignment="1">
      <alignment horizontal="center" vertical="center" shrinkToFit="1"/>
    </xf>
    <xf numFmtId="0" fontId="11" fillId="3" borderId="27" xfId="10" applyFont="1" applyFill="1" applyBorder="1" applyAlignment="1">
      <alignment horizontal="center" vertical="center" shrinkToFit="1"/>
    </xf>
    <xf numFmtId="0" fontId="9" fillId="2" borderId="28" xfId="7" applyFont="1" applyBorder="1" applyAlignment="1">
      <alignment horizontal="center" vertical="center" wrapText="1" shrinkToFit="1"/>
    </xf>
    <xf numFmtId="180" fontId="9" fillId="2" borderId="29" xfId="10" applyNumberFormat="1" applyFont="1" applyBorder="1" applyAlignment="1">
      <alignment horizontal="center" vertical="center"/>
    </xf>
    <xf numFmtId="0" fontId="10" fillId="2" borderId="10" xfId="10" applyFont="1" applyBorder="1" applyAlignment="1">
      <alignment horizontal="center" vertical="center" shrinkToFit="1"/>
    </xf>
    <xf numFmtId="0" fontId="9" fillId="2" borderId="16" xfId="11" applyFont="1" applyBorder="1" applyAlignment="1">
      <alignment vertical="center" wrapText="1"/>
    </xf>
    <xf numFmtId="0" fontId="9" fillId="2" borderId="17" xfId="11" applyFont="1" applyBorder="1" applyAlignment="1">
      <alignment vertical="center" wrapText="1"/>
    </xf>
    <xf numFmtId="0" fontId="9" fillId="2" borderId="18" xfId="11" applyFont="1" applyBorder="1" applyAlignment="1">
      <alignment vertical="center" wrapText="1"/>
    </xf>
    <xf numFmtId="0" fontId="9" fillId="2" borderId="20" xfId="11" applyFont="1" applyBorder="1" applyAlignment="1">
      <alignment vertical="center" wrapText="1"/>
    </xf>
    <xf numFmtId="0" fontId="9" fillId="2" borderId="0" xfId="11" applyFont="1" applyAlignment="1">
      <alignment vertical="center" wrapText="1"/>
    </xf>
    <xf numFmtId="0" fontId="9" fillId="2" borderId="21" xfId="11" applyFont="1" applyBorder="1" applyAlignment="1">
      <alignment vertical="center" wrapText="1"/>
    </xf>
    <xf numFmtId="0" fontId="10" fillId="2" borderId="15" xfId="10" applyFont="1" applyBorder="1" applyAlignment="1">
      <alignment horizontal="center" vertical="center" shrinkToFit="1"/>
    </xf>
    <xf numFmtId="0" fontId="9" fillId="2" borderId="22" xfId="11" applyFont="1" applyBorder="1" applyAlignment="1">
      <alignment vertical="center" wrapText="1"/>
    </xf>
    <xf numFmtId="0" fontId="9" fillId="2" borderId="23" xfId="11" applyFont="1" applyBorder="1" applyAlignment="1">
      <alignment vertical="center" wrapText="1"/>
    </xf>
    <xf numFmtId="0" fontId="9" fillId="2" borderId="24" xfId="11" applyFont="1" applyBorder="1" applyAlignment="1">
      <alignment vertical="center" wrapText="1"/>
    </xf>
    <xf numFmtId="0" fontId="9" fillId="2" borderId="16" xfId="29" applyFont="1" applyBorder="1" applyAlignment="1">
      <alignment horizontal="left" vertical="center" wrapText="1"/>
    </xf>
    <xf numFmtId="0" fontId="9" fillId="2" borderId="17" xfId="29" applyFont="1" applyBorder="1" applyAlignment="1">
      <alignment horizontal="left" vertical="center" wrapText="1"/>
    </xf>
    <xf numFmtId="0" fontId="9" fillId="2" borderId="18" xfId="29" applyFont="1" applyBorder="1" applyAlignment="1">
      <alignment horizontal="left" vertical="center" wrapText="1"/>
    </xf>
    <xf numFmtId="0" fontId="9" fillId="2" borderId="20" xfId="29" applyFont="1" applyBorder="1" applyAlignment="1">
      <alignment horizontal="left" vertical="center" wrapText="1"/>
    </xf>
    <xf numFmtId="0" fontId="9" fillId="2" borderId="0" xfId="29" applyFont="1" applyAlignment="1">
      <alignment horizontal="left" vertical="center" wrapText="1"/>
    </xf>
    <xf numFmtId="0" fontId="9" fillId="2" borderId="21" xfId="29" applyFont="1" applyBorder="1" applyAlignment="1">
      <alignment horizontal="left" vertical="center" wrapText="1"/>
    </xf>
    <xf numFmtId="0" fontId="9" fillId="2" borderId="10" xfId="10" applyFont="1" applyBorder="1" applyAlignment="1">
      <alignment horizontal="center" vertical="center"/>
    </xf>
    <xf numFmtId="0" fontId="9" fillId="2" borderId="19" xfId="10" applyFont="1" applyBorder="1" applyAlignment="1">
      <alignment horizontal="center" vertical="center"/>
    </xf>
    <xf numFmtId="0" fontId="9" fillId="2" borderId="28" xfId="10" applyFont="1" applyBorder="1" applyAlignment="1">
      <alignment horizontal="center" vertical="center"/>
    </xf>
    <xf numFmtId="0" fontId="9" fillId="2" borderId="30" xfId="7" applyFont="1" applyBorder="1" applyAlignment="1">
      <alignment horizontal="left" vertical="center" wrapText="1"/>
    </xf>
    <xf numFmtId="0" fontId="9" fillId="2" borderId="2" xfId="7" applyFont="1" applyBorder="1" applyAlignment="1">
      <alignment horizontal="left" vertical="center" wrapText="1"/>
    </xf>
    <xf numFmtId="0" fontId="9" fillId="2" borderId="31" xfId="7" applyFont="1" applyBorder="1" applyAlignment="1">
      <alignment horizontal="left" vertical="center" wrapText="1"/>
    </xf>
    <xf numFmtId="0" fontId="10" fillId="2" borderId="7" xfId="10" applyFont="1" applyBorder="1" applyAlignment="1">
      <alignment horizontal="center" vertical="center"/>
    </xf>
    <xf numFmtId="0" fontId="9" fillId="2" borderId="16" xfId="30" applyFont="1" applyBorder="1" applyAlignment="1">
      <alignment horizontal="left" vertical="center" wrapText="1"/>
    </xf>
    <xf numFmtId="0" fontId="9" fillId="2" borderId="17" xfId="30" applyFont="1" applyBorder="1" applyAlignment="1">
      <alignment horizontal="left" vertical="center" wrapText="1"/>
    </xf>
    <xf numFmtId="0" fontId="9" fillId="2" borderId="18" xfId="30" applyFont="1" applyBorder="1" applyAlignment="1">
      <alignment horizontal="left" vertical="center" wrapText="1"/>
    </xf>
    <xf numFmtId="0" fontId="9" fillId="2" borderId="19" xfId="10" applyFont="1" applyBorder="1" applyAlignment="1">
      <alignment horizontal="center" vertical="center" wrapText="1" shrinkToFit="1"/>
    </xf>
    <xf numFmtId="0" fontId="9" fillId="2" borderId="20" xfId="30" applyFont="1" applyBorder="1" applyAlignment="1">
      <alignment horizontal="left" vertical="center" wrapText="1"/>
    </xf>
    <xf numFmtId="0" fontId="9" fillId="2" borderId="0" xfId="30" applyFont="1" applyAlignment="1">
      <alignment horizontal="left" vertical="center" wrapText="1"/>
    </xf>
    <xf numFmtId="0" fontId="9" fillId="2" borderId="21" xfId="30" applyFont="1" applyBorder="1" applyAlignment="1">
      <alignment horizontal="left" vertical="center" wrapText="1"/>
    </xf>
    <xf numFmtId="0" fontId="9" fillId="2" borderId="15" xfId="10" applyFont="1" applyBorder="1" applyAlignment="1">
      <alignment horizontal="center" vertical="center" wrapText="1" shrinkToFit="1"/>
    </xf>
    <xf numFmtId="0" fontId="9" fillId="2" borderId="22" xfId="30" applyFont="1" applyBorder="1" applyAlignment="1">
      <alignment horizontal="left" vertical="center" wrapText="1"/>
    </xf>
    <xf numFmtId="0" fontId="9" fillId="2" borderId="23" xfId="30" applyFont="1" applyBorder="1" applyAlignment="1">
      <alignment horizontal="left" vertical="center" wrapText="1"/>
    </xf>
    <xf numFmtId="0" fontId="9" fillId="2" borderId="24" xfId="30" applyFont="1" applyBorder="1" applyAlignment="1">
      <alignment horizontal="left" vertical="center" wrapText="1"/>
    </xf>
    <xf numFmtId="0" fontId="12" fillId="2" borderId="19" xfId="7" applyFont="1" applyBorder="1" applyAlignment="1">
      <alignment horizontal="center" vertical="center" wrapText="1" shrinkToFit="1"/>
    </xf>
    <xf numFmtId="0" fontId="12" fillId="2" borderId="7" xfId="10" applyFont="1" applyBorder="1" applyAlignment="1">
      <alignment horizontal="center" vertical="center"/>
    </xf>
    <xf numFmtId="0" fontId="9" fillId="2" borderId="11" xfId="31" applyFont="1" applyBorder="1" applyAlignment="1">
      <alignment horizontal="left" vertical="center" wrapText="1"/>
    </xf>
    <xf numFmtId="0" fontId="9" fillId="2" borderId="12" xfId="31" applyFont="1" applyBorder="1" applyAlignment="1">
      <alignment horizontal="left" vertical="center" wrapText="1"/>
    </xf>
    <xf numFmtId="0" fontId="9" fillId="2" borderId="13" xfId="31" applyFont="1" applyBorder="1" applyAlignment="1">
      <alignment horizontal="left" vertical="center" wrapText="1"/>
    </xf>
    <xf numFmtId="0" fontId="12" fillId="2" borderId="28" xfId="10" applyFont="1" applyBorder="1" applyAlignment="1">
      <alignment horizontal="center" vertical="center"/>
    </xf>
    <xf numFmtId="0" fontId="9" fillId="2" borderId="42" xfId="7" applyFont="1" applyBorder="1" applyAlignment="1">
      <alignment horizontal="center" vertical="center" wrapText="1"/>
    </xf>
    <xf numFmtId="0" fontId="9" fillId="2" borderId="43" xfId="7" applyFont="1" applyBorder="1" applyAlignment="1">
      <alignment horizontal="center" vertical="center" wrapText="1"/>
    </xf>
    <xf numFmtId="0" fontId="9" fillId="2" borderId="44" xfId="7" applyFont="1" applyBorder="1" applyAlignment="1">
      <alignment horizontal="center" vertical="center" wrapText="1"/>
    </xf>
    <xf numFmtId="0" fontId="9" fillId="2" borderId="16" xfId="32" applyFont="1" applyBorder="1" applyAlignment="1">
      <alignment horizontal="left" vertical="center" wrapText="1"/>
    </xf>
    <xf numFmtId="0" fontId="9" fillId="2" borderId="17" xfId="32" applyFont="1" applyBorder="1" applyAlignment="1">
      <alignment horizontal="left" vertical="center" wrapText="1"/>
    </xf>
    <xf numFmtId="0" fontId="9" fillId="2" borderId="18" xfId="32" applyFont="1" applyBorder="1" applyAlignment="1">
      <alignment horizontal="left" vertical="center" wrapText="1"/>
    </xf>
    <xf numFmtId="0" fontId="9" fillId="2" borderId="20" xfId="32" applyFont="1" applyBorder="1" applyAlignment="1">
      <alignment horizontal="left" vertical="center" wrapText="1"/>
    </xf>
    <xf numFmtId="0" fontId="9" fillId="2" borderId="0" xfId="32" applyFont="1" applyAlignment="1">
      <alignment horizontal="left" vertical="center" wrapText="1"/>
    </xf>
    <xf numFmtId="0" fontId="9" fillId="2" borderId="21" xfId="32" applyFont="1" applyBorder="1" applyAlignment="1">
      <alignment horizontal="left" vertical="center" wrapText="1"/>
    </xf>
    <xf numFmtId="0" fontId="9" fillId="2" borderId="16" xfId="7" applyFont="1" applyBorder="1" applyAlignment="1">
      <alignment vertical="center" wrapText="1"/>
    </xf>
    <xf numFmtId="0" fontId="9" fillId="2" borderId="17" xfId="7" applyFont="1" applyBorder="1" applyAlignment="1">
      <alignment vertical="center" wrapText="1"/>
    </xf>
    <xf numFmtId="0" fontId="9" fillId="2" borderId="18" xfId="7" applyFont="1" applyBorder="1" applyAlignment="1">
      <alignment vertical="center" wrapText="1"/>
    </xf>
    <xf numFmtId="0" fontId="9" fillId="2" borderId="20" xfId="7" applyFont="1" applyBorder="1" applyAlignment="1">
      <alignment vertical="center" wrapText="1"/>
    </xf>
    <xf numFmtId="0" fontId="9" fillId="2" borderId="0" xfId="7" applyFont="1" applyAlignment="1">
      <alignment vertical="center" wrapText="1"/>
    </xf>
    <xf numFmtId="0" fontId="9" fillId="2" borderId="21" xfId="7" applyFont="1" applyBorder="1" applyAlignment="1">
      <alignment vertical="center" wrapText="1"/>
    </xf>
    <xf numFmtId="0" fontId="9" fillId="2" borderId="22" xfId="7" applyFont="1" applyBorder="1" applyAlignment="1">
      <alignment vertical="center" wrapText="1"/>
    </xf>
    <xf numFmtId="0" fontId="9" fillId="2" borderId="23" xfId="7" applyFont="1" applyBorder="1" applyAlignment="1">
      <alignment vertical="center" wrapText="1"/>
    </xf>
    <xf numFmtId="0" fontId="9" fillId="2" borderId="24" xfId="7" applyFont="1" applyBorder="1" applyAlignment="1">
      <alignment vertical="center" wrapText="1"/>
    </xf>
    <xf numFmtId="0" fontId="10" fillId="2" borderId="7" xfId="7" applyFont="1" applyBorder="1" applyAlignment="1">
      <alignment horizontal="center" vertical="center" wrapText="1" shrinkToFit="1"/>
    </xf>
    <xf numFmtId="0" fontId="9" fillId="2" borderId="11" xfId="33" applyFont="1" applyBorder="1" applyAlignment="1">
      <alignment horizontal="left" vertical="center" wrapText="1"/>
    </xf>
    <xf numFmtId="0" fontId="9" fillId="2" borderId="12" xfId="33" applyFont="1" applyBorder="1" applyAlignment="1">
      <alignment horizontal="left" vertical="center" wrapText="1"/>
    </xf>
    <xf numFmtId="0" fontId="9" fillId="2" borderId="13" xfId="33" applyFont="1" applyBorder="1" applyAlignment="1">
      <alignment horizontal="left" vertical="center" wrapText="1"/>
    </xf>
    <xf numFmtId="0" fontId="9" fillId="2" borderId="28" xfId="7" applyFont="1" applyBorder="1" applyAlignment="1">
      <alignment horizontal="center" vertical="center" shrinkToFit="1"/>
    </xf>
    <xf numFmtId="176" fontId="9" fillId="2" borderId="29" xfId="10" applyNumberFormat="1" applyFont="1" applyBorder="1" applyAlignment="1">
      <alignment horizontal="center" vertical="center"/>
    </xf>
    <xf numFmtId="0" fontId="10" fillId="2" borderId="15" xfId="6" applyFont="1" applyBorder="1" applyAlignment="1" applyProtection="1">
      <alignment horizontal="center" vertical="center"/>
      <protection locked="0"/>
    </xf>
    <xf numFmtId="0" fontId="15" fillId="2" borderId="35" xfId="6" applyFont="1" applyBorder="1" applyAlignment="1">
      <alignment horizontal="center" vertical="center"/>
    </xf>
    <xf numFmtId="0" fontId="11" fillId="5" borderId="32" xfId="10" applyFont="1" applyFill="1" applyBorder="1" applyAlignment="1">
      <alignment horizontal="center" vertical="center"/>
    </xf>
    <xf numFmtId="0" fontId="9" fillId="2" borderId="19" xfId="7" applyFont="1" applyBorder="1" applyAlignment="1">
      <alignment horizontal="center" vertical="center" shrinkToFit="1"/>
    </xf>
    <xf numFmtId="0" fontId="9" fillId="2" borderId="7" xfId="34" applyFont="1" applyBorder="1" applyAlignment="1">
      <alignment horizontal="left" vertical="center" wrapText="1"/>
    </xf>
    <xf numFmtId="0" fontId="9" fillId="2" borderId="8" xfId="34" applyFont="1" applyBorder="1" applyAlignment="1">
      <alignment horizontal="left" vertical="center" wrapText="1"/>
    </xf>
    <xf numFmtId="0" fontId="9" fillId="2" borderId="16" xfId="35" applyFont="1" applyBorder="1" applyAlignment="1">
      <alignment horizontal="left" vertical="center" wrapText="1"/>
    </xf>
    <xf numFmtId="0" fontId="9" fillId="2" borderId="17" xfId="35" applyFont="1" applyBorder="1" applyAlignment="1">
      <alignment horizontal="left" vertical="center" wrapText="1"/>
    </xf>
    <xf numFmtId="0" fontId="9" fillId="2" borderId="18" xfId="35" applyFont="1" applyBorder="1" applyAlignment="1">
      <alignment horizontal="left" vertical="center" wrapText="1"/>
    </xf>
    <xf numFmtId="0" fontId="9" fillId="2" borderId="20" xfId="35" applyFont="1" applyBorder="1" applyAlignment="1">
      <alignment horizontal="left" vertical="center" wrapText="1"/>
    </xf>
    <xf numFmtId="0" fontId="9" fillId="2" borderId="0" xfId="35" applyFont="1" applyAlignment="1">
      <alignment horizontal="left" vertical="center" wrapText="1"/>
    </xf>
    <xf numFmtId="0" fontId="9" fillId="2" borderId="21" xfId="35" applyFont="1" applyBorder="1" applyAlignment="1">
      <alignment horizontal="left" vertical="center" wrapText="1"/>
    </xf>
    <xf numFmtId="0" fontId="9" fillId="2" borderId="22" xfId="35" applyFont="1" applyBorder="1" applyAlignment="1">
      <alignment horizontal="left" vertical="center" wrapText="1"/>
    </xf>
    <xf numFmtId="0" fontId="9" fillId="2" borderId="23" xfId="35" applyFont="1" applyBorder="1" applyAlignment="1">
      <alignment horizontal="left" vertical="center" wrapText="1"/>
    </xf>
    <xf numFmtId="0" fontId="9" fillId="2" borderId="24" xfId="35" applyFont="1" applyBorder="1" applyAlignment="1">
      <alignment horizontal="left" vertical="center" wrapText="1"/>
    </xf>
    <xf numFmtId="0" fontId="9" fillId="2" borderId="28" xfId="7" applyFont="1" applyBorder="1" applyAlignment="1">
      <alignment horizontal="center" vertical="center" shrinkToFit="1"/>
    </xf>
    <xf numFmtId="0" fontId="4" fillId="5" borderId="9" xfId="10" applyFont="1" applyFill="1" applyBorder="1" applyAlignment="1">
      <alignment horizontal="center" vertical="center"/>
    </xf>
    <xf numFmtId="0" fontId="9" fillId="2" borderId="10" xfId="10" applyFont="1" applyBorder="1" applyAlignment="1">
      <alignment horizontal="center" vertical="center" shrinkToFit="1"/>
    </xf>
    <xf numFmtId="0" fontId="4" fillId="5" borderId="32" xfId="10" applyFont="1" applyFill="1" applyBorder="1" applyAlignment="1">
      <alignment horizontal="center" vertical="center"/>
    </xf>
    <xf numFmtId="0" fontId="9" fillId="2" borderId="7" xfId="36" applyFont="1" applyBorder="1" applyAlignment="1">
      <alignment horizontal="left" vertical="center" wrapText="1"/>
    </xf>
    <xf numFmtId="0" fontId="9" fillId="2" borderId="8" xfId="36" applyFont="1" applyBorder="1" applyAlignment="1">
      <alignment horizontal="left" vertical="center" wrapText="1"/>
    </xf>
    <xf numFmtId="0" fontId="9" fillId="2" borderId="16" xfId="37" applyFont="1" applyBorder="1" applyAlignment="1">
      <alignment horizontal="left" vertical="center" wrapText="1"/>
    </xf>
    <xf numFmtId="0" fontId="9" fillId="2" borderId="17" xfId="37" applyFont="1" applyBorder="1" applyAlignment="1">
      <alignment horizontal="left" vertical="center" wrapText="1"/>
    </xf>
    <xf numFmtId="0" fontId="9" fillId="2" borderId="18" xfId="37" applyFont="1" applyBorder="1" applyAlignment="1">
      <alignment horizontal="left" vertical="center" wrapText="1"/>
    </xf>
    <xf numFmtId="0" fontId="9" fillId="2" borderId="20" xfId="37" applyFont="1" applyBorder="1" applyAlignment="1">
      <alignment horizontal="left" vertical="center" wrapText="1"/>
    </xf>
    <xf numFmtId="0" fontId="9" fillId="2" borderId="0" xfId="37" applyFont="1" applyAlignment="1">
      <alignment horizontal="left" vertical="center" wrapText="1"/>
    </xf>
    <xf numFmtId="0" fontId="9" fillId="2" borderId="21" xfId="37" applyFont="1" applyBorder="1" applyAlignment="1">
      <alignment horizontal="left" vertical="center" wrapText="1"/>
    </xf>
    <xf numFmtId="0" fontId="9" fillId="2" borderId="22" xfId="37" applyFont="1" applyBorder="1" applyAlignment="1">
      <alignment horizontal="left" vertical="center" wrapText="1"/>
    </xf>
    <xf numFmtId="0" fontId="9" fillId="2" borderId="23" xfId="37" applyFont="1" applyBorder="1" applyAlignment="1">
      <alignment horizontal="left" vertical="center" wrapText="1"/>
    </xf>
    <xf numFmtId="0" fontId="9" fillId="2" borderId="24" xfId="37" applyFont="1" applyBorder="1" applyAlignment="1">
      <alignment horizontal="left" vertical="center" wrapText="1"/>
    </xf>
    <xf numFmtId="0" fontId="9" fillId="2" borderId="10" xfId="3" applyFont="1" applyBorder="1" applyAlignment="1">
      <alignment horizontal="left" vertical="center" wrapText="1"/>
    </xf>
    <xf numFmtId="0" fontId="9" fillId="2" borderId="45" xfId="3" applyFont="1" applyBorder="1" applyAlignment="1">
      <alignment horizontal="left" vertical="center" wrapText="1"/>
    </xf>
    <xf numFmtId="0" fontId="9" fillId="2" borderId="28" xfId="10" applyFont="1" applyBorder="1" applyAlignment="1">
      <alignment horizontal="center" vertical="center" wrapText="1" shrinkToFit="1"/>
    </xf>
    <xf numFmtId="0" fontId="9" fillId="2" borderId="10" xfId="7" applyFont="1" applyBorder="1" applyAlignment="1">
      <alignment horizontal="left" vertical="center" wrapText="1"/>
    </xf>
    <xf numFmtId="0" fontId="9" fillId="2" borderId="45" xfId="7" applyFont="1" applyBorder="1" applyAlignment="1">
      <alignment horizontal="left" vertical="center" wrapText="1"/>
    </xf>
    <xf numFmtId="0" fontId="10" fillId="2" borderId="15" xfId="7" applyFont="1" applyBorder="1" applyAlignment="1">
      <alignment horizontal="center" vertical="center" wrapText="1" shrinkToFit="1"/>
    </xf>
    <xf numFmtId="0" fontId="9" fillId="2" borderId="15" xfId="38" applyFont="1" applyBorder="1" applyAlignment="1">
      <alignment horizontal="center" vertical="center" shrinkToFit="1"/>
    </xf>
    <xf numFmtId="179" fontId="9" fillId="2" borderId="15" xfId="10" applyNumberFormat="1" applyFont="1" applyBorder="1" applyAlignment="1">
      <alignment horizontal="center" vertical="center"/>
    </xf>
    <xf numFmtId="0" fontId="9" fillId="2" borderId="7" xfId="38" applyFont="1" applyBorder="1" applyAlignment="1">
      <alignment horizontal="center" vertical="center" shrinkToFit="1"/>
    </xf>
    <xf numFmtId="0" fontId="9" fillId="2" borderId="16" xfId="39" applyFont="1" applyBorder="1" applyAlignment="1">
      <alignment horizontal="left" vertical="center" wrapText="1"/>
    </xf>
    <xf numFmtId="0" fontId="9" fillId="2" borderId="17" xfId="39" applyFont="1" applyBorder="1" applyAlignment="1">
      <alignment horizontal="left" vertical="center" wrapText="1"/>
    </xf>
    <xf numFmtId="0" fontId="9" fillId="2" borderId="18" xfId="39" applyFont="1" applyBorder="1" applyAlignment="1">
      <alignment horizontal="left" vertical="center" wrapText="1"/>
    </xf>
    <xf numFmtId="0" fontId="9" fillId="2" borderId="20" xfId="39" applyFont="1" applyBorder="1" applyAlignment="1">
      <alignment horizontal="left" vertical="center" wrapText="1"/>
    </xf>
    <xf numFmtId="0" fontId="9" fillId="2" borderId="0" xfId="39" applyFont="1" applyAlignment="1">
      <alignment horizontal="left" vertical="center" wrapText="1"/>
    </xf>
    <xf numFmtId="0" fontId="9" fillId="2" borderId="21" xfId="39" applyFont="1" applyBorder="1" applyAlignment="1">
      <alignment horizontal="left" vertical="center" wrapText="1"/>
    </xf>
    <xf numFmtId="0" fontId="9" fillId="2" borderId="7" xfId="40" applyFont="1" applyBorder="1" applyAlignment="1">
      <alignment horizontal="left" vertical="center" wrapText="1"/>
    </xf>
    <xf numFmtId="0" fontId="9" fillId="2" borderId="8" xfId="40" applyFont="1" applyBorder="1" applyAlignment="1">
      <alignment horizontal="left" vertical="center" wrapText="1"/>
    </xf>
    <xf numFmtId="0" fontId="9" fillId="2" borderId="16" xfId="14" applyFont="1" applyBorder="1" applyAlignment="1">
      <alignment vertical="center" wrapText="1"/>
    </xf>
    <xf numFmtId="0" fontId="9" fillId="2" borderId="17" xfId="14" applyFont="1" applyBorder="1" applyAlignment="1">
      <alignment vertical="center" wrapText="1"/>
    </xf>
    <xf numFmtId="0" fontId="9" fillId="2" borderId="18" xfId="14" applyFont="1" applyBorder="1" applyAlignment="1">
      <alignment vertical="center" wrapText="1"/>
    </xf>
    <xf numFmtId="0" fontId="9" fillId="2" borderId="20" xfId="14" applyFont="1" applyBorder="1" applyAlignment="1">
      <alignment vertical="center" wrapText="1"/>
    </xf>
    <xf numFmtId="0" fontId="9" fillId="2" borderId="0" xfId="14" applyFont="1" applyAlignment="1">
      <alignment vertical="center" wrapText="1"/>
    </xf>
    <xf numFmtId="0" fontId="9" fillId="2" borderId="21" xfId="14" applyFont="1" applyBorder="1" applyAlignment="1">
      <alignment vertical="center" wrapText="1"/>
    </xf>
    <xf numFmtId="0" fontId="9" fillId="2" borderId="22" xfId="14" applyFont="1" applyBorder="1" applyAlignment="1">
      <alignment vertical="center" wrapText="1"/>
    </xf>
    <xf numFmtId="0" fontId="9" fillId="2" borderId="23" xfId="14" applyFont="1" applyBorder="1" applyAlignment="1">
      <alignment vertical="center" wrapText="1"/>
    </xf>
    <xf numFmtId="0" fontId="9" fillId="2" borderId="24" xfId="14" applyFont="1" applyBorder="1" applyAlignment="1">
      <alignment vertical="center" wrapText="1"/>
    </xf>
    <xf numFmtId="0" fontId="11" fillId="5" borderId="33" xfId="10" applyFont="1" applyFill="1" applyBorder="1" applyAlignment="1">
      <alignment horizontal="center" vertical="center"/>
    </xf>
    <xf numFmtId="0" fontId="9" fillId="2" borderId="29" xfId="11" applyFont="1" applyBorder="1" applyAlignment="1">
      <alignment horizontal="left" vertical="center" wrapText="1"/>
    </xf>
    <xf numFmtId="0" fontId="9" fillId="2" borderId="34" xfId="11" applyFont="1" applyBorder="1" applyAlignment="1">
      <alignment horizontal="left" vertical="center" wrapText="1"/>
    </xf>
    <xf numFmtId="0" fontId="9" fillId="2" borderId="7" xfId="41" applyFont="1" applyBorder="1" applyAlignment="1">
      <alignment horizontal="left" vertical="center" wrapText="1"/>
    </xf>
    <xf numFmtId="0" fontId="9" fillId="2" borderId="8" xfId="41" applyFont="1" applyBorder="1" applyAlignment="1">
      <alignment horizontal="left" vertical="center" wrapText="1"/>
    </xf>
    <xf numFmtId="0" fontId="9" fillId="2" borderId="7" xfId="10" applyFont="1" applyBorder="1" applyAlignment="1">
      <alignment horizontal="center" vertical="center" wrapText="1" shrinkToFit="1"/>
    </xf>
    <xf numFmtId="0" fontId="9" fillId="2" borderId="22" xfId="10" applyFont="1" applyBorder="1" applyAlignment="1">
      <alignment vertical="center" wrapText="1"/>
    </xf>
    <xf numFmtId="0" fontId="9" fillId="2" borderId="23" xfId="10" applyFont="1" applyBorder="1" applyAlignment="1">
      <alignment vertical="center" wrapText="1"/>
    </xf>
    <xf numFmtId="0" fontId="9" fillId="2" borderId="24" xfId="10" applyFont="1" applyBorder="1" applyAlignment="1">
      <alignment vertical="center" wrapText="1"/>
    </xf>
    <xf numFmtId="0" fontId="9" fillId="2" borderId="15" xfId="11" applyFont="1" applyBorder="1" applyAlignment="1">
      <alignment horizontal="center" vertical="center"/>
    </xf>
    <xf numFmtId="180" fontId="9" fillId="2" borderId="15" xfId="11" applyNumberFormat="1" applyFont="1" applyBorder="1" applyAlignment="1">
      <alignment horizontal="center" vertical="center"/>
    </xf>
    <xf numFmtId="1" fontId="9" fillId="2" borderId="15" xfId="11" applyNumberFormat="1" applyFont="1" applyBorder="1" applyAlignment="1">
      <alignment horizontal="center" vertical="center"/>
    </xf>
    <xf numFmtId="0" fontId="10" fillId="2" borderId="15" xfId="7" applyFont="1" applyBorder="1" applyAlignment="1">
      <alignment horizontal="center" vertical="center" shrinkToFit="1"/>
    </xf>
    <xf numFmtId="0" fontId="9" fillId="2" borderId="22" xfId="14" applyFont="1" applyBorder="1" applyAlignment="1">
      <alignment horizontal="left" vertical="center" wrapText="1"/>
    </xf>
    <xf numFmtId="0" fontId="9" fillId="2" borderId="23" xfId="14" applyFont="1" applyBorder="1" applyAlignment="1">
      <alignment horizontal="left" vertical="center" wrapText="1"/>
    </xf>
    <xf numFmtId="0" fontId="9" fillId="2" borderId="24" xfId="14" applyFont="1" applyBorder="1" applyAlignment="1">
      <alignment horizontal="left" vertical="center" wrapText="1"/>
    </xf>
    <xf numFmtId="0" fontId="9" fillId="2" borderId="30" xfId="11" applyFont="1" applyBorder="1" applyAlignment="1">
      <alignment vertical="center" wrapText="1"/>
    </xf>
    <xf numFmtId="0" fontId="9" fillId="2" borderId="2" xfId="11" applyFont="1" applyBorder="1" applyAlignment="1">
      <alignment vertical="center" wrapText="1"/>
    </xf>
    <xf numFmtId="0" fontId="9" fillId="2" borderId="31" xfId="11" applyFont="1" applyBorder="1" applyAlignment="1">
      <alignment vertical="center" wrapText="1"/>
    </xf>
    <xf numFmtId="0" fontId="9" fillId="2" borderId="36" xfId="7" applyFont="1" applyBorder="1" applyAlignment="1">
      <alignment horizontal="center" vertical="center" shrinkToFit="1"/>
    </xf>
    <xf numFmtId="0" fontId="9" fillId="2" borderId="16" xfId="42" applyFont="1" applyBorder="1" applyAlignment="1">
      <alignment horizontal="left" vertical="center" wrapText="1"/>
    </xf>
    <xf numFmtId="0" fontId="9" fillId="2" borderId="17" xfId="42" applyFont="1" applyBorder="1" applyAlignment="1">
      <alignment horizontal="left" vertical="center" wrapText="1"/>
    </xf>
    <xf numFmtId="0" fontId="9" fillId="2" borderId="18" xfId="42" applyFont="1" applyBorder="1" applyAlignment="1">
      <alignment horizontal="left" vertical="center" wrapText="1"/>
    </xf>
    <xf numFmtId="0" fontId="9" fillId="2" borderId="22" xfId="42" applyFont="1" applyBorder="1" applyAlignment="1">
      <alignment horizontal="left" vertical="center" wrapText="1"/>
    </xf>
    <xf numFmtId="0" fontId="9" fillId="2" borderId="23" xfId="42" applyFont="1" applyBorder="1" applyAlignment="1">
      <alignment horizontal="left" vertical="center" wrapText="1"/>
    </xf>
    <xf numFmtId="0" fontId="9" fillId="2" borderId="24" xfId="42" applyFont="1" applyBorder="1" applyAlignment="1">
      <alignment horizontal="left" vertical="center" wrapText="1"/>
    </xf>
    <xf numFmtId="176" fontId="9" fillId="2" borderId="10" xfId="10" applyNumberFormat="1" applyFont="1" applyBorder="1" applyAlignment="1">
      <alignment horizontal="center" vertical="center"/>
    </xf>
    <xf numFmtId="0" fontId="12" fillId="2" borderId="0" xfId="10" applyFont="1" applyAlignment="1">
      <alignment vertical="center" wrapText="1"/>
    </xf>
    <xf numFmtId="0" fontId="8" fillId="7" borderId="3" xfId="10" applyFont="1" applyFill="1" applyBorder="1" applyAlignment="1">
      <alignment horizontal="center" vertical="center" wrapText="1"/>
    </xf>
    <xf numFmtId="0" fontId="9" fillId="2" borderId="11" xfId="43" applyFont="1" applyBorder="1" applyAlignment="1">
      <alignment horizontal="left" vertical="center" wrapText="1"/>
    </xf>
    <xf numFmtId="0" fontId="9" fillId="2" borderId="12" xfId="43" applyFont="1" applyBorder="1" applyAlignment="1">
      <alignment horizontal="left" vertical="center" wrapText="1"/>
    </xf>
    <xf numFmtId="0" fontId="9" fillId="2" borderId="13" xfId="43" applyFont="1" applyBorder="1" applyAlignment="1">
      <alignment horizontal="left" vertical="center" wrapText="1"/>
    </xf>
  </cellXfs>
  <cellStyles count="44">
    <cellStyle name="표준" xfId="0" builtinId="0"/>
    <cellStyle name="표준 10 2 2 2 2 2 2 2 2 2 2 2 2 2 2 2 2 2 2 2 2 2 2 2 2 2 2 2 2 2 2 2 2 2 2 2 2 2 2 2 2 2 2 2 2 2 2 2 2 2 2 2 2" xfId="10" xr:uid="{061AB8A8-22ED-4C77-9292-AB16235BBE32}"/>
    <cellStyle name="표준 10 2 2 2 2 2 2 2 2 2 2 2 2 2 2 2 2 2 2 2 2 2 2 2 2 2 2 2 2 2 2 2 2 2 2 2 2 2 2 2 2 2 2 3 2 2 2" xfId="23" xr:uid="{70F44EF3-E74B-4331-A212-9B943B5E12B3}"/>
    <cellStyle name="표준 10 2 2 2 2 2 2 2 2 2 2 2 2 2 2 2 2 2 2 2 2 2 2 2 2 2 2 4 2 2 2 3 2 2 2 2 2 2 2 2 2 2 2 2" xfId="41" xr:uid="{4A9E3A8E-3398-4AA6-A49E-92CD742CBB86}"/>
    <cellStyle name="표준 10 2 2 2 2 2 2 2 2 2 2 2 2 2 2 2 2 2 2 2 2 2 2 2 3 2 2 2 2 3 2 2 2 2 2 3 2 2" xfId="25" xr:uid="{EAA3F0F3-2C53-470A-89D2-A41B49E94B3C}"/>
    <cellStyle name="표준 10 2 2 2 2 2 2 2 2 2 2 2 2 2 2 2 2 2 2 2 2 2 2 2 3 2 2 2 2 3 2 2 2 2 2 3 3 2" xfId="36" xr:uid="{3032D40D-0BE5-4A57-B6D8-F39D274CF29B}"/>
    <cellStyle name="표준 10 2 2 2 2 2 2 2 2 2 2 2 2 2 2 2 2 2 2 2 2 2 2 2 3 2 2 2 2 3 2 2 2 2 3 2 2 2 2" xfId="26" xr:uid="{82B215FA-2E30-482A-806E-F90937C3690A}"/>
    <cellStyle name="표준 10 2 2 2 2 2 2 2 2 2 2 2 2 2 2 2 2 2 2 2 2 2 2 2 3 2 2 2 2 3 2 2 2 2 3 3 2 2" xfId="30" xr:uid="{F0F5CF8A-D914-4D74-980B-392A2AADF93C}"/>
    <cellStyle name="표준 10 2 2 2 2 2 2 2 2 2 2 2 2 2 2 2 2 2 2 2 2 2 2 2 3 2 2 2 3 2 2 2 2" xfId="4" xr:uid="{0B45B595-AC80-46A8-8F5D-4A63A667F27E}"/>
    <cellStyle name="표준 10 2 2 2 2 2 2 2 2 2 2 2 2 2 2 2 2 2 2 2 2 2 3 7 2 2" xfId="33" xr:uid="{7FA6AAFB-4F35-4C47-93F6-3B57C658A5BB}"/>
    <cellStyle name="표준 10 2 2 2 2 2 2 2 2 2 2 2 2 2 2 2 2 2 2 2 2 2 3 7 3" xfId="17" xr:uid="{7AD27AFB-5D6C-48D1-BB6F-498F1CBF8B3A}"/>
    <cellStyle name="표준 10 2 2 2 2 2 2 2 2 2 3 2 2 2 2 2 5" xfId="42" xr:uid="{E91C7997-D533-4012-9BAF-0D5DCE62700B}"/>
    <cellStyle name="표준 16 3 2 2 2 2 3 2" xfId="13" xr:uid="{EE72B118-2A94-4988-8841-91BBA48E0DDA}"/>
    <cellStyle name="표준 16 3 2 3 2 2 2 2 2" xfId="20" xr:uid="{D30BFB5D-5498-4B8E-AFBD-3670A5A6C805}"/>
    <cellStyle name="표준 2" xfId="6" xr:uid="{909E132D-14D1-4A1F-9B2C-2D0E141AD1C5}"/>
    <cellStyle name="표준 22 2 2 2" xfId="16" xr:uid="{D5B957CD-EEFD-4EBD-8561-69B2B8991EEF}"/>
    <cellStyle name="표준 26 2 2" xfId="24" xr:uid="{F662ABDD-7F3D-45A5-A3C1-58C13E146F6E}"/>
    <cellStyle name="표준 37 2 2 2 2 2 2 2" xfId="19" xr:uid="{BEB17DA3-AC96-4789-B631-5A42547CB61D}"/>
    <cellStyle name="표준 4 10 2 2 5 2 2 2 2 2 2 2 2 2 2 2 2 2 2 2 2 2 2 2 2 2 2 2 2 2 2 2 2 2 2 2 2 2 2 2 2 2 2 2 2" xfId="7" xr:uid="{BB248F90-56B2-4D45-8A2D-F6A7DAEFA432}"/>
    <cellStyle name="표준 4 10 2 2 5 2 2 2 2 2 2 2 2 2 2 2 2 2 2 2 2 2 2 2 2 2 2 2 2 2 2 2 2 2 2 2 2 2 2 2 3 2 2 2" xfId="3" xr:uid="{C65C1220-24AD-4107-A085-5E7A5C7B97FB}"/>
    <cellStyle name="표준 4 10 2 2 5 2 2 2 2 2 2 2 2 2 2 2 2 2 2 2 2 2 2 2 2 2 2 2 2 2 2 2 2 2 2 3 2 3 2 2 2 2" xfId="14" xr:uid="{2EAADF39-96C8-4EE7-B651-94EEA14ADEB0}"/>
    <cellStyle name="표준 4 10 2 2 5 2 2 2 2 2 2 2 2 2 2 2 2 2 2 2 2 2 2 2 2 2 2 2 2 2 2 2 2 2 2 3 4 3 2 2 2 2" xfId="15" xr:uid="{9E466A68-9EE4-4857-9CBB-B8F2E0B75C70}"/>
    <cellStyle name="표준 4 10 2 2 5 2 2 2 2 2 2 2 2 2 2 2 2 2 2 2 2 2 2 2 2 2 2 2 2 2 2 2 2 3 2 2 2 2 2" xfId="31" xr:uid="{56C18AB3-D747-40A7-987D-53410518A438}"/>
    <cellStyle name="표준 4 10 2 2 5 2 2 2 2 2 2 2 2 2 2 2 2 2 2 2 2 2 2 2 2 2 2 2 2 2 2 2 2 3 3 2 2 2 2 2 2" xfId="5" xr:uid="{8C114F7B-2CDC-456F-95DB-4859D77770BB}"/>
    <cellStyle name="표준 4 10 2 2 5 2 2 2 2 2 2 2 2 2 2 2 2 2 2 2 2 2 2 2 2 2 2 2 3 2 2 2 2 2 2 2 4 2 2" xfId="40" xr:uid="{001035FC-3D3C-4AF5-A79F-0EF9C2A0F77D}"/>
    <cellStyle name="표준 4 10 2 2 5 2 2 2 2 2 2 2 2 2 2 2 2 2 2 2 2 2 2 2 2 2 2 2 3 2 2 2 2 3 2 2 2" xfId="27" xr:uid="{1CDFE00F-A754-4E27-A9EA-79528EB8A183}"/>
    <cellStyle name="표준 4 10 2 2 5 2 2 2 2 2 2 2 2 2 2 2 2 2 2 2 2 2 2 2 2 2 2 2 3 2 2 3 2 2 2 3 2 2 2" xfId="22" xr:uid="{16D2D723-D214-4EA2-B8D0-CC660213B3C3}"/>
    <cellStyle name="표준 4 10 2 2 5 2 2 2 2 2 2 2 2 2 2 2 2 2 2 2 2 2 2 2 2 2 2 2 5 2 2 2" xfId="18" xr:uid="{36B5BB04-86C5-4981-B49C-04A0B281A16E}"/>
    <cellStyle name="표준 4 10 2 2 5 2 2 2 2 2 2 2 2 2 2 2 2 2 2 2 2 2 3 2 3 2 3 2 2 2 2" xfId="12" xr:uid="{A8E59705-F630-401F-85B8-2BABBFE44B31}"/>
    <cellStyle name="표준 4 10 2 2 5 2 2 2 2 2 2 2 2 2 2 2 2 2 2 6 2 2 2 2" xfId="21" xr:uid="{630C14BA-9CCE-4FE3-895E-2433DA4CB473}"/>
    <cellStyle name="표준 4 10 2 2 5 2 2 2 2 2 2 2 2 2 2 2 2 2 3 9 2 2" xfId="29" xr:uid="{484AB410-70DB-439D-AC76-C2D023F989E4}"/>
    <cellStyle name="표준 4 10 2 2 5 2 2 2 2 2 2 2 2 2 2 2 2 3 3 2 2 2" xfId="8" xr:uid="{3F470CAB-CBF5-4C22-8829-80286DA30641}"/>
    <cellStyle name="표준 4 25 2 2 2 2 2 2 2 3 2 2 2 2 2 2 3 2 2 3" xfId="43" xr:uid="{B5E204A5-F27E-46A4-A394-20F9C2D158AD}"/>
    <cellStyle name="표준 4 3" xfId="11" xr:uid="{2E29559E-E229-4C8C-B49E-047023255EC5}"/>
    <cellStyle name="표준 4 4 2 2 2 2 2 2 2 2 2 2 2 2 2 2 2 2 2 2 2 2 2 2 2 2 2 2 2 2 2 3 2 2 2 2" xfId="34" xr:uid="{B7342F55-5BE6-4AC7-A5C4-C8A9CF9BCA95}"/>
    <cellStyle name="표준 4 42 3 2 2 2 2 2 2 2" xfId="32" xr:uid="{BAED6C14-DED3-43B4-89BD-E0AD6CE97432}"/>
    <cellStyle name="표준 4 52 4 2 2" xfId="35" xr:uid="{B1BD1EBC-CC5F-447E-8FC2-32239E43267E}"/>
    <cellStyle name="표준 4 57" xfId="2" xr:uid="{1D7918E1-004A-4DAA-86FB-47B29EF5449E}"/>
    <cellStyle name="표준 44 4 2" xfId="9" xr:uid="{6D6F445C-5B57-43AC-8D02-065FF0460550}"/>
    <cellStyle name="표준 49 2 2" xfId="37" xr:uid="{C4DD9AC1-0FB9-4BD7-B381-BFF9696BF7D7}"/>
    <cellStyle name="표준 5" xfId="38" xr:uid="{65E3BF78-CBBD-43E2-BFDD-8CDE964CC2D4}"/>
    <cellStyle name="표준 50 2 2 2" xfId="28" xr:uid="{40939E86-1EF1-4F1E-9979-F6BDC600A094}"/>
    <cellStyle name="표준 52 2" xfId="39" xr:uid="{BB44EFED-AD2A-43E1-8125-0251FE911D5D}"/>
    <cellStyle name="표준 53" xfId="1" xr:uid="{76B7EC93-C102-49A0-9B59-2E083A75FC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85CE42DC-326E-4DF8-98EC-36EC905A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39</xdr:row>
      <xdr:rowOff>0</xdr:rowOff>
    </xdr:from>
    <xdr:ext cx="9179938" cy="943200"/>
    <xdr:pic>
      <xdr:nvPicPr>
        <xdr:cNvPr id="3" name="그림 2">
          <a:extLst>
            <a:ext uri="{FF2B5EF4-FFF2-40B4-BE49-F238E27FC236}">
              <a16:creationId xmlns:a16="http://schemas.microsoft.com/office/drawing/2014/main" id="{026CE1D6-34C3-40E9-8395-52867B957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94297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121</xdr:row>
      <xdr:rowOff>0</xdr:rowOff>
    </xdr:from>
    <xdr:ext cx="9179938" cy="943200"/>
    <xdr:pic>
      <xdr:nvPicPr>
        <xdr:cNvPr id="4" name="그림 3">
          <a:extLst>
            <a:ext uri="{FF2B5EF4-FFF2-40B4-BE49-F238E27FC236}">
              <a16:creationId xmlns:a16="http://schemas.microsoft.com/office/drawing/2014/main" id="{AFDA12BE-1A29-48EA-9242-89900434B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298132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158</xdr:row>
      <xdr:rowOff>0</xdr:rowOff>
    </xdr:from>
    <xdr:ext cx="9179938" cy="943200"/>
    <xdr:pic>
      <xdr:nvPicPr>
        <xdr:cNvPr id="5" name="그림 4">
          <a:extLst>
            <a:ext uri="{FF2B5EF4-FFF2-40B4-BE49-F238E27FC236}">
              <a16:creationId xmlns:a16="http://schemas.microsoft.com/office/drawing/2014/main" id="{13A36C03-9D9F-4360-8928-9168DB449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93001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191</xdr:row>
      <xdr:rowOff>0</xdr:rowOff>
    </xdr:from>
    <xdr:ext cx="9179938" cy="943200"/>
    <xdr:pic>
      <xdr:nvPicPr>
        <xdr:cNvPr id="6" name="그림 5">
          <a:extLst>
            <a:ext uri="{FF2B5EF4-FFF2-40B4-BE49-F238E27FC236}">
              <a16:creationId xmlns:a16="http://schemas.microsoft.com/office/drawing/2014/main" id="{D943D7BD-8BE1-46E3-8704-07B84D8F9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766310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227</xdr:row>
      <xdr:rowOff>0</xdr:rowOff>
    </xdr:from>
    <xdr:ext cx="9179938" cy="943200"/>
    <xdr:pic>
      <xdr:nvPicPr>
        <xdr:cNvPr id="7" name="그림 6">
          <a:extLst>
            <a:ext uri="{FF2B5EF4-FFF2-40B4-BE49-F238E27FC236}">
              <a16:creationId xmlns:a16="http://schemas.microsoft.com/office/drawing/2014/main" id="{91583DAF-22E1-4690-87AE-B2260B959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6711850"/>
          <a:ext cx="9179938" cy="943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7A9AC63C-8E05-4164-B61C-AA9B485FE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83</xdr:row>
      <xdr:rowOff>0</xdr:rowOff>
    </xdr:from>
    <xdr:ext cx="9179938" cy="943200"/>
    <xdr:pic>
      <xdr:nvPicPr>
        <xdr:cNvPr id="9" name="그림 8">
          <a:extLst>
            <a:ext uri="{FF2B5EF4-FFF2-40B4-BE49-F238E27FC236}">
              <a16:creationId xmlns:a16="http://schemas.microsoft.com/office/drawing/2014/main" id="{F98CC626-2806-4083-9547-7B353F705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0307300"/>
          <a:ext cx="9179938" cy="94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2A9D31F9-3D56-4448-98DD-E9CC3E865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80</xdr:row>
      <xdr:rowOff>8805</xdr:rowOff>
    </xdr:from>
    <xdr:ext cx="9179938" cy="943200"/>
    <xdr:pic>
      <xdr:nvPicPr>
        <xdr:cNvPr id="3" name="그림 2">
          <a:extLst>
            <a:ext uri="{FF2B5EF4-FFF2-40B4-BE49-F238E27FC236}">
              <a16:creationId xmlns:a16="http://schemas.microsoft.com/office/drawing/2014/main" id="{B0792984-EB4A-4471-B1C5-C2312D2EB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32741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183</xdr:row>
      <xdr:rowOff>0</xdr:rowOff>
    </xdr:from>
    <xdr:ext cx="9179938" cy="943200"/>
    <xdr:pic>
      <xdr:nvPicPr>
        <xdr:cNvPr id="4" name="그림 3">
          <a:extLst>
            <a:ext uri="{FF2B5EF4-FFF2-40B4-BE49-F238E27FC236}">
              <a16:creationId xmlns:a16="http://schemas.microsoft.com/office/drawing/2014/main" id="{89824003-A00E-4CA2-88D6-D1E98D738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5558075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207</xdr:row>
      <xdr:rowOff>0</xdr:rowOff>
    </xdr:from>
    <xdr:ext cx="9179938" cy="943200"/>
    <xdr:pic>
      <xdr:nvPicPr>
        <xdr:cNvPr id="5" name="그림 4">
          <a:extLst>
            <a:ext uri="{FF2B5EF4-FFF2-40B4-BE49-F238E27FC236}">
              <a16:creationId xmlns:a16="http://schemas.microsoft.com/office/drawing/2014/main" id="{54850B26-C875-4CA3-AE2F-240E6686D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51863625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17640</xdr:colOff>
      <xdr:row>149</xdr:row>
      <xdr:rowOff>0</xdr:rowOff>
    </xdr:from>
    <xdr:ext cx="9179938" cy="943200"/>
    <xdr:pic>
      <xdr:nvPicPr>
        <xdr:cNvPr id="6" name="그림 5">
          <a:extLst>
            <a:ext uri="{FF2B5EF4-FFF2-40B4-BE49-F238E27FC236}">
              <a16:creationId xmlns:a16="http://schemas.microsoft.com/office/drawing/2014/main" id="{B266F4EA-4F5B-4AF4-9410-229386E11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925" y="3672840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9179938" cy="943200"/>
    <xdr:pic>
      <xdr:nvPicPr>
        <xdr:cNvPr id="7" name="그림 6">
          <a:extLst>
            <a:ext uri="{FF2B5EF4-FFF2-40B4-BE49-F238E27FC236}">
              <a16:creationId xmlns:a16="http://schemas.microsoft.com/office/drawing/2014/main" id="{2F30EFB0-9EAC-41F1-A067-F0118F3A7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7679650"/>
          <a:ext cx="9179938" cy="943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EB7E8E62-00AA-4816-A500-BA25FAF04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9179938" cy="943200"/>
    <xdr:pic>
      <xdr:nvPicPr>
        <xdr:cNvPr id="9" name="그림 8">
          <a:extLst>
            <a:ext uri="{FF2B5EF4-FFF2-40B4-BE49-F238E27FC236}">
              <a16:creationId xmlns:a16="http://schemas.microsoft.com/office/drawing/2014/main" id="{3740CD0F-6C23-48B3-B4FE-812A6FE15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8896350"/>
          <a:ext cx="9179938" cy="9432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17661681-9088-402D-A9D7-62990FB46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9179938" cy="943200"/>
    <xdr:pic>
      <xdr:nvPicPr>
        <xdr:cNvPr id="3" name="그림 2">
          <a:extLst>
            <a:ext uri="{FF2B5EF4-FFF2-40B4-BE49-F238E27FC236}">
              <a16:creationId xmlns:a16="http://schemas.microsoft.com/office/drawing/2014/main" id="{F193784C-5C60-4307-A03D-CD20D164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88963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9179938" cy="943200"/>
    <xdr:pic>
      <xdr:nvPicPr>
        <xdr:cNvPr id="4" name="그림 3">
          <a:extLst>
            <a:ext uri="{FF2B5EF4-FFF2-40B4-BE49-F238E27FC236}">
              <a16:creationId xmlns:a16="http://schemas.microsoft.com/office/drawing/2014/main" id="{399F29B4-FA58-418A-973B-50FEF871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61560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9179938" cy="943200"/>
    <xdr:pic>
      <xdr:nvPicPr>
        <xdr:cNvPr id="5" name="그림 4">
          <a:extLst>
            <a:ext uri="{FF2B5EF4-FFF2-40B4-BE49-F238E27FC236}">
              <a16:creationId xmlns:a16="http://schemas.microsoft.com/office/drawing/2014/main" id="{57A686A9-504B-4F58-A435-FF69D478E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09384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9179938" cy="943200"/>
    <xdr:pic>
      <xdr:nvPicPr>
        <xdr:cNvPr id="6" name="그림 5">
          <a:extLst>
            <a:ext uri="{FF2B5EF4-FFF2-40B4-BE49-F238E27FC236}">
              <a16:creationId xmlns:a16="http://schemas.microsoft.com/office/drawing/2014/main" id="{55697D7E-5D03-42F2-9706-5592A1F41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07080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9179938" cy="943200"/>
    <xdr:pic>
      <xdr:nvPicPr>
        <xdr:cNvPr id="7" name="그림 6">
          <a:extLst>
            <a:ext uri="{FF2B5EF4-FFF2-40B4-BE49-F238E27FC236}">
              <a16:creationId xmlns:a16="http://schemas.microsoft.com/office/drawing/2014/main" id="{17926140-14E1-4D4F-A3AF-BD098822E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8508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9179938" cy="943200"/>
    <xdr:pic>
      <xdr:nvPicPr>
        <xdr:cNvPr id="8" name="그림 7">
          <a:extLst>
            <a:ext uri="{FF2B5EF4-FFF2-40B4-BE49-F238E27FC236}">
              <a16:creationId xmlns:a16="http://schemas.microsoft.com/office/drawing/2014/main" id="{5F886AD6-C11F-4631-899A-F896B8E0E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7487900"/>
          <a:ext cx="9179938" cy="943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9" name="그림 8">
          <a:extLst>
            <a:ext uri="{FF2B5EF4-FFF2-40B4-BE49-F238E27FC236}">
              <a16:creationId xmlns:a16="http://schemas.microsoft.com/office/drawing/2014/main" id="{4EA13149-2C45-44F8-80A2-815B50C13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10" name="그림 9">
          <a:extLst>
            <a:ext uri="{FF2B5EF4-FFF2-40B4-BE49-F238E27FC236}">
              <a16:creationId xmlns:a16="http://schemas.microsoft.com/office/drawing/2014/main" id="{CEB6D1A8-AFE2-4D1D-9220-16431E26D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34</xdr:row>
      <xdr:rowOff>0</xdr:rowOff>
    </xdr:from>
    <xdr:ext cx="9179938" cy="943200"/>
    <xdr:pic>
      <xdr:nvPicPr>
        <xdr:cNvPr id="11" name="그림 10">
          <a:extLst>
            <a:ext uri="{FF2B5EF4-FFF2-40B4-BE49-F238E27FC236}">
              <a16:creationId xmlns:a16="http://schemas.microsoft.com/office/drawing/2014/main" id="{9602D2F1-7462-440F-B0D5-46522C1B8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79819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134</xdr:row>
      <xdr:rowOff>0</xdr:rowOff>
    </xdr:from>
    <xdr:ext cx="9179938" cy="943200"/>
    <xdr:pic>
      <xdr:nvPicPr>
        <xdr:cNvPr id="12" name="그림 11">
          <a:extLst>
            <a:ext uri="{FF2B5EF4-FFF2-40B4-BE49-F238E27FC236}">
              <a16:creationId xmlns:a16="http://schemas.microsoft.com/office/drawing/2014/main" id="{2DBA6BE4-C58E-4082-80C9-0C4BEE997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33537525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104</xdr:row>
      <xdr:rowOff>0</xdr:rowOff>
    </xdr:from>
    <xdr:ext cx="9179938" cy="943200"/>
    <xdr:pic>
      <xdr:nvPicPr>
        <xdr:cNvPr id="13" name="그림 12">
          <a:extLst>
            <a:ext uri="{FF2B5EF4-FFF2-40B4-BE49-F238E27FC236}">
              <a16:creationId xmlns:a16="http://schemas.microsoft.com/office/drawing/2014/main" id="{FCA2439E-8B38-475D-AA9C-ABF210E40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256222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75</xdr:row>
      <xdr:rowOff>0</xdr:rowOff>
    </xdr:from>
    <xdr:ext cx="9179938" cy="943200"/>
    <xdr:pic>
      <xdr:nvPicPr>
        <xdr:cNvPr id="14" name="그림 13">
          <a:extLst>
            <a:ext uri="{FF2B5EF4-FFF2-40B4-BE49-F238E27FC236}">
              <a16:creationId xmlns:a16="http://schemas.microsoft.com/office/drawing/2014/main" id="{8E494370-1080-42AD-BB74-13E1307C3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1817370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163</xdr:row>
      <xdr:rowOff>0</xdr:rowOff>
    </xdr:from>
    <xdr:ext cx="9179938" cy="943200"/>
    <xdr:pic>
      <xdr:nvPicPr>
        <xdr:cNvPr id="15" name="그림 14">
          <a:extLst>
            <a:ext uri="{FF2B5EF4-FFF2-40B4-BE49-F238E27FC236}">
              <a16:creationId xmlns:a16="http://schemas.microsoft.com/office/drawing/2014/main" id="{46DE3721-0D84-4EE2-8534-C1E630181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40986075"/>
          <a:ext cx="9179938" cy="943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16" name="그림 15">
          <a:extLst>
            <a:ext uri="{FF2B5EF4-FFF2-40B4-BE49-F238E27FC236}">
              <a16:creationId xmlns:a16="http://schemas.microsoft.com/office/drawing/2014/main" id="{83B76559-3939-498D-97A5-7BAEE6BA5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17" name="그림 16">
          <a:extLst>
            <a:ext uri="{FF2B5EF4-FFF2-40B4-BE49-F238E27FC236}">
              <a16:creationId xmlns:a16="http://schemas.microsoft.com/office/drawing/2014/main" id="{D49E1883-BF77-488D-BBFF-0F794FFE8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9179938" cy="943200"/>
    <xdr:pic>
      <xdr:nvPicPr>
        <xdr:cNvPr id="18" name="그림 17">
          <a:extLst>
            <a:ext uri="{FF2B5EF4-FFF2-40B4-BE49-F238E27FC236}">
              <a16:creationId xmlns:a16="http://schemas.microsoft.com/office/drawing/2014/main" id="{099D6D4A-E295-43AC-8043-3A06A3204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88963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193</xdr:row>
      <xdr:rowOff>0</xdr:rowOff>
    </xdr:from>
    <xdr:ext cx="9179938" cy="943200"/>
    <xdr:pic>
      <xdr:nvPicPr>
        <xdr:cNvPr id="19" name="그림 18">
          <a:extLst>
            <a:ext uri="{FF2B5EF4-FFF2-40B4-BE49-F238E27FC236}">
              <a16:creationId xmlns:a16="http://schemas.microsoft.com/office/drawing/2014/main" id="{0646CBA9-E010-41B5-8025-A61D0993D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861560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163</xdr:row>
      <xdr:rowOff>0</xdr:rowOff>
    </xdr:from>
    <xdr:ext cx="9179938" cy="943200"/>
    <xdr:pic>
      <xdr:nvPicPr>
        <xdr:cNvPr id="20" name="그림 19">
          <a:extLst>
            <a:ext uri="{FF2B5EF4-FFF2-40B4-BE49-F238E27FC236}">
              <a16:creationId xmlns:a16="http://schemas.microsoft.com/office/drawing/2014/main" id="{D8F8F4E6-EF21-4F9D-A8F3-5334F3056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09384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133</xdr:row>
      <xdr:rowOff>0</xdr:rowOff>
    </xdr:from>
    <xdr:ext cx="9179938" cy="943200"/>
    <xdr:pic>
      <xdr:nvPicPr>
        <xdr:cNvPr id="21" name="그림 20">
          <a:extLst>
            <a:ext uri="{FF2B5EF4-FFF2-40B4-BE49-F238E27FC236}">
              <a16:creationId xmlns:a16="http://schemas.microsoft.com/office/drawing/2014/main" id="{E30F40F3-6A14-4263-A572-7CA0EEFC1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3307080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105</xdr:row>
      <xdr:rowOff>0</xdr:rowOff>
    </xdr:from>
    <xdr:ext cx="9179938" cy="943200"/>
    <xdr:pic>
      <xdr:nvPicPr>
        <xdr:cNvPr id="22" name="그림 21">
          <a:extLst>
            <a:ext uri="{FF2B5EF4-FFF2-40B4-BE49-F238E27FC236}">
              <a16:creationId xmlns:a16="http://schemas.microsoft.com/office/drawing/2014/main" id="{39B4DE6B-44B2-46D1-A7B7-02D501C78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25850850"/>
          <a:ext cx="9179938" cy="9432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72</xdr:row>
      <xdr:rowOff>0</xdr:rowOff>
    </xdr:from>
    <xdr:ext cx="9179938" cy="943200"/>
    <xdr:pic>
      <xdr:nvPicPr>
        <xdr:cNvPr id="23" name="그림 22">
          <a:extLst>
            <a:ext uri="{FF2B5EF4-FFF2-40B4-BE49-F238E27FC236}">
              <a16:creationId xmlns:a16="http://schemas.microsoft.com/office/drawing/2014/main" id="{D981041E-01E2-40BD-B24B-EA8850BBC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7487900"/>
          <a:ext cx="9179938" cy="943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24" name="그림 23">
          <a:extLst>
            <a:ext uri="{FF2B5EF4-FFF2-40B4-BE49-F238E27FC236}">
              <a16:creationId xmlns:a16="http://schemas.microsoft.com/office/drawing/2014/main" id="{2FA30FAA-F6F5-4F28-9834-B4ADB80D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A56CC147-E153-47F6-8D3C-74AF347F7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34</xdr:row>
      <xdr:rowOff>0</xdr:rowOff>
    </xdr:from>
    <xdr:ext cx="9179938" cy="943200"/>
    <xdr:pic>
      <xdr:nvPicPr>
        <xdr:cNvPr id="3" name="그림 2">
          <a:extLst>
            <a:ext uri="{FF2B5EF4-FFF2-40B4-BE49-F238E27FC236}">
              <a16:creationId xmlns:a16="http://schemas.microsoft.com/office/drawing/2014/main" id="{F74344C7-7D1D-46F2-94C1-6A8DBECB9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79819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134</xdr:row>
      <xdr:rowOff>0</xdr:rowOff>
    </xdr:from>
    <xdr:ext cx="9179938" cy="943200"/>
    <xdr:pic>
      <xdr:nvPicPr>
        <xdr:cNvPr id="4" name="그림 3">
          <a:extLst>
            <a:ext uri="{FF2B5EF4-FFF2-40B4-BE49-F238E27FC236}">
              <a16:creationId xmlns:a16="http://schemas.microsoft.com/office/drawing/2014/main" id="{F6FB486B-7F80-4657-A1AC-BD67475D5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33537525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104</xdr:row>
      <xdr:rowOff>0</xdr:rowOff>
    </xdr:from>
    <xdr:ext cx="9179938" cy="943200"/>
    <xdr:pic>
      <xdr:nvPicPr>
        <xdr:cNvPr id="5" name="그림 4">
          <a:extLst>
            <a:ext uri="{FF2B5EF4-FFF2-40B4-BE49-F238E27FC236}">
              <a16:creationId xmlns:a16="http://schemas.microsoft.com/office/drawing/2014/main" id="{6897B12E-DC03-49CD-9884-D95A23247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256222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75</xdr:row>
      <xdr:rowOff>0</xdr:rowOff>
    </xdr:from>
    <xdr:ext cx="9179938" cy="943200"/>
    <xdr:pic>
      <xdr:nvPicPr>
        <xdr:cNvPr id="6" name="그림 5">
          <a:extLst>
            <a:ext uri="{FF2B5EF4-FFF2-40B4-BE49-F238E27FC236}">
              <a16:creationId xmlns:a16="http://schemas.microsoft.com/office/drawing/2014/main" id="{E0046579-3F33-49F3-B21F-C0F12B4DC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1817370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163</xdr:row>
      <xdr:rowOff>0</xdr:rowOff>
    </xdr:from>
    <xdr:ext cx="9179938" cy="943200"/>
    <xdr:pic>
      <xdr:nvPicPr>
        <xdr:cNvPr id="7" name="그림 6">
          <a:extLst>
            <a:ext uri="{FF2B5EF4-FFF2-40B4-BE49-F238E27FC236}">
              <a16:creationId xmlns:a16="http://schemas.microsoft.com/office/drawing/2014/main" id="{4E4AA134-18CF-4C2A-99EA-E8315F45C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40986075"/>
          <a:ext cx="9179938" cy="943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8" name="그림 7">
          <a:extLst>
            <a:ext uri="{FF2B5EF4-FFF2-40B4-BE49-F238E27FC236}">
              <a16:creationId xmlns:a16="http://schemas.microsoft.com/office/drawing/2014/main" id="{9E225404-16C6-49FA-AADE-7399230D4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2</xdr:row>
      <xdr:rowOff>32660</xdr:rowOff>
    </xdr:from>
    <xdr:ext cx="1828800" cy="793487"/>
    <xdr:pic>
      <xdr:nvPicPr>
        <xdr:cNvPr id="2" name="그림 1">
          <a:extLst>
            <a:ext uri="{FF2B5EF4-FFF2-40B4-BE49-F238E27FC236}">
              <a16:creationId xmlns:a16="http://schemas.microsoft.com/office/drawing/2014/main" id="{5D03F2AA-63D4-4E54-91CB-C820F29EB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487955"/>
          <a:ext cx="1828800" cy="793487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40</xdr:row>
      <xdr:rowOff>0</xdr:rowOff>
    </xdr:from>
    <xdr:ext cx="9179938" cy="943200"/>
    <xdr:pic>
      <xdr:nvPicPr>
        <xdr:cNvPr id="3" name="그림 2">
          <a:extLst>
            <a:ext uri="{FF2B5EF4-FFF2-40B4-BE49-F238E27FC236}">
              <a16:creationId xmlns:a16="http://schemas.microsoft.com/office/drawing/2014/main" id="{329D8018-B905-443B-922B-8058253DE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9353550"/>
          <a:ext cx="9179938" cy="943200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80</xdr:row>
      <xdr:rowOff>0</xdr:rowOff>
    </xdr:from>
    <xdr:ext cx="9179938" cy="943200"/>
    <xdr:pic>
      <xdr:nvPicPr>
        <xdr:cNvPr id="4" name="그림 3">
          <a:extLst>
            <a:ext uri="{FF2B5EF4-FFF2-40B4-BE49-F238E27FC236}">
              <a16:creationId xmlns:a16="http://schemas.microsoft.com/office/drawing/2014/main" id="{6FBA5A72-3CDB-43C2-AE0F-8AAE1D724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19297650"/>
          <a:ext cx="9179938" cy="943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5" name="그림 4">
          <a:extLst>
            <a:ext uri="{FF2B5EF4-FFF2-40B4-BE49-F238E27FC236}">
              <a16:creationId xmlns:a16="http://schemas.microsoft.com/office/drawing/2014/main" id="{A5C7CA44-F8DF-4D4F-9F36-DBDC75EBE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58358"/>
          <a:ext cx="2352674" cy="346542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113</xdr:row>
      <xdr:rowOff>0</xdr:rowOff>
    </xdr:from>
    <xdr:ext cx="9179938" cy="943200"/>
    <xdr:pic>
      <xdr:nvPicPr>
        <xdr:cNvPr id="6" name="그림 5">
          <a:extLst>
            <a:ext uri="{FF2B5EF4-FFF2-40B4-BE49-F238E27FC236}">
              <a16:creationId xmlns:a16="http://schemas.microsoft.com/office/drawing/2014/main" id="{003FCBE3-C74B-453D-A61E-0A73D9101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27641550"/>
          <a:ext cx="9179938" cy="9432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2</xdr:row>
      <xdr:rowOff>42184</xdr:rowOff>
    </xdr:from>
    <xdr:ext cx="1828800" cy="815066"/>
    <xdr:pic>
      <xdr:nvPicPr>
        <xdr:cNvPr id="2" name="그림 1">
          <a:extLst>
            <a:ext uri="{FF2B5EF4-FFF2-40B4-BE49-F238E27FC236}">
              <a16:creationId xmlns:a16="http://schemas.microsoft.com/office/drawing/2014/main" id="{95F7D121-614A-4307-9618-74C914AFE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510814"/>
          <a:ext cx="1828800" cy="815066"/>
        </a:xfrm>
        <a:prstGeom prst="rect">
          <a:avLst/>
        </a:prstGeom>
      </xdr:spPr>
    </xdr:pic>
    <xdr:clientData/>
  </xdr:oneCellAnchor>
  <xdr:oneCellAnchor>
    <xdr:from>
      <xdr:col>0</xdr:col>
      <xdr:colOff>357762</xdr:colOff>
      <xdr:row>44</xdr:row>
      <xdr:rowOff>0</xdr:rowOff>
    </xdr:from>
    <xdr:ext cx="9179938" cy="943200"/>
    <xdr:pic>
      <xdr:nvPicPr>
        <xdr:cNvPr id="3" name="그림 2">
          <a:extLst>
            <a:ext uri="{FF2B5EF4-FFF2-40B4-BE49-F238E27FC236}">
              <a16:creationId xmlns:a16="http://schemas.microsoft.com/office/drawing/2014/main" id="{EF700A8E-8373-4765-B1AD-B81973B31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572" y="10277475"/>
          <a:ext cx="9179938" cy="943200"/>
        </a:xfrm>
        <a:prstGeom prst="rect">
          <a:avLst/>
        </a:prstGeom>
      </xdr:spPr>
    </xdr:pic>
    <xdr:clientData/>
  </xdr:oneCellAnchor>
  <xdr:oneCellAnchor>
    <xdr:from>
      <xdr:col>8</xdr:col>
      <xdr:colOff>0</xdr:colOff>
      <xdr:row>2</xdr:row>
      <xdr:rowOff>301158</xdr:rowOff>
    </xdr:from>
    <xdr:ext cx="2352674" cy="346542"/>
    <xdr:pic>
      <xdr:nvPicPr>
        <xdr:cNvPr id="4" name="그림 3">
          <a:extLst>
            <a:ext uri="{FF2B5EF4-FFF2-40B4-BE49-F238E27FC236}">
              <a16:creationId xmlns:a16="http://schemas.microsoft.com/office/drawing/2014/main" id="{B6A03199-BE63-4B89-B00C-5E5CD49A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767883"/>
          <a:ext cx="2352674" cy="34654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8"/>
  <sheetViews>
    <sheetView workbookViewId="0">
      <selection activeCell="N11" sqref="N11"/>
    </sheetView>
  </sheetViews>
  <sheetFormatPr defaultColWidth="9" defaultRowHeight="17.399999999999999" x14ac:dyDescent="0.4"/>
  <cols>
    <col min="1" max="1" width="4.8984375" style="1" customWidth="1"/>
    <col min="2" max="2" width="9" style="2"/>
    <col min="3" max="3" width="18.59765625" style="2" customWidth="1"/>
    <col min="4" max="11" width="11.59765625" style="2" customWidth="1"/>
    <col min="12" max="12" width="3.59765625" style="1" customWidth="1"/>
    <col min="13" max="16384" width="9" style="1"/>
  </cols>
  <sheetData>
    <row r="1" spans="2:11" ht="18" thickBot="1" x14ac:dyDescent="0.45"/>
    <row r="2" spans="2:11" ht="18" customHeight="1" thickTop="1" thickBot="1" x14ac:dyDescent="0.45">
      <c r="C2" s="3" t="s">
        <v>0</v>
      </c>
      <c r="D2" s="3" t="s">
        <v>1</v>
      </c>
      <c r="E2" s="4"/>
      <c r="F2" s="5" t="s">
        <v>113</v>
      </c>
      <c r="G2" s="5"/>
      <c r="H2" s="5"/>
      <c r="I2" s="5"/>
      <c r="J2" s="5"/>
      <c r="K2" s="5"/>
    </row>
    <row r="3" spans="2:11" ht="34.5" customHeight="1" thickTop="1" x14ac:dyDescent="0.4">
      <c r="B3" s="6" t="s">
        <v>114</v>
      </c>
      <c r="C3" s="6"/>
      <c r="D3" s="6"/>
      <c r="E3" s="6"/>
      <c r="F3" s="6"/>
      <c r="G3" s="6"/>
      <c r="H3" s="6"/>
      <c r="I3" s="6"/>
      <c r="J3" s="6"/>
      <c r="K3" s="6"/>
    </row>
    <row r="4" spans="2:11" ht="16.5" customHeight="1" x14ac:dyDescent="0.4">
      <c r="B4" s="6"/>
      <c r="C4" s="6"/>
      <c r="D4" s="6"/>
      <c r="E4" s="6"/>
      <c r="F4" s="6"/>
      <c r="G4" s="6"/>
      <c r="H4" s="6"/>
      <c r="I4" s="6"/>
      <c r="J4" s="6"/>
      <c r="K4" s="6"/>
    </row>
    <row r="5" spans="2:11" ht="16.5" customHeight="1" thickBot="1" x14ac:dyDescent="0.45">
      <c r="B5" s="7"/>
      <c r="C5" s="7"/>
      <c r="D5" s="7"/>
      <c r="E5" s="7"/>
      <c r="F5" s="7"/>
      <c r="G5" s="7"/>
      <c r="H5" s="7"/>
      <c r="I5" s="7"/>
      <c r="J5" s="7"/>
      <c r="K5" s="7"/>
    </row>
    <row r="6" spans="2:11" ht="21" customHeight="1" thickTop="1" x14ac:dyDescent="0.4">
      <c r="B6" s="8" t="s">
        <v>115</v>
      </c>
      <c r="C6" s="9"/>
      <c r="D6" s="9"/>
      <c r="E6" s="9"/>
      <c r="F6" s="9"/>
      <c r="G6" s="9"/>
      <c r="H6" s="9"/>
      <c r="I6" s="9"/>
      <c r="J6" s="9"/>
      <c r="K6" s="10"/>
    </row>
    <row r="7" spans="2:11" ht="18" customHeight="1" x14ac:dyDescent="0.4">
      <c r="B7" s="11" t="s">
        <v>2</v>
      </c>
      <c r="C7" s="12" t="s">
        <v>3</v>
      </c>
      <c r="D7" s="12" t="s">
        <v>4</v>
      </c>
      <c r="E7" s="13" t="s">
        <v>5</v>
      </c>
      <c r="F7" s="13" t="s">
        <v>6</v>
      </c>
      <c r="G7" s="12" t="s">
        <v>7</v>
      </c>
      <c r="H7" s="12"/>
      <c r="I7" s="12"/>
      <c r="J7" s="12"/>
      <c r="K7" s="14"/>
    </row>
    <row r="8" spans="2:11" ht="18" customHeight="1" x14ac:dyDescent="0.4">
      <c r="B8" s="11"/>
      <c r="C8" s="12"/>
      <c r="D8" s="12"/>
      <c r="E8" s="13" t="s">
        <v>1</v>
      </c>
      <c r="F8" s="15" t="s">
        <v>1</v>
      </c>
      <c r="G8" s="12"/>
      <c r="H8" s="12"/>
      <c r="I8" s="12"/>
      <c r="J8" s="12"/>
      <c r="K8" s="14"/>
    </row>
    <row r="9" spans="2:11" ht="42" customHeight="1" x14ac:dyDescent="0.4">
      <c r="B9" s="16" t="s">
        <v>8</v>
      </c>
      <c r="C9" s="17" t="s">
        <v>116</v>
      </c>
      <c r="D9" s="18" t="s">
        <v>117</v>
      </c>
      <c r="E9" s="19">
        <v>19.5</v>
      </c>
      <c r="F9" s="17">
        <f t="shared" ref="F9:F39" si="0">E9*E$2</f>
        <v>0</v>
      </c>
      <c r="G9" s="20" t="s">
        <v>118</v>
      </c>
      <c r="H9" s="21"/>
      <c r="I9" s="21"/>
      <c r="J9" s="21"/>
      <c r="K9" s="22"/>
    </row>
    <row r="10" spans="2:11" ht="18" customHeight="1" x14ac:dyDescent="0.4">
      <c r="B10" s="23"/>
      <c r="C10" s="24" t="s">
        <v>119</v>
      </c>
      <c r="D10" s="25" t="s">
        <v>120</v>
      </c>
      <c r="E10" s="19">
        <v>20</v>
      </c>
      <c r="F10" s="17">
        <f t="shared" si="0"/>
        <v>0</v>
      </c>
      <c r="G10" s="26"/>
      <c r="H10" s="27"/>
      <c r="I10" s="27"/>
      <c r="J10" s="27"/>
      <c r="K10" s="28"/>
    </row>
    <row r="11" spans="2:11" ht="18" customHeight="1" x14ac:dyDescent="0.4">
      <c r="B11" s="29" t="s">
        <v>10</v>
      </c>
      <c r="C11" s="30" t="s">
        <v>121</v>
      </c>
      <c r="D11" s="30" t="s">
        <v>122</v>
      </c>
      <c r="E11" s="31">
        <v>35.75</v>
      </c>
      <c r="F11" s="17">
        <f t="shared" si="0"/>
        <v>0</v>
      </c>
      <c r="G11" s="32" t="s">
        <v>123</v>
      </c>
      <c r="H11" s="21"/>
      <c r="I11" s="21"/>
      <c r="J11" s="21"/>
      <c r="K11" s="22"/>
    </row>
    <row r="12" spans="2:11" ht="18" customHeight="1" x14ac:dyDescent="0.4">
      <c r="B12" s="29"/>
      <c r="C12" s="33" t="s">
        <v>124</v>
      </c>
      <c r="D12" s="34" t="s">
        <v>64</v>
      </c>
      <c r="E12" s="31">
        <v>3.25</v>
      </c>
      <c r="F12" s="17">
        <f t="shared" si="0"/>
        <v>0</v>
      </c>
      <c r="G12" s="35" t="s">
        <v>125</v>
      </c>
      <c r="H12" s="36"/>
      <c r="I12" s="36"/>
      <c r="J12" s="36"/>
      <c r="K12" s="37"/>
    </row>
    <row r="13" spans="2:11" ht="18" customHeight="1" x14ac:dyDescent="0.4">
      <c r="B13" s="29"/>
      <c r="C13" s="38"/>
      <c r="D13" s="34" t="s">
        <v>15</v>
      </c>
      <c r="E13" s="31">
        <v>1.3</v>
      </c>
      <c r="F13" s="17">
        <f t="shared" si="0"/>
        <v>0</v>
      </c>
      <c r="G13" s="39"/>
      <c r="H13" s="40"/>
      <c r="I13" s="40"/>
      <c r="J13" s="40"/>
      <c r="K13" s="41"/>
    </row>
    <row r="14" spans="2:11" ht="18" customHeight="1" x14ac:dyDescent="0.4">
      <c r="B14" s="29"/>
      <c r="C14" s="38"/>
      <c r="D14" s="34" t="s">
        <v>17</v>
      </c>
      <c r="E14" s="31">
        <v>1.3</v>
      </c>
      <c r="F14" s="17">
        <f t="shared" si="0"/>
        <v>0</v>
      </c>
      <c r="G14" s="39"/>
      <c r="H14" s="40"/>
      <c r="I14" s="40"/>
      <c r="J14" s="40"/>
      <c r="K14" s="41"/>
    </row>
    <row r="15" spans="2:11" ht="18" customHeight="1" x14ac:dyDescent="0.4">
      <c r="B15" s="29"/>
      <c r="C15" s="38"/>
      <c r="D15" s="34" t="s">
        <v>19</v>
      </c>
      <c r="E15" s="31">
        <v>0.65</v>
      </c>
      <c r="F15" s="17">
        <f t="shared" si="0"/>
        <v>0</v>
      </c>
      <c r="G15" s="39"/>
      <c r="H15" s="40"/>
      <c r="I15" s="40"/>
      <c r="J15" s="40"/>
      <c r="K15" s="41"/>
    </row>
    <row r="16" spans="2:11" ht="18" customHeight="1" x14ac:dyDescent="0.4">
      <c r="B16" s="29"/>
      <c r="C16" s="38"/>
      <c r="D16" s="34" t="s">
        <v>65</v>
      </c>
      <c r="E16" s="42">
        <v>1.9500000000000002</v>
      </c>
      <c r="F16" s="17">
        <f t="shared" si="0"/>
        <v>0</v>
      </c>
      <c r="G16" s="39"/>
      <c r="H16" s="40"/>
      <c r="I16" s="40"/>
      <c r="J16" s="40"/>
      <c r="K16" s="41"/>
    </row>
    <row r="17" spans="2:11" ht="18" customHeight="1" x14ac:dyDescent="0.4">
      <c r="B17" s="29"/>
      <c r="C17" s="38"/>
      <c r="D17" s="34" t="s">
        <v>18</v>
      </c>
      <c r="E17" s="31">
        <v>0.65</v>
      </c>
      <c r="F17" s="17">
        <f t="shared" si="0"/>
        <v>0</v>
      </c>
      <c r="G17" s="39"/>
      <c r="H17" s="40"/>
      <c r="I17" s="40"/>
      <c r="J17" s="40"/>
      <c r="K17" s="41"/>
    </row>
    <row r="18" spans="2:11" ht="18" customHeight="1" x14ac:dyDescent="0.4">
      <c r="B18" s="29"/>
      <c r="C18" s="38"/>
      <c r="D18" s="34" t="s">
        <v>28</v>
      </c>
      <c r="E18" s="31">
        <v>0.32500000000000001</v>
      </c>
      <c r="F18" s="17">
        <f t="shared" si="0"/>
        <v>0</v>
      </c>
      <c r="G18" s="39"/>
      <c r="H18" s="40"/>
      <c r="I18" s="40"/>
      <c r="J18" s="40"/>
      <c r="K18" s="41"/>
    </row>
    <row r="19" spans="2:11" ht="18" customHeight="1" x14ac:dyDescent="0.4">
      <c r="B19" s="29"/>
      <c r="C19" s="43"/>
      <c r="D19" s="34" t="s">
        <v>126</v>
      </c>
      <c r="E19" s="31">
        <v>0.32500000000000001</v>
      </c>
      <c r="F19" s="17">
        <f t="shared" si="0"/>
        <v>0</v>
      </c>
      <c r="G19" s="44"/>
      <c r="H19" s="45"/>
      <c r="I19" s="45"/>
      <c r="J19" s="45"/>
      <c r="K19" s="46"/>
    </row>
    <row r="20" spans="2:11" ht="18" customHeight="1" x14ac:dyDescent="0.4">
      <c r="B20" s="29"/>
      <c r="C20" s="47" t="s">
        <v>127</v>
      </c>
      <c r="D20" s="30" t="s">
        <v>128</v>
      </c>
      <c r="E20" s="19">
        <v>13</v>
      </c>
      <c r="F20" s="17">
        <f t="shared" si="0"/>
        <v>0</v>
      </c>
      <c r="G20" s="48" t="s">
        <v>129</v>
      </c>
      <c r="H20" s="49"/>
      <c r="I20" s="49"/>
      <c r="J20" s="49"/>
      <c r="K20" s="50"/>
    </row>
    <row r="21" spans="2:11" ht="18" customHeight="1" x14ac:dyDescent="0.4">
      <c r="B21" s="29"/>
      <c r="C21" s="51"/>
      <c r="D21" s="30" t="s">
        <v>104</v>
      </c>
      <c r="E21" s="19">
        <v>13</v>
      </c>
      <c r="F21" s="17">
        <f t="shared" si="0"/>
        <v>0</v>
      </c>
      <c r="G21" s="52"/>
      <c r="H21" s="53"/>
      <c r="I21" s="53"/>
      <c r="J21" s="53"/>
      <c r="K21" s="54"/>
    </row>
    <row r="22" spans="2:11" ht="18" customHeight="1" x14ac:dyDescent="0.4">
      <c r="B22" s="29"/>
      <c r="C22" s="51"/>
      <c r="D22" s="30" t="s">
        <v>18</v>
      </c>
      <c r="E22" s="55">
        <v>3.25</v>
      </c>
      <c r="F22" s="17">
        <f t="shared" si="0"/>
        <v>0</v>
      </c>
      <c r="G22" s="52"/>
      <c r="H22" s="53"/>
      <c r="I22" s="53"/>
      <c r="J22" s="53"/>
      <c r="K22" s="54"/>
    </row>
    <row r="23" spans="2:11" ht="18" customHeight="1" x14ac:dyDescent="0.4">
      <c r="B23" s="29"/>
      <c r="C23" s="51"/>
      <c r="D23" s="30" t="s">
        <v>126</v>
      </c>
      <c r="E23" s="55">
        <v>0.65</v>
      </c>
      <c r="F23" s="17">
        <f t="shared" si="0"/>
        <v>0</v>
      </c>
      <c r="G23" s="52"/>
      <c r="H23" s="53"/>
      <c r="I23" s="53"/>
      <c r="J23" s="53"/>
      <c r="K23" s="54"/>
    </row>
    <row r="24" spans="2:11" ht="18" customHeight="1" x14ac:dyDescent="0.4">
      <c r="B24" s="29"/>
      <c r="C24" s="51"/>
      <c r="D24" s="30" t="s">
        <v>35</v>
      </c>
      <c r="E24" s="55">
        <v>1.3</v>
      </c>
      <c r="F24" s="17">
        <f t="shared" si="0"/>
        <v>0</v>
      </c>
      <c r="G24" s="52"/>
      <c r="H24" s="53"/>
      <c r="I24" s="53"/>
      <c r="J24" s="53"/>
      <c r="K24" s="54"/>
    </row>
    <row r="25" spans="2:11" ht="18" customHeight="1" x14ac:dyDescent="0.4">
      <c r="B25" s="29"/>
      <c r="C25" s="56" t="s">
        <v>130</v>
      </c>
      <c r="D25" s="30" t="s">
        <v>105</v>
      </c>
      <c r="E25" s="17">
        <v>19.5</v>
      </c>
      <c r="F25" s="17">
        <f t="shared" si="0"/>
        <v>0</v>
      </c>
      <c r="G25" s="57" t="s">
        <v>131</v>
      </c>
      <c r="H25" s="58"/>
      <c r="I25" s="58"/>
      <c r="J25" s="58"/>
      <c r="K25" s="59"/>
    </row>
    <row r="26" spans="2:11" ht="18" customHeight="1" x14ac:dyDescent="0.4">
      <c r="B26" s="29"/>
      <c r="C26" s="60"/>
      <c r="D26" s="25" t="s">
        <v>126</v>
      </c>
      <c r="E26" s="61">
        <v>0.32500000000000001</v>
      </c>
      <c r="F26" s="17">
        <f t="shared" si="0"/>
        <v>0</v>
      </c>
      <c r="G26" s="62"/>
      <c r="H26" s="63"/>
      <c r="I26" s="63"/>
      <c r="J26" s="63"/>
      <c r="K26" s="64"/>
    </row>
    <row r="27" spans="2:11" ht="18" customHeight="1" x14ac:dyDescent="0.4">
      <c r="B27" s="29"/>
      <c r="C27" s="60"/>
      <c r="D27" s="25" t="s">
        <v>28</v>
      </c>
      <c r="E27" s="61">
        <v>0.65</v>
      </c>
      <c r="F27" s="17">
        <f t="shared" si="0"/>
        <v>0</v>
      </c>
      <c r="G27" s="62"/>
      <c r="H27" s="63"/>
      <c r="I27" s="63"/>
      <c r="J27" s="63"/>
      <c r="K27" s="64"/>
    </row>
    <row r="28" spans="2:11" ht="18" customHeight="1" x14ac:dyDescent="0.4">
      <c r="B28" s="29"/>
      <c r="C28" s="60"/>
      <c r="D28" s="25" t="s">
        <v>132</v>
      </c>
      <c r="E28" s="61">
        <v>0.65</v>
      </c>
      <c r="F28" s="17">
        <f t="shared" si="0"/>
        <v>0</v>
      </c>
      <c r="G28" s="62"/>
      <c r="H28" s="63"/>
      <c r="I28" s="63"/>
      <c r="J28" s="63"/>
      <c r="K28" s="64"/>
    </row>
    <row r="29" spans="2:11" ht="18" customHeight="1" x14ac:dyDescent="0.4">
      <c r="B29" s="29"/>
      <c r="C29" s="60"/>
      <c r="D29" s="25" t="s">
        <v>133</v>
      </c>
      <c r="E29" s="61">
        <v>0.13</v>
      </c>
      <c r="F29" s="17">
        <f t="shared" si="0"/>
        <v>0</v>
      </c>
      <c r="G29" s="62"/>
      <c r="H29" s="63"/>
      <c r="I29" s="63"/>
      <c r="J29" s="63"/>
      <c r="K29" s="64"/>
    </row>
    <row r="30" spans="2:11" ht="18" customHeight="1" x14ac:dyDescent="0.4">
      <c r="B30" s="29"/>
      <c r="C30" s="60"/>
      <c r="D30" s="25" t="s">
        <v>19</v>
      </c>
      <c r="E30" s="61">
        <v>0.32500000000000001</v>
      </c>
      <c r="F30" s="17">
        <f t="shared" si="0"/>
        <v>0</v>
      </c>
      <c r="G30" s="65"/>
      <c r="H30" s="66"/>
      <c r="I30" s="66"/>
      <c r="J30" s="66"/>
      <c r="K30" s="67"/>
    </row>
    <row r="31" spans="2:11" ht="18" customHeight="1" x14ac:dyDescent="0.4">
      <c r="B31" s="29"/>
      <c r="C31" s="68" t="s">
        <v>134</v>
      </c>
      <c r="D31" s="68" t="s">
        <v>135</v>
      </c>
      <c r="E31" s="17">
        <v>13</v>
      </c>
      <c r="F31" s="17">
        <f t="shared" si="0"/>
        <v>0</v>
      </c>
      <c r="G31" s="69" t="s">
        <v>136</v>
      </c>
      <c r="H31" s="70"/>
      <c r="I31" s="70"/>
      <c r="J31" s="70"/>
      <c r="K31" s="71"/>
    </row>
    <row r="32" spans="2:11" ht="18" customHeight="1" x14ac:dyDescent="0.4">
      <c r="B32" s="72" t="s">
        <v>137</v>
      </c>
      <c r="C32" s="33" t="s">
        <v>138</v>
      </c>
      <c r="D32" s="30" t="s">
        <v>139</v>
      </c>
      <c r="E32" s="73">
        <v>26</v>
      </c>
      <c r="F32" s="17">
        <f t="shared" si="0"/>
        <v>0</v>
      </c>
      <c r="G32" s="74" t="s">
        <v>140</v>
      </c>
      <c r="H32" s="75"/>
      <c r="I32" s="75"/>
      <c r="J32" s="75"/>
      <c r="K32" s="76"/>
    </row>
    <row r="33" spans="2:11" ht="18" customHeight="1" x14ac:dyDescent="0.4">
      <c r="B33" s="77"/>
      <c r="C33" s="78"/>
      <c r="D33" s="30" t="s">
        <v>14</v>
      </c>
      <c r="E33" s="61">
        <v>3.25</v>
      </c>
      <c r="F33" s="17">
        <f t="shared" si="0"/>
        <v>0</v>
      </c>
      <c r="G33" s="79"/>
      <c r="H33" s="80"/>
      <c r="I33" s="80"/>
      <c r="J33" s="80"/>
      <c r="K33" s="81"/>
    </row>
    <row r="34" spans="2:11" ht="18" customHeight="1" x14ac:dyDescent="0.4">
      <c r="B34" s="77"/>
      <c r="C34" s="78"/>
      <c r="D34" s="30" t="s">
        <v>22</v>
      </c>
      <c r="E34" s="61">
        <v>3.25</v>
      </c>
      <c r="F34" s="17">
        <f t="shared" si="0"/>
        <v>0</v>
      </c>
      <c r="G34" s="79"/>
      <c r="H34" s="80"/>
      <c r="I34" s="80"/>
      <c r="J34" s="80"/>
      <c r="K34" s="81"/>
    </row>
    <row r="35" spans="2:11" ht="18" customHeight="1" x14ac:dyDescent="0.4">
      <c r="B35" s="77"/>
      <c r="C35" s="78"/>
      <c r="D35" s="30" t="s">
        <v>141</v>
      </c>
      <c r="E35" s="61">
        <v>3.25</v>
      </c>
      <c r="F35" s="17">
        <f t="shared" si="0"/>
        <v>0</v>
      </c>
      <c r="G35" s="79"/>
      <c r="H35" s="80"/>
      <c r="I35" s="80"/>
      <c r="J35" s="80"/>
      <c r="K35" s="81"/>
    </row>
    <row r="36" spans="2:11" ht="18" customHeight="1" x14ac:dyDescent="0.4">
      <c r="B36" s="77"/>
      <c r="C36" s="78"/>
      <c r="D36" s="30" t="s">
        <v>15</v>
      </c>
      <c r="E36" s="17">
        <v>1.3</v>
      </c>
      <c r="F36" s="17">
        <f t="shared" si="0"/>
        <v>0</v>
      </c>
      <c r="G36" s="79"/>
      <c r="H36" s="80"/>
      <c r="I36" s="80"/>
      <c r="J36" s="80"/>
      <c r="K36" s="81"/>
    </row>
    <row r="37" spans="2:11" ht="18" customHeight="1" x14ac:dyDescent="0.4">
      <c r="B37" s="77"/>
      <c r="C37" s="78"/>
      <c r="D37" s="30" t="s">
        <v>17</v>
      </c>
      <c r="E37" s="17">
        <v>1.3</v>
      </c>
      <c r="F37" s="17">
        <f t="shared" si="0"/>
        <v>0</v>
      </c>
      <c r="G37" s="79"/>
      <c r="H37" s="80"/>
      <c r="I37" s="80"/>
      <c r="J37" s="80"/>
      <c r="K37" s="81"/>
    </row>
    <row r="38" spans="2:11" ht="18" customHeight="1" x14ac:dyDescent="0.4">
      <c r="B38" s="77"/>
      <c r="C38" s="78"/>
      <c r="D38" s="30" t="s">
        <v>18</v>
      </c>
      <c r="E38" s="73">
        <v>0.97500000000000009</v>
      </c>
      <c r="F38" s="17">
        <f t="shared" si="0"/>
        <v>0</v>
      </c>
      <c r="G38" s="79"/>
      <c r="H38" s="80"/>
      <c r="I38" s="80"/>
      <c r="J38" s="80"/>
      <c r="K38" s="81"/>
    </row>
    <row r="39" spans="2:11" ht="18" customHeight="1" thickBot="1" x14ac:dyDescent="0.45">
      <c r="B39" s="82"/>
      <c r="C39" s="83"/>
      <c r="D39" s="84" t="s">
        <v>26</v>
      </c>
      <c r="E39" s="85">
        <v>0.65</v>
      </c>
      <c r="F39" s="86">
        <f t="shared" si="0"/>
        <v>0</v>
      </c>
      <c r="G39" s="87"/>
      <c r="H39" s="88"/>
      <c r="I39" s="88"/>
      <c r="J39" s="88"/>
      <c r="K39" s="89"/>
    </row>
    <row r="40" spans="2:11" ht="80.099999999999994" customHeight="1" thickTop="1" x14ac:dyDescent="0.4">
      <c r="B40" s="90"/>
      <c r="C40" s="90"/>
      <c r="D40" s="90"/>
      <c r="E40" s="90"/>
      <c r="F40" s="90"/>
      <c r="G40" s="90"/>
      <c r="H40" s="90"/>
      <c r="I40" s="90"/>
      <c r="J40" s="90"/>
      <c r="K40" s="90"/>
    </row>
    <row r="41" spans="2:11" ht="18" thickBot="1" x14ac:dyDescent="0.45">
      <c r="B41" s="91"/>
      <c r="C41" s="92"/>
      <c r="D41" s="92"/>
      <c r="E41" s="93"/>
      <c r="F41" s="93"/>
      <c r="G41" s="94"/>
      <c r="H41" s="94"/>
      <c r="I41" s="94"/>
      <c r="J41" s="94"/>
      <c r="K41" s="94"/>
    </row>
    <row r="42" spans="2:11" ht="21" customHeight="1" thickTop="1" x14ac:dyDescent="0.4">
      <c r="B42" s="8" t="s">
        <v>142</v>
      </c>
      <c r="C42" s="9"/>
      <c r="D42" s="9"/>
      <c r="E42" s="9"/>
      <c r="F42" s="9"/>
      <c r="G42" s="9"/>
      <c r="H42" s="9"/>
      <c r="I42" s="9"/>
      <c r="J42" s="9"/>
      <c r="K42" s="10"/>
    </row>
    <row r="43" spans="2:11" ht="18" customHeight="1" x14ac:dyDescent="0.4">
      <c r="B43" s="11" t="s">
        <v>2</v>
      </c>
      <c r="C43" s="12" t="s">
        <v>3</v>
      </c>
      <c r="D43" s="12" t="s">
        <v>4</v>
      </c>
      <c r="E43" s="13" t="s">
        <v>5</v>
      </c>
      <c r="F43" s="13" t="s">
        <v>6</v>
      </c>
      <c r="G43" s="12" t="s">
        <v>7</v>
      </c>
      <c r="H43" s="12"/>
      <c r="I43" s="12"/>
      <c r="J43" s="12"/>
      <c r="K43" s="14"/>
    </row>
    <row r="44" spans="2:11" ht="18" customHeight="1" x14ac:dyDescent="0.4">
      <c r="B44" s="11"/>
      <c r="C44" s="12"/>
      <c r="D44" s="12"/>
      <c r="E44" s="13" t="s">
        <v>1</v>
      </c>
      <c r="F44" s="15" t="s">
        <v>1</v>
      </c>
      <c r="G44" s="12"/>
      <c r="H44" s="12"/>
      <c r="I44" s="12"/>
      <c r="J44" s="12"/>
      <c r="K44" s="14"/>
    </row>
    <row r="45" spans="2:11" s="2" customFormat="1" ht="18" customHeight="1" x14ac:dyDescent="0.4">
      <c r="B45" s="16" t="s">
        <v>8</v>
      </c>
      <c r="C45" s="17" t="s">
        <v>143</v>
      </c>
      <c r="D45" s="18" t="s">
        <v>47</v>
      </c>
      <c r="E45" s="73">
        <v>26</v>
      </c>
      <c r="F45" s="17">
        <f t="shared" ref="F45:F83" si="1">E45*E$2</f>
        <v>0</v>
      </c>
      <c r="G45" s="20" t="s">
        <v>144</v>
      </c>
      <c r="H45" s="21"/>
      <c r="I45" s="21"/>
      <c r="J45" s="21"/>
      <c r="K45" s="22"/>
    </row>
    <row r="46" spans="2:11" s="2" customFormat="1" ht="18" customHeight="1" x14ac:dyDescent="0.4">
      <c r="B46" s="95"/>
      <c r="C46" s="96" t="s">
        <v>145</v>
      </c>
      <c r="D46" s="17" t="s">
        <v>146</v>
      </c>
      <c r="E46" s="17">
        <v>42</v>
      </c>
      <c r="F46" s="17">
        <f t="shared" si="1"/>
        <v>0</v>
      </c>
      <c r="G46" s="97" t="s">
        <v>147</v>
      </c>
      <c r="H46" s="98"/>
      <c r="I46" s="98"/>
      <c r="J46" s="98"/>
      <c r="K46" s="99"/>
    </row>
    <row r="47" spans="2:11" s="2" customFormat="1" ht="18" customHeight="1" x14ac:dyDescent="0.4">
      <c r="B47" s="23"/>
      <c r="C47" s="96" t="s">
        <v>148</v>
      </c>
      <c r="D47" s="17" t="s">
        <v>49</v>
      </c>
      <c r="E47" s="73">
        <v>100</v>
      </c>
      <c r="F47" s="17">
        <f t="shared" si="1"/>
        <v>0</v>
      </c>
      <c r="G47" s="100"/>
      <c r="H47" s="101"/>
      <c r="I47" s="101"/>
      <c r="J47" s="101"/>
      <c r="K47" s="102"/>
    </row>
    <row r="48" spans="2:11" s="2" customFormat="1" ht="18" customHeight="1" x14ac:dyDescent="0.4">
      <c r="B48" s="103" t="s">
        <v>149</v>
      </c>
      <c r="C48" s="104" t="s">
        <v>150</v>
      </c>
      <c r="D48" s="30" t="s">
        <v>122</v>
      </c>
      <c r="E48" s="55">
        <v>32.5</v>
      </c>
      <c r="F48" s="96">
        <f t="shared" si="1"/>
        <v>0</v>
      </c>
      <c r="G48" s="105" t="s">
        <v>12</v>
      </c>
      <c r="H48" s="106"/>
      <c r="I48" s="106"/>
      <c r="J48" s="106"/>
      <c r="K48" s="107"/>
    </row>
    <row r="49" spans="2:11" s="2" customFormat="1" ht="18" customHeight="1" x14ac:dyDescent="0.4">
      <c r="B49" s="108"/>
      <c r="C49" s="109"/>
      <c r="D49" s="30" t="s">
        <v>151</v>
      </c>
      <c r="E49" s="55">
        <v>1.625</v>
      </c>
      <c r="F49" s="17">
        <f t="shared" si="1"/>
        <v>0</v>
      </c>
      <c r="G49" s="110"/>
      <c r="H49" s="111"/>
      <c r="I49" s="111"/>
      <c r="J49" s="111"/>
      <c r="K49" s="112"/>
    </row>
    <row r="50" spans="2:11" ht="18" customHeight="1" x14ac:dyDescent="0.4">
      <c r="B50" s="108"/>
      <c r="C50" s="113" t="s">
        <v>152</v>
      </c>
      <c r="D50" s="34" t="s">
        <v>27</v>
      </c>
      <c r="E50" s="55">
        <v>19.5</v>
      </c>
      <c r="F50" s="17">
        <f t="shared" si="1"/>
        <v>0</v>
      </c>
      <c r="G50" s="114" t="s">
        <v>153</v>
      </c>
      <c r="H50" s="115"/>
      <c r="I50" s="115"/>
      <c r="J50" s="115"/>
      <c r="K50" s="116"/>
    </row>
    <row r="51" spans="2:11" ht="18" customHeight="1" x14ac:dyDescent="0.4">
      <c r="B51" s="108"/>
      <c r="C51" s="38"/>
      <c r="D51" s="34" t="s">
        <v>14</v>
      </c>
      <c r="E51" s="55">
        <v>6.5</v>
      </c>
      <c r="F51" s="17">
        <f t="shared" si="1"/>
        <v>0</v>
      </c>
      <c r="G51" s="117"/>
      <c r="H51" s="118"/>
      <c r="I51" s="118"/>
      <c r="J51" s="118"/>
      <c r="K51" s="119"/>
    </row>
    <row r="52" spans="2:11" ht="18" customHeight="1" x14ac:dyDescent="0.4">
      <c r="B52" s="108"/>
      <c r="C52" s="38"/>
      <c r="D52" s="34" t="s">
        <v>154</v>
      </c>
      <c r="E52" s="19">
        <v>1.9500000000000002</v>
      </c>
      <c r="F52" s="17">
        <f t="shared" si="1"/>
        <v>0</v>
      </c>
      <c r="G52" s="117"/>
      <c r="H52" s="118"/>
      <c r="I52" s="118"/>
      <c r="J52" s="118"/>
      <c r="K52" s="119"/>
    </row>
    <row r="53" spans="2:11" ht="18" customHeight="1" x14ac:dyDescent="0.4">
      <c r="B53" s="108"/>
      <c r="C53" s="38"/>
      <c r="D53" s="34" t="s">
        <v>126</v>
      </c>
      <c r="E53" s="55">
        <v>0.65</v>
      </c>
      <c r="F53" s="17">
        <f t="shared" si="1"/>
        <v>0</v>
      </c>
      <c r="G53" s="117"/>
      <c r="H53" s="118"/>
      <c r="I53" s="118"/>
      <c r="J53" s="118"/>
      <c r="K53" s="119"/>
    </row>
    <row r="54" spans="2:11" ht="18" customHeight="1" x14ac:dyDescent="0.4">
      <c r="B54" s="108"/>
      <c r="C54" s="38"/>
      <c r="D54" s="34" t="s">
        <v>15</v>
      </c>
      <c r="E54" s="55">
        <v>1.3</v>
      </c>
      <c r="F54" s="17">
        <f t="shared" si="1"/>
        <v>0</v>
      </c>
      <c r="G54" s="117"/>
      <c r="H54" s="118"/>
      <c r="I54" s="118"/>
      <c r="J54" s="118"/>
      <c r="K54" s="119"/>
    </row>
    <row r="55" spans="2:11" ht="18" customHeight="1" x14ac:dyDescent="0.4">
      <c r="B55" s="108"/>
      <c r="C55" s="43"/>
      <c r="D55" s="34" t="s">
        <v>17</v>
      </c>
      <c r="E55" s="55">
        <v>1.3</v>
      </c>
      <c r="F55" s="17">
        <f t="shared" si="1"/>
        <v>0</v>
      </c>
      <c r="G55" s="117"/>
      <c r="H55" s="118"/>
      <c r="I55" s="118"/>
      <c r="J55" s="118"/>
      <c r="K55" s="119"/>
    </row>
    <row r="56" spans="2:11" ht="18" customHeight="1" x14ac:dyDescent="0.4">
      <c r="B56" s="108"/>
      <c r="C56" s="33" t="s">
        <v>155</v>
      </c>
      <c r="D56" s="30" t="s">
        <v>53</v>
      </c>
      <c r="E56" s="19">
        <v>26</v>
      </c>
      <c r="F56" s="17">
        <f t="shared" si="1"/>
        <v>0</v>
      </c>
      <c r="G56" s="105" t="s">
        <v>156</v>
      </c>
      <c r="H56" s="106"/>
      <c r="I56" s="106"/>
      <c r="J56" s="106"/>
      <c r="K56" s="107"/>
    </row>
    <row r="57" spans="2:11" ht="18" customHeight="1" x14ac:dyDescent="0.4">
      <c r="B57" s="108"/>
      <c r="C57" s="78"/>
      <c r="D57" s="30" t="s">
        <v>157</v>
      </c>
      <c r="E57" s="55">
        <v>6.5</v>
      </c>
      <c r="F57" s="17">
        <f t="shared" si="1"/>
        <v>0</v>
      </c>
      <c r="G57" s="120"/>
      <c r="H57" s="121"/>
      <c r="I57" s="121"/>
      <c r="J57" s="121"/>
      <c r="K57" s="122"/>
    </row>
    <row r="58" spans="2:11" ht="18" customHeight="1" x14ac:dyDescent="0.4">
      <c r="B58" s="108"/>
      <c r="C58" s="78"/>
      <c r="D58" s="30" t="s">
        <v>158</v>
      </c>
      <c r="E58" s="19">
        <v>1.9500000000000002</v>
      </c>
      <c r="F58" s="17">
        <f t="shared" si="1"/>
        <v>0</v>
      </c>
      <c r="G58" s="120"/>
      <c r="H58" s="121"/>
      <c r="I58" s="121"/>
      <c r="J58" s="121"/>
      <c r="K58" s="122"/>
    </row>
    <row r="59" spans="2:11" ht="18" customHeight="1" x14ac:dyDescent="0.4">
      <c r="B59" s="108"/>
      <c r="C59" s="78"/>
      <c r="D59" s="30" t="s">
        <v>126</v>
      </c>
      <c r="E59" s="55">
        <v>0.65</v>
      </c>
      <c r="F59" s="17">
        <f t="shared" si="1"/>
        <v>0</v>
      </c>
      <c r="G59" s="120"/>
      <c r="H59" s="121"/>
      <c r="I59" s="121"/>
      <c r="J59" s="121"/>
      <c r="K59" s="122"/>
    </row>
    <row r="60" spans="2:11" ht="18" customHeight="1" x14ac:dyDescent="0.4">
      <c r="B60" s="108"/>
      <c r="C60" s="78"/>
      <c r="D60" s="30" t="s">
        <v>159</v>
      </c>
      <c r="E60" s="55">
        <v>0.32500000000000001</v>
      </c>
      <c r="F60" s="17">
        <f t="shared" si="1"/>
        <v>0</v>
      </c>
      <c r="G60" s="120"/>
      <c r="H60" s="121"/>
      <c r="I60" s="121"/>
      <c r="J60" s="121"/>
      <c r="K60" s="122"/>
    </row>
    <row r="61" spans="2:11" ht="18" customHeight="1" x14ac:dyDescent="0.4">
      <c r="B61" s="108"/>
      <c r="C61" s="78"/>
      <c r="D61" s="30" t="s">
        <v>160</v>
      </c>
      <c r="E61" s="55">
        <v>0.13</v>
      </c>
      <c r="F61" s="17">
        <f t="shared" si="1"/>
        <v>0</v>
      </c>
      <c r="G61" s="120"/>
      <c r="H61" s="121"/>
      <c r="I61" s="121"/>
      <c r="J61" s="121"/>
      <c r="K61" s="122"/>
    </row>
    <row r="62" spans="2:11" ht="18" customHeight="1" x14ac:dyDescent="0.4">
      <c r="B62" s="108"/>
      <c r="C62" s="78"/>
      <c r="D62" s="30" t="s">
        <v>18</v>
      </c>
      <c r="E62" s="55">
        <v>3.25</v>
      </c>
      <c r="F62" s="17">
        <f t="shared" si="1"/>
        <v>0</v>
      </c>
      <c r="G62" s="120"/>
      <c r="H62" s="121"/>
      <c r="I62" s="121"/>
      <c r="J62" s="121"/>
      <c r="K62" s="122"/>
    </row>
    <row r="63" spans="2:11" ht="18" customHeight="1" x14ac:dyDescent="0.4">
      <c r="B63" s="108"/>
      <c r="C63" s="78"/>
      <c r="D63" s="30" t="s">
        <v>35</v>
      </c>
      <c r="E63" s="19">
        <v>1.9500000000000002</v>
      </c>
      <c r="F63" s="17">
        <f t="shared" si="1"/>
        <v>0</v>
      </c>
      <c r="G63" s="120"/>
      <c r="H63" s="121"/>
      <c r="I63" s="121"/>
      <c r="J63" s="121"/>
      <c r="K63" s="122"/>
    </row>
    <row r="64" spans="2:11" ht="18" customHeight="1" x14ac:dyDescent="0.4">
      <c r="B64" s="108"/>
      <c r="C64" s="78"/>
      <c r="D64" s="30" t="s">
        <v>19</v>
      </c>
      <c r="E64" s="55">
        <v>0.65</v>
      </c>
      <c r="F64" s="17">
        <f t="shared" si="1"/>
        <v>0</v>
      </c>
      <c r="G64" s="120"/>
      <c r="H64" s="121"/>
      <c r="I64" s="121"/>
      <c r="J64" s="121"/>
      <c r="K64" s="122"/>
    </row>
    <row r="65" spans="2:11" ht="18" customHeight="1" x14ac:dyDescent="0.4">
      <c r="B65" s="108"/>
      <c r="C65" s="123"/>
      <c r="D65" s="30" t="s">
        <v>161</v>
      </c>
      <c r="E65" s="55">
        <v>1.3</v>
      </c>
      <c r="F65" s="17">
        <f t="shared" si="1"/>
        <v>0</v>
      </c>
      <c r="G65" s="110"/>
      <c r="H65" s="111"/>
      <c r="I65" s="111"/>
      <c r="J65" s="111"/>
      <c r="K65" s="112"/>
    </row>
    <row r="66" spans="2:11" ht="18" customHeight="1" x14ac:dyDescent="0.4">
      <c r="B66" s="108"/>
      <c r="C66" s="113" t="s">
        <v>162</v>
      </c>
      <c r="D66" s="30" t="s">
        <v>163</v>
      </c>
      <c r="E66" s="61">
        <v>16.25</v>
      </c>
      <c r="F66" s="17">
        <f t="shared" si="1"/>
        <v>0</v>
      </c>
      <c r="G66" s="124" t="s">
        <v>164</v>
      </c>
      <c r="H66" s="124"/>
      <c r="I66" s="124"/>
      <c r="J66" s="124"/>
      <c r="K66" s="125"/>
    </row>
    <row r="67" spans="2:11" ht="18" customHeight="1" x14ac:dyDescent="0.4">
      <c r="B67" s="108"/>
      <c r="C67" s="38"/>
      <c r="D67" s="30" t="s">
        <v>158</v>
      </c>
      <c r="E67" s="61">
        <v>0.13</v>
      </c>
      <c r="F67" s="17">
        <f t="shared" si="1"/>
        <v>0</v>
      </c>
      <c r="G67" s="124"/>
      <c r="H67" s="124"/>
      <c r="I67" s="124"/>
      <c r="J67" s="124"/>
      <c r="K67" s="125"/>
    </row>
    <row r="68" spans="2:11" ht="18" customHeight="1" x14ac:dyDescent="0.4">
      <c r="B68" s="108"/>
      <c r="C68" s="38"/>
      <c r="D68" s="30" t="s">
        <v>126</v>
      </c>
      <c r="E68" s="61">
        <v>0.13</v>
      </c>
      <c r="F68" s="17">
        <f t="shared" si="1"/>
        <v>0</v>
      </c>
      <c r="G68" s="124"/>
      <c r="H68" s="124"/>
      <c r="I68" s="124"/>
      <c r="J68" s="124"/>
      <c r="K68" s="125"/>
    </row>
    <row r="69" spans="2:11" ht="18" customHeight="1" x14ac:dyDescent="0.4">
      <c r="B69" s="108"/>
      <c r="C69" s="38"/>
      <c r="D69" s="30" t="s">
        <v>165</v>
      </c>
      <c r="E69" s="73">
        <v>1.9500000000000002</v>
      </c>
      <c r="F69" s="17">
        <f t="shared" si="1"/>
        <v>0</v>
      </c>
      <c r="G69" s="124"/>
      <c r="H69" s="124"/>
      <c r="I69" s="124"/>
      <c r="J69" s="124"/>
      <c r="K69" s="125"/>
    </row>
    <row r="70" spans="2:11" ht="18" customHeight="1" x14ac:dyDescent="0.4">
      <c r="B70" s="108"/>
      <c r="C70" s="38"/>
      <c r="D70" s="30" t="s">
        <v>166</v>
      </c>
      <c r="E70" s="61">
        <v>0.65</v>
      </c>
      <c r="F70" s="17">
        <f t="shared" si="1"/>
        <v>0</v>
      </c>
      <c r="G70" s="124"/>
      <c r="H70" s="124"/>
      <c r="I70" s="124"/>
      <c r="J70" s="124"/>
      <c r="K70" s="125"/>
    </row>
    <row r="71" spans="2:11" ht="18" customHeight="1" x14ac:dyDescent="0.4">
      <c r="B71" s="108"/>
      <c r="C71" s="43"/>
      <c r="D71" s="30" t="s">
        <v>159</v>
      </c>
      <c r="E71" s="61">
        <v>0.19500000000000001</v>
      </c>
      <c r="F71" s="17">
        <f t="shared" si="1"/>
        <v>0</v>
      </c>
      <c r="G71" s="124"/>
      <c r="H71" s="124"/>
      <c r="I71" s="124"/>
      <c r="J71" s="124"/>
      <c r="K71" s="125"/>
    </row>
    <row r="72" spans="2:11" ht="18" customHeight="1" x14ac:dyDescent="0.4">
      <c r="B72" s="108"/>
      <c r="C72" s="126" t="s">
        <v>30</v>
      </c>
      <c r="D72" s="34" t="s">
        <v>135</v>
      </c>
      <c r="E72" s="42">
        <v>13</v>
      </c>
      <c r="F72" s="17">
        <f t="shared" si="1"/>
        <v>0</v>
      </c>
      <c r="G72" s="69" t="s">
        <v>136</v>
      </c>
      <c r="H72" s="70"/>
      <c r="I72" s="70"/>
      <c r="J72" s="70"/>
      <c r="K72" s="71"/>
    </row>
    <row r="73" spans="2:11" ht="18" customHeight="1" x14ac:dyDescent="0.4">
      <c r="B73" s="127" t="s">
        <v>137</v>
      </c>
      <c r="C73" s="33" t="s">
        <v>167</v>
      </c>
      <c r="D73" s="30" t="s">
        <v>11</v>
      </c>
      <c r="E73" s="128">
        <v>26</v>
      </c>
      <c r="F73" s="17">
        <f t="shared" si="1"/>
        <v>0</v>
      </c>
      <c r="G73" s="129" t="s">
        <v>168</v>
      </c>
      <c r="H73" s="130"/>
      <c r="I73" s="130"/>
      <c r="J73" s="130"/>
      <c r="K73" s="131"/>
    </row>
    <row r="74" spans="2:11" ht="18" customHeight="1" x14ac:dyDescent="0.4">
      <c r="B74" s="132"/>
      <c r="C74" s="78"/>
      <c r="D74" s="25" t="s">
        <v>97</v>
      </c>
      <c r="E74" s="133">
        <v>6.5</v>
      </c>
      <c r="F74" s="17">
        <f t="shared" si="1"/>
        <v>0</v>
      </c>
      <c r="G74" s="130"/>
      <c r="H74" s="130"/>
      <c r="I74" s="130"/>
      <c r="J74" s="130"/>
      <c r="K74" s="131"/>
    </row>
    <row r="75" spans="2:11" ht="18" customHeight="1" x14ac:dyDescent="0.4">
      <c r="B75" s="132"/>
      <c r="C75" s="78"/>
      <c r="D75" s="30" t="s">
        <v>22</v>
      </c>
      <c r="E75" s="133">
        <v>1.3</v>
      </c>
      <c r="F75" s="17">
        <f t="shared" si="1"/>
        <v>0</v>
      </c>
      <c r="G75" s="130"/>
      <c r="H75" s="130"/>
      <c r="I75" s="130"/>
      <c r="J75" s="130"/>
      <c r="K75" s="131"/>
    </row>
    <row r="76" spans="2:11" ht="18" customHeight="1" x14ac:dyDescent="0.4">
      <c r="B76" s="132"/>
      <c r="C76" s="78"/>
      <c r="D76" s="30" t="s">
        <v>57</v>
      </c>
      <c r="E76" s="133">
        <v>1.3</v>
      </c>
      <c r="F76" s="17">
        <f t="shared" si="1"/>
        <v>0</v>
      </c>
      <c r="G76" s="130"/>
      <c r="H76" s="130"/>
      <c r="I76" s="130"/>
      <c r="J76" s="130"/>
      <c r="K76" s="131"/>
    </row>
    <row r="77" spans="2:11" ht="18" customHeight="1" x14ac:dyDescent="0.4">
      <c r="B77" s="132"/>
      <c r="C77" s="78"/>
      <c r="D77" s="30" t="s">
        <v>18</v>
      </c>
      <c r="E77" s="128">
        <v>1.9500000000000002</v>
      </c>
      <c r="F77" s="17">
        <f t="shared" si="1"/>
        <v>0</v>
      </c>
      <c r="G77" s="130"/>
      <c r="H77" s="130"/>
      <c r="I77" s="130"/>
      <c r="J77" s="130"/>
      <c r="K77" s="131"/>
    </row>
    <row r="78" spans="2:11" ht="18" customHeight="1" x14ac:dyDescent="0.4">
      <c r="B78" s="132"/>
      <c r="C78" s="78"/>
      <c r="D78" s="30" t="s">
        <v>35</v>
      </c>
      <c r="E78" s="133">
        <v>0.32500000000000001</v>
      </c>
      <c r="F78" s="17">
        <f t="shared" si="1"/>
        <v>0</v>
      </c>
      <c r="G78" s="130"/>
      <c r="H78" s="130"/>
      <c r="I78" s="130"/>
      <c r="J78" s="130"/>
      <c r="K78" s="131"/>
    </row>
    <row r="79" spans="2:11" ht="18" customHeight="1" x14ac:dyDescent="0.4">
      <c r="B79" s="132"/>
      <c r="C79" s="78"/>
      <c r="D79" s="30" t="s">
        <v>28</v>
      </c>
      <c r="E79" s="55">
        <v>0.65</v>
      </c>
      <c r="F79" s="17">
        <f t="shared" si="1"/>
        <v>0</v>
      </c>
      <c r="G79" s="130"/>
      <c r="H79" s="130"/>
      <c r="I79" s="130"/>
      <c r="J79" s="130"/>
      <c r="K79" s="131"/>
    </row>
    <row r="80" spans="2:11" ht="18" customHeight="1" x14ac:dyDescent="0.4">
      <c r="B80" s="132"/>
      <c r="C80" s="78"/>
      <c r="D80" s="30" t="s">
        <v>91</v>
      </c>
      <c r="E80" s="55">
        <v>1.3</v>
      </c>
      <c r="F80" s="17">
        <f t="shared" si="1"/>
        <v>0</v>
      </c>
      <c r="G80" s="130"/>
      <c r="H80" s="130"/>
      <c r="I80" s="130"/>
      <c r="J80" s="130"/>
      <c r="K80" s="131"/>
    </row>
    <row r="81" spans="2:11" ht="18" customHeight="1" x14ac:dyDescent="0.4">
      <c r="B81" s="132"/>
      <c r="C81" s="78"/>
      <c r="D81" s="30" t="s">
        <v>26</v>
      </c>
      <c r="E81" s="55">
        <v>0.65</v>
      </c>
      <c r="F81" s="17">
        <f t="shared" si="1"/>
        <v>0</v>
      </c>
      <c r="G81" s="130"/>
      <c r="H81" s="130"/>
      <c r="I81" s="130"/>
      <c r="J81" s="130"/>
      <c r="K81" s="131"/>
    </row>
    <row r="82" spans="2:11" ht="18" customHeight="1" x14ac:dyDescent="0.4">
      <c r="B82" s="132"/>
      <c r="C82" s="78"/>
      <c r="D82" s="30" t="s">
        <v>19</v>
      </c>
      <c r="E82" s="55">
        <v>0.65</v>
      </c>
      <c r="F82" s="17">
        <f t="shared" si="1"/>
        <v>0</v>
      </c>
      <c r="G82" s="130"/>
      <c r="H82" s="130"/>
      <c r="I82" s="130"/>
      <c r="J82" s="130"/>
      <c r="K82" s="131"/>
    </row>
    <row r="83" spans="2:11" ht="18" customHeight="1" thickBot="1" x14ac:dyDescent="0.45">
      <c r="B83" s="134"/>
      <c r="C83" s="83"/>
      <c r="D83" s="84" t="s">
        <v>98</v>
      </c>
      <c r="E83" s="135">
        <v>0.32500000000000001</v>
      </c>
      <c r="F83" s="86">
        <f t="shared" si="1"/>
        <v>0</v>
      </c>
      <c r="G83" s="136"/>
      <c r="H83" s="136"/>
      <c r="I83" s="136"/>
      <c r="J83" s="136"/>
      <c r="K83" s="137"/>
    </row>
    <row r="84" spans="2:11" ht="80.099999999999994" customHeight="1" thickTop="1" x14ac:dyDescent="0.4">
      <c r="B84" s="138"/>
      <c r="C84" s="138"/>
      <c r="D84" s="138"/>
      <c r="E84" s="138"/>
      <c r="F84" s="138"/>
      <c r="G84" s="138"/>
      <c r="H84" s="138"/>
      <c r="I84" s="138"/>
      <c r="J84" s="138"/>
      <c r="K84" s="138"/>
    </row>
    <row r="85" spans="2:11" ht="18" thickBot="1" x14ac:dyDescent="0.45">
      <c r="B85" s="139"/>
      <c r="C85" s="139"/>
      <c r="D85" s="139"/>
      <c r="E85" s="139"/>
      <c r="F85" s="139"/>
      <c r="G85" s="139"/>
      <c r="H85" s="139"/>
      <c r="I85" s="139"/>
      <c r="J85" s="139"/>
      <c r="K85" s="139"/>
    </row>
    <row r="86" spans="2:11" ht="21" customHeight="1" thickTop="1" x14ac:dyDescent="0.4">
      <c r="B86" s="8" t="s">
        <v>169</v>
      </c>
      <c r="C86" s="9"/>
      <c r="D86" s="9"/>
      <c r="E86" s="9"/>
      <c r="F86" s="9"/>
      <c r="G86" s="9"/>
      <c r="H86" s="9"/>
      <c r="I86" s="9"/>
      <c r="J86" s="9"/>
      <c r="K86" s="10"/>
    </row>
    <row r="87" spans="2:11" ht="18" customHeight="1" x14ac:dyDescent="0.4">
      <c r="B87" s="11" t="s">
        <v>2</v>
      </c>
      <c r="C87" s="12" t="s">
        <v>3</v>
      </c>
      <c r="D87" s="12" t="s">
        <v>4</v>
      </c>
      <c r="E87" s="13" t="s">
        <v>5</v>
      </c>
      <c r="F87" s="13" t="s">
        <v>6</v>
      </c>
      <c r="G87" s="12" t="s">
        <v>7</v>
      </c>
      <c r="H87" s="12"/>
      <c r="I87" s="12"/>
      <c r="J87" s="12"/>
      <c r="K87" s="14"/>
    </row>
    <row r="88" spans="2:11" ht="18" customHeight="1" x14ac:dyDescent="0.4">
      <c r="B88" s="11"/>
      <c r="C88" s="12"/>
      <c r="D88" s="12"/>
      <c r="E88" s="13" t="s">
        <v>1</v>
      </c>
      <c r="F88" s="15" t="s">
        <v>1</v>
      </c>
      <c r="G88" s="12"/>
      <c r="H88" s="12"/>
      <c r="I88" s="12"/>
      <c r="J88" s="12"/>
      <c r="K88" s="14"/>
    </row>
    <row r="89" spans="2:11" ht="18" customHeight="1" x14ac:dyDescent="0.4">
      <c r="B89" s="140" t="s">
        <v>8</v>
      </c>
      <c r="C89" s="17" t="s">
        <v>170</v>
      </c>
      <c r="D89" s="141" t="s">
        <v>170</v>
      </c>
      <c r="E89" s="55">
        <v>32.5</v>
      </c>
      <c r="F89" s="17">
        <f t="shared" ref="F89:F121" si="2">E89*E$2</f>
        <v>0</v>
      </c>
      <c r="G89" s="142" t="s">
        <v>171</v>
      </c>
      <c r="H89" s="143"/>
      <c r="I89" s="143"/>
      <c r="J89" s="143"/>
      <c r="K89" s="144"/>
    </row>
    <row r="90" spans="2:11" ht="18" customHeight="1" x14ac:dyDescent="0.4">
      <c r="B90" s="103" t="s">
        <v>149</v>
      </c>
      <c r="C90" s="145" t="s">
        <v>172</v>
      </c>
      <c r="D90" s="30" t="s">
        <v>11</v>
      </c>
      <c r="E90" s="61">
        <v>35.75</v>
      </c>
      <c r="F90" s="17">
        <f t="shared" si="2"/>
        <v>0</v>
      </c>
      <c r="G90" s="124" t="s">
        <v>173</v>
      </c>
      <c r="H90" s="124"/>
      <c r="I90" s="124"/>
      <c r="J90" s="124"/>
      <c r="K90" s="125"/>
    </row>
    <row r="91" spans="2:11" ht="18" customHeight="1" x14ac:dyDescent="0.4">
      <c r="B91" s="108"/>
      <c r="C91" s="146"/>
      <c r="D91" s="30" t="s">
        <v>174</v>
      </c>
      <c r="E91" s="61">
        <v>19.5</v>
      </c>
      <c r="F91" s="17">
        <f t="shared" si="2"/>
        <v>0</v>
      </c>
      <c r="G91" s="124"/>
      <c r="H91" s="124"/>
      <c r="I91" s="124"/>
      <c r="J91" s="124"/>
      <c r="K91" s="125"/>
    </row>
    <row r="92" spans="2:11" ht="18" customHeight="1" x14ac:dyDescent="0.4">
      <c r="B92" s="108"/>
      <c r="C92" s="146"/>
      <c r="D92" s="30" t="s">
        <v>117</v>
      </c>
      <c r="E92" s="17">
        <v>3.25</v>
      </c>
      <c r="F92" s="17">
        <f t="shared" si="2"/>
        <v>0</v>
      </c>
      <c r="G92" s="124"/>
      <c r="H92" s="124"/>
      <c r="I92" s="124"/>
      <c r="J92" s="124"/>
      <c r="K92" s="125"/>
    </row>
    <row r="93" spans="2:11" ht="18" customHeight="1" x14ac:dyDescent="0.4">
      <c r="B93" s="108"/>
      <c r="C93" s="146"/>
      <c r="D93" s="30" t="s">
        <v>57</v>
      </c>
      <c r="E93" s="61">
        <v>3.25</v>
      </c>
      <c r="F93" s="17">
        <f t="shared" si="2"/>
        <v>0</v>
      </c>
      <c r="G93" s="124"/>
      <c r="H93" s="124"/>
      <c r="I93" s="124"/>
      <c r="J93" s="124"/>
      <c r="K93" s="125"/>
    </row>
    <row r="94" spans="2:11" ht="18" customHeight="1" x14ac:dyDescent="0.4">
      <c r="B94" s="108"/>
      <c r="C94" s="146"/>
      <c r="D94" s="30" t="s">
        <v>157</v>
      </c>
      <c r="E94" s="61">
        <v>6.5</v>
      </c>
      <c r="F94" s="17">
        <f t="shared" si="2"/>
        <v>0</v>
      </c>
      <c r="G94" s="124"/>
      <c r="H94" s="124"/>
      <c r="I94" s="124"/>
      <c r="J94" s="124"/>
      <c r="K94" s="125"/>
    </row>
    <row r="95" spans="2:11" ht="18" customHeight="1" x14ac:dyDescent="0.4">
      <c r="B95" s="108"/>
      <c r="C95" s="146"/>
      <c r="D95" s="30" t="s">
        <v>23</v>
      </c>
      <c r="E95" s="61">
        <v>3.25</v>
      </c>
      <c r="F95" s="17">
        <f t="shared" si="2"/>
        <v>0</v>
      </c>
      <c r="G95" s="124"/>
      <c r="H95" s="124"/>
      <c r="I95" s="124"/>
      <c r="J95" s="124"/>
      <c r="K95" s="125"/>
    </row>
    <row r="96" spans="2:11" ht="18" customHeight="1" x14ac:dyDescent="0.4">
      <c r="B96" s="108"/>
      <c r="C96" s="147"/>
      <c r="D96" s="30" t="s">
        <v>26</v>
      </c>
      <c r="E96" s="61">
        <v>0.65</v>
      </c>
      <c r="F96" s="17">
        <f t="shared" si="2"/>
        <v>0</v>
      </c>
      <c r="G96" s="124"/>
      <c r="H96" s="124"/>
      <c r="I96" s="124"/>
      <c r="J96" s="124"/>
      <c r="K96" s="125"/>
    </row>
    <row r="97" spans="2:11" ht="18" customHeight="1" x14ac:dyDescent="0.4">
      <c r="B97" s="108"/>
      <c r="C97" s="148" t="s">
        <v>175</v>
      </c>
      <c r="D97" s="34" t="s">
        <v>176</v>
      </c>
      <c r="E97" s="55">
        <v>9.75</v>
      </c>
      <c r="F97" s="17">
        <f t="shared" si="2"/>
        <v>0</v>
      </c>
      <c r="G97" s="149" t="s">
        <v>177</v>
      </c>
      <c r="H97" s="149"/>
      <c r="I97" s="149"/>
      <c r="J97" s="149"/>
      <c r="K97" s="150"/>
    </row>
    <row r="98" spans="2:11" ht="18" customHeight="1" x14ac:dyDescent="0.4">
      <c r="B98" s="108"/>
      <c r="C98" s="148"/>
      <c r="D98" s="34" t="s">
        <v>41</v>
      </c>
      <c r="E98" s="55">
        <v>3.25</v>
      </c>
      <c r="F98" s="17">
        <f t="shared" si="2"/>
        <v>0</v>
      </c>
      <c r="G98" s="149"/>
      <c r="H98" s="149"/>
      <c r="I98" s="149"/>
      <c r="J98" s="149"/>
      <c r="K98" s="150"/>
    </row>
    <row r="99" spans="2:11" ht="18" customHeight="1" x14ac:dyDescent="0.4">
      <c r="B99" s="108"/>
      <c r="C99" s="148"/>
      <c r="D99" s="34" t="s">
        <v>20</v>
      </c>
      <c r="E99" s="55">
        <v>1.3</v>
      </c>
      <c r="F99" s="17">
        <f t="shared" si="2"/>
        <v>0</v>
      </c>
      <c r="G99" s="149"/>
      <c r="H99" s="149"/>
      <c r="I99" s="149"/>
      <c r="J99" s="149"/>
      <c r="K99" s="150"/>
    </row>
    <row r="100" spans="2:11" ht="18" customHeight="1" x14ac:dyDescent="0.4">
      <c r="B100" s="108"/>
      <c r="C100" s="148"/>
      <c r="D100" s="34" t="s">
        <v>126</v>
      </c>
      <c r="E100" s="55">
        <v>0.19500000000000001</v>
      </c>
      <c r="F100" s="17">
        <f t="shared" si="2"/>
        <v>0</v>
      </c>
      <c r="G100" s="149"/>
      <c r="H100" s="149"/>
      <c r="I100" s="149"/>
      <c r="J100" s="149"/>
      <c r="K100" s="150"/>
    </row>
    <row r="101" spans="2:11" ht="18" customHeight="1" x14ac:dyDescent="0.4">
      <c r="B101" s="108"/>
      <c r="C101" s="148"/>
      <c r="D101" s="34" t="s">
        <v>178</v>
      </c>
      <c r="E101" s="55">
        <v>1.3</v>
      </c>
      <c r="F101" s="17">
        <f t="shared" si="2"/>
        <v>0</v>
      </c>
      <c r="G101" s="149"/>
      <c r="H101" s="149"/>
      <c r="I101" s="149"/>
      <c r="J101" s="149"/>
      <c r="K101" s="150"/>
    </row>
    <row r="102" spans="2:11" ht="18" customHeight="1" x14ac:dyDescent="0.4">
      <c r="B102" s="108"/>
      <c r="C102" s="148"/>
      <c r="D102" s="34" t="s">
        <v>179</v>
      </c>
      <c r="E102" s="55">
        <v>1.3</v>
      </c>
      <c r="F102" s="17">
        <f t="shared" si="2"/>
        <v>0</v>
      </c>
      <c r="G102" s="149"/>
      <c r="H102" s="149"/>
      <c r="I102" s="149"/>
      <c r="J102" s="149"/>
      <c r="K102" s="150"/>
    </row>
    <row r="103" spans="2:11" ht="18" customHeight="1" x14ac:dyDescent="0.4">
      <c r="B103" s="108"/>
      <c r="C103" s="33" t="s">
        <v>180</v>
      </c>
      <c r="D103" s="30" t="s">
        <v>181</v>
      </c>
      <c r="E103" s="61">
        <v>16.25</v>
      </c>
      <c r="F103" s="17">
        <f t="shared" si="2"/>
        <v>0</v>
      </c>
      <c r="G103" s="57" t="s">
        <v>182</v>
      </c>
      <c r="H103" s="58"/>
      <c r="I103" s="58"/>
      <c r="J103" s="58"/>
      <c r="K103" s="59"/>
    </row>
    <row r="104" spans="2:11" ht="18" customHeight="1" x14ac:dyDescent="0.4">
      <c r="B104" s="108"/>
      <c r="C104" s="78"/>
      <c r="D104" s="30" t="s">
        <v>183</v>
      </c>
      <c r="E104" s="17">
        <v>13</v>
      </c>
      <c r="F104" s="17">
        <f t="shared" si="2"/>
        <v>0</v>
      </c>
      <c r="G104" s="62"/>
      <c r="H104" s="63"/>
      <c r="I104" s="63"/>
      <c r="J104" s="63"/>
      <c r="K104" s="64"/>
    </row>
    <row r="105" spans="2:11" ht="18" customHeight="1" x14ac:dyDescent="0.4">
      <c r="B105" s="108"/>
      <c r="C105" s="78"/>
      <c r="D105" s="30" t="s">
        <v>132</v>
      </c>
      <c r="E105" s="17">
        <v>1.3</v>
      </c>
      <c r="F105" s="17">
        <f t="shared" si="2"/>
        <v>0</v>
      </c>
      <c r="G105" s="62"/>
      <c r="H105" s="63"/>
      <c r="I105" s="63"/>
      <c r="J105" s="63"/>
      <c r="K105" s="64"/>
    </row>
    <row r="106" spans="2:11" ht="18" customHeight="1" x14ac:dyDescent="0.4">
      <c r="B106" s="108"/>
      <c r="C106" s="78"/>
      <c r="D106" s="30" t="s">
        <v>166</v>
      </c>
      <c r="E106" s="61">
        <v>1.3</v>
      </c>
      <c r="F106" s="17">
        <f t="shared" si="2"/>
        <v>0</v>
      </c>
      <c r="G106" s="62"/>
      <c r="H106" s="63"/>
      <c r="I106" s="63"/>
      <c r="J106" s="63"/>
      <c r="K106" s="64"/>
    </row>
    <row r="107" spans="2:11" ht="18" customHeight="1" x14ac:dyDescent="0.4">
      <c r="B107" s="108"/>
      <c r="C107" s="78"/>
      <c r="D107" s="30" t="s">
        <v>158</v>
      </c>
      <c r="E107" s="73">
        <v>0.97500000000000009</v>
      </c>
      <c r="F107" s="17">
        <f t="shared" si="2"/>
        <v>0</v>
      </c>
      <c r="G107" s="62"/>
      <c r="H107" s="63"/>
      <c r="I107" s="63"/>
      <c r="J107" s="63"/>
      <c r="K107" s="64"/>
    </row>
    <row r="108" spans="2:11" ht="18" customHeight="1" x14ac:dyDescent="0.4">
      <c r="B108" s="108"/>
      <c r="C108" s="78"/>
      <c r="D108" s="30" t="s">
        <v>126</v>
      </c>
      <c r="E108" s="61">
        <v>0.13</v>
      </c>
      <c r="F108" s="17">
        <f t="shared" si="2"/>
        <v>0</v>
      </c>
      <c r="G108" s="62"/>
      <c r="H108" s="63"/>
      <c r="I108" s="63"/>
      <c r="J108" s="63"/>
      <c r="K108" s="64"/>
    </row>
    <row r="109" spans="2:11" ht="18" customHeight="1" x14ac:dyDescent="0.4">
      <c r="B109" s="108"/>
      <c r="C109" s="123"/>
      <c r="D109" s="30" t="s">
        <v>133</v>
      </c>
      <c r="E109" s="61">
        <v>6.5000000000000002E-2</v>
      </c>
      <c r="F109" s="17">
        <f t="shared" si="2"/>
        <v>0</v>
      </c>
      <c r="G109" s="65"/>
      <c r="H109" s="66"/>
      <c r="I109" s="66"/>
      <c r="J109" s="66"/>
      <c r="K109" s="67"/>
    </row>
    <row r="110" spans="2:11" ht="18" customHeight="1" x14ac:dyDescent="0.4">
      <c r="B110" s="108"/>
      <c r="C110" s="68" t="s">
        <v>134</v>
      </c>
      <c r="D110" s="68" t="s">
        <v>135</v>
      </c>
      <c r="E110" s="17">
        <v>13</v>
      </c>
      <c r="F110" s="17">
        <f t="shared" si="2"/>
        <v>0</v>
      </c>
      <c r="G110" s="69" t="s">
        <v>136</v>
      </c>
      <c r="H110" s="70"/>
      <c r="I110" s="70"/>
      <c r="J110" s="70"/>
      <c r="K110" s="71"/>
    </row>
    <row r="111" spans="2:11" s="2" customFormat="1" ht="18" customHeight="1" x14ac:dyDescent="0.4">
      <c r="B111" s="127" t="s">
        <v>137</v>
      </c>
      <c r="C111" s="33" t="s">
        <v>184</v>
      </c>
      <c r="D111" s="30" t="s">
        <v>79</v>
      </c>
      <c r="E111" s="55">
        <v>16.25</v>
      </c>
      <c r="F111" s="17">
        <f t="shared" si="2"/>
        <v>0</v>
      </c>
      <c r="G111" s="151" t="s">
        <v>185</v>
      </c>
      <c r="H111" s="152"/>
      <c r="I111" s="152"/>
      <c r="J111" s="152"/>
      <c r="K111" s="153"/>
    </row>
    <row r="112" spans="2:11" s="2" customFormat="1" ht="18" customHeight="1" x14ac:dyDescent="0.4">
      <c r="B112" s="132"/>
      <c r="C112" s="78"/>
      <c r="D112" s="30" t="s">
        <v>14</v>
      </c>
      <c r="E112" s="55">
        <v>6.5</v>
      </c>
      <c r="F112" s="17">
        <f t="shared" si="2"/>
        <v>0</v>
      </c>
      <c r="G112" s="154"/>
      <c r="H112" s="155"/>
      <c r="I112" s="155"/>
      <c r="J112" s="155"/>
      <c r="K112" s="156"/>
    </row>
    <row r="113" spans="2:11" s="2" customFormat="1" ht="18" customHeight="1" x14ac:dyDescent="0.4">
      <c r="B113" s="132"/>
      <c r="C113" s="78"/>
      <c r="D113" s="30" t="s">
        <v>22</v>
      </c>
      <c r="E113" s="55">
        <v>3.25</v>
      </c>
      <c r="F113" s="17">
        <f t="shared" si="2"/>
        <v>0</v>
      </c>
      <c r="G113" s="154"/>
      <c r="H113" s="155"/>
      <c r="I113" s="155"/>
      <c r="J113" s="155"/>
      <c r="K113" s="156"/>
    </row>
    <row r="114" spans="2:11" s="2" customFormat="1" ht="18" customHeight="1" x14ac:dyDescent="0.4">
      <c r="B114" s="132"/>
      <c r="C114" s="78"/>
      <c r="D114" s="30" t="s">
        <v>126</v>
      </c>
      <c r="E114" s="55">
        <v>0.65</v>
      </c>
      <c r="F114" s="17">
        <f t="shared" si="2"/>
        <v>0</v>
      </c>
      <c r="G114" s="154"/>
      <c r="H114" s="155"/>
      <c r="I114" s="155"/>
      <c r="J114" s="155"/>
      <c r="K114" s="156"/>
    </row>
    <row r="115" spans="2:11" s="2" customFormat="1" ht="18" customHeight="1" x14ac:dyDescent="0.4">
      <c r="B115" s="132"/>
      <c r="C115" s="78"/>
      <c r="D115" s="30" t="s">
        <v>28</v>
      </c>
      <c r="E115" s="55">
        <v>0.32500000000000001</v>
      </c>
      <c r="F115" s="17">
        <f t="shared" si="2"/>
        <v>0</v>
      </c>
      <c r="G115" s="154"/>
      <c r="H115" s="155"/>
      <c r="I115" s="155"/>
      <c r="J115" s="155"/>
      <c r="K115" s="156"/>
    </row>
    <row r="116" spans="2:11" s="2" customFormat="1" ht="18" customHeight="1" x14ac:dyDescent="0.4">
      <c r="B116" s="132"/>
      <c r="C116" s="78"/>
      <c r="D116" s="30" t="s">
        <v>18</v>
      </c>
      <c r="E116" s="55">
        <v>1.3</v>
      </c>
      <c r="F116" s="17">
        <f t="shared" si="2"/>
        <v>0</v>
      </c>
      <c r="G116" s="154"/>
      <c r="H116" s="155"/>
      <c r="I116" s="155"/>
      <c r="J116" s="155"/>
      <c r="K116" s="156"/>
    </row>
    <row r="117" spans="2:11" s="2" customFormat="1" ht="18" customHeight="1" x14ac:dyDescent="0.4">
      <c r="B117" s="132"/>
      <c r="C117" s="78"/>
      <c r="D117" s="30" t="s">
        <v>161</v>
      </c>
      <c r="E117" s="55">
        <v>0.32500000000000001</v>
      </c>
      <c r="F117" s="17">
        <f t="shared" si="2"/>
        <v>0</v>
      </c>
      <c r="G117" s="154"/>
      <c r="H117" s="155"/>
      <c r="I117" s="155"/>
      <c r="J117" s="155"/>
      <c r="K117" s="156"/>
    </row>
    <row r="118" spans="2:11" s="2" customFormat="1" ht="18" customHeight="1" x14ac:dyDescent="0.4">
      <c r="B118" s="132"/>
      <c r="C118" s="78"/>
      <c r="D118" s="30" t="s">
        <v>186</v>
      </c>
      <c r="E118" s="55">
        <v>0.32500000000000001</v>
      </c>
      <c r="F118" s="17">
        <f t="shared" si="2"/>
        <v>0</v>
      </c>
      <c r="G118" s="154"/>
      <c r="H118" s="155"/>
      <c r="I118" s="155"/>
      <c r="J118" s="155"/>
      <c r="K118" s="156"/>
    </row>
    <row r="119" spans="2:11" s="2" customFormat="1" ht="18" customHeight="1" x14ac:dyDescent="0.4">
      <c r="B119" s="132"/>
      <c r="C119" s="78"/>
      <c r="D119" s="30" t="s">
        <v>160</v>
      </c>
      <c r="E119" s="55">
        <v>6.5000000000000002E-2</v>
      </c>
      <c r="F119" s="17">
        <f t="shared" si="2"/>
        <v>0</v>
      </c>
      <c r="G119" s="154"/>
      <c r="H119" s="155"/>
      <c r="I119" s="155"/>
      <c r="J119" s="155"/>
      <c r="K119" s="156"/>
    </row>
    <row r="120" spans="2:11" s="2" customFormat="1" ht="18" customHeight="1" x14ac:dyDescent="0.4">
      <c r="B120" s="132"/>
      <c r="C120" s="78"/>
      <c r="D120" s="30" t="s">
        <v>17</v>
      </c>
      <c r="E120" s="55">
        <v>1.3</v>
      </c>
      <c r="F120" s="17">
        <f t="shared" si="2"/>
        <v>0</v>
      </c>
      <c r="G120" s="154"/>
      <c r="H120" s="155"/>
      <c r="I120" s="155"/>
      <c r="J120" s="155"/>
      <c r="K120" s="156"/>
    </row>
    <row r="121" spans="2:11" s="2" customFormat="1" ht="18" customHeight="1" thickBot="1" x14ac:dyDescent="0.45">
      <c r="B121" s="134"/>
      <c r="C121" s="83"/>
      <c r="D121" s="84" t="s">
        <v>15</v>
      </c>
      <c r="E121" s="135">
        <v>1.3</v>
      </c>
      <c r="F121" s="86">
        <f t="shared" si="2"/>
        <v>0</v>
      </c>
      <c r="G121" s="157"/>
      <c r="H121" s="158"/>
      <c r="I121" s="158"/>
      <c r="J121" s="158"/>
      <c r="K121" s="159"/>
    </row>
    <row r="122" spans="2:11" ht="80.099999999999994" customHeight="1" thickTop="1" x14ac:dyDescent="0.4"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</row>
    <row r="123" spans="2:11" ht="18" customHeight="1" thickBot="1" x14ac:dyDescent="0.45"/>
    <row r="124" spans="2:11" ht="21" customHeight="1" thickTop="1" x14ac:dyDescent="0.4">
      <c r="B124" s="160" t="s">
        <v>187</v>
      </c>
      <c r="C124" s="161"/>
      <c r="D124" s="161"/>
      <c r="E124" s="161"/>
      <c r="F124" s="161"/>
      <c r="G124" s="161"/>
      <c r="H124" s="161"/>
      <c r="I124" s="161"/>
      <c r="J124" s="161"/>
      <c r="K124" s="162"/>
    </row>
    <row r="125" spans="2:11" ht="18" customHeight="1" x14ac:dyDescent="0.4">
      <c r="B125" s="11" t="s">
        <v>2</v>
      </c>
      <c r="C125" s="12" t="s">
        <v>3</v>
      </c>
      <c r="D125" s="12" t="s">
        <v>4</v>
      </c>
      <c r="E125" s="163" t="s">
        <v>5</v>
      </c>
      <c r="F125" s="163" t="s">
        <v>6</v>
      </c>
      <c r="G125" s="12" t="s">
        <v>7</v>
      </c>
      <c r="H125" s="12"/>
      <c r="I125" s="12"/>
      <c r="J125" s="12"/>
      <c r="K125" s="14"/>
    </row>
    <row r="126" spans="2:11" ht="18" customHeight="1" x14ac:dyDescent="0.4">
      <c r="B126" s="11"/>
      <c r="C126" s="12"/>
      <c r="D126" s="12"/>
      <c r="E126" s="13" t="s">
        <v>1</v>
      </c>
      <c r="F126" s="15" t="s">
        <v>1</v>
      </c>
      <c r="G126" s="12"/>
      <c r="H126" s="12"/>
      <c r="I126" s="12"/>
      <c r="J126" s="12"/>
      <c r="K126" s="14"/>
    </row>
    <row r="127" spans="2:11" ht="18" customHeight="1" x14ac:dyDescent="0.4">
      <c r="B127" s="16" t="s">
        <v>8</v>
      </c>
      <c r="C127" s="164" t="s">
        <v>188</v>
      </c>
      <c r="D127" s="30" t="s">
        <v>189</v>
      </c>
      <c r="E127" s="42">
        <v>52</v>
      </c>
      <c r="F127" s="17">
        <f t="shared" ref="F127:F158" si="3">E127*E$2</f>
        <v>0</v>
      </c>
      <c r="G127" s="165" t="s">
        <v>190</v>
      </c>
      <c r="H127" s="165"/>
      <c r="I127" s="165"/>
      <c r="J127" s="165"/>
      <c r="K127" s="166"/>
    </row>
    <row r="128" spans="2:11" ht="18" customHeight="1" x14ac:dyDescent="0.4">
      <c r="B128" s="95"/>
      <c r="C128" s="167"/>
      <c r="D128" s="30" t="s">
        <v>122</v>
      </c>
      <c r="E128" s="31">
        <v>9.75</v>
      </c>
      <c r="F128" s="17">
        <f t="shared" si="3"/>
        <v>0</v>
      </c>
      <c r="G128" s="165"/>
      <c r="H128" s="165"/>
      <c r="I128" s="165"/>
      <c r="J128" s="165"/>
      <c r="K128" s="166"/>
    </row>
    <row r="129" spans="2:11" ht="18" customHeight="1" x14ac:dyDescent="0.4">
      <c r="B129" s="95"/>
      <c r="C129" s="167"/>
      <c r="D129" s="30" t="s">
        <v>191</v>
      </c>
      <c r="E129" s="31">
        <v>6.5</v>
      </c>
      <c r="F129" s="17">
        <f t="shared" si="3"/>
        <v>0</v>
      </c>
      <c r="G129" s="165"/>
      <c r="H129" s="165"/>
      <c r="I129" s="165"/>
      <c r="J129" s="165"/>
      <c r="K129" s="166"/>
    </row>
    <row r="130" spans="2:11" ht="18" customHeight="1" x14ac:dyDescent="0.4">
      <c r="B130" s="95"/>
      <c r="C130" s="167"/>
      <c r="D130" s="30" t="s">
        <v>157</v>
      </c>
      <c r="E130" s="31">
        <v>4.55</v>
      </c>
      <c r="F130" s="17">
        <f t="shared" si="3"/>
        <v>0</v>
      </c>
      <c r="G130" s="165"/>
      <c r="H130" s="165"/>
      <c r="I130" s="165"/>
      <c r="J130" s="165"/>
      <c r="K130" s="166"/>
    </row>
    <row r="131" spans="2:11" ht="18" customHeight="1" x14ac:dyDescent="0.4">
      <c r="B131" s="95"/>
      <c r="C131" s="167"/>
      <c r="D131" s="30" t="s">
        <v>126</v>
      </c>
      <c r="E131" s="31">
        <v>3.25</v>
      </c>
      <c r="F131" s="17">
        <f t="shared" si="3"/>
        <v>0</v>
      </c>
      <c r="G131" s="165"/>
      <c r="H131" s="165"/>
      <c r="I131" s="165"/>
      <c r="J131" s="165"/>
      <c r="K131" s="166"/>
    </row>
    <row r="132" spans="2:11" ht="18" customHeight="1" x14ac:dyDescent="0.4">
      <c r="B132" s="95"/>
      <c r="C132" s="167"/>
      <c r="D132" s="30" t="s">
        <v>120</v>
      </c>
      <c r="E132" s="31">
        <v>3.25</v>
      </c>
      <c r="F132" s="17">
        <f t="shared" si="3"/>
        <v>0</v>
      </c>
      <c r="G132" s="165"/>
      <c r="H132" s="165"/>
      <c r="I132" s="165"/>
      <c r="J132" s="165"/>
      <c r="K132" s="166"/>
    </row>
    <row r="133" spans="2:11" ht="18" customHeight="1" x14ac:dyDescent="0.4">
      <c r="B133" s="95"/>
      <c r="C133" s="167"/>
      <c r="D133" s="30" t="s">
        <v>192</v>
      </c>
      <c r="E133" s="42">
        <v>1.9500000000000002</v>
      </c>
      <c r="F133" s="17">
        <f t="shared" si="3"/>
        <v>0</v>
      </c>
      <c r="G133" s="165"/>
      <c r="H133" s="165"/>
      <c r="I133" s="165"/>
      <c r="J133" s="165"/>
      <c r="K133" s="166"/>
    </row>
    <row r="134" spans="2:11" ht="18" customHeight="1" x14ac:dyDescent="0.4">
      <c r="B134" s="95"/>
      <c r="C134" s="167"/>
      <c r="D134" s="30" t="s">
        <v>159</v>
      </c>
      <c r="E134" s="31">
        <v>0.32500000000000001</v>
      </c>
      <c r="F134" s="17">
        <f t="shared" si="3"/>
        <v>0</v>
      </c>
      <c r="G134" s="165"/>
      <c r="H134" s="165"/>
      <c r="I134" s="165"/>
      <c r="J134" s="165"/>
      <c r="K134" s="166"/>
    </row>
    <row r="135" spans="2:11" ht="18" customHeight="1" x14ac:dyDescent="0.4">
      <c r="B135" s="95"/>
      <c r="C135" s="167"/>
      <c r="D135" s="30" t="s">
        <v>160</v>
      </c>
      <c r="E135" s="31">
        <v>0.19500000000000001</v>
      </c>
      <c r="F135" s="17">
        <f t="shared" si="3"/>
        <v>0</v>
      </c>
      <c r="G135" s="165"/>
      <c r="H135" s="165"/>
      <c r="I135" s="165"/>
      <c r="J135" s="165"/>
      <c r="K135" s="166"/>
    </row>
    <row r="136" spans="2:11" s="2" customFormat="1" ht="18" customHeight="1" x14ac:dyDescent="0.4">
      <c r="B136" s="103" t="s">
        <v>149</v>
      </c>
      <c r="C136" s="168" t="s">
        <v>121</v>
      </c>
      <c r="D136" s="168" t="s">
        <v>122</v>
      </c>
      <c r="E136" s="169">
        <v>35.75</v>
      </c>
      <c r="F136" s="96">
        <f t="shared" si="3"/>
        <v>0</v>
      </c>
      <c r="G136" s="32" t="s">
        <v>123</v>
      </c>
      <c r="H136" s="111"/>
      <c r="I136" s="111"/>
      <c r="J136" s="111"/>
      <c r="K136" s="112"/>
    </row>
    <row r="137" spans="2:11" ht="18" customHeight="1" x14ac:dyDescent="0.4">
      <c r="B137" s="108"/>
      <c r="C137" s="113" t="s">
        <v>193</v>
      </c>
      <c r="D137" s="30" t="s">
        <v>21</v>
      </c>
      <c r="E137" s="42">
        <v>13</v>
      </c>
      <c r="F137" s="17">
        <f t="shared" si="3"/>
        <v>0</v>
      </c>
      <c r="G137" s="105" t="s">
        <v>194</v>
      </c>
      <c r="H137" s="106"/>
      <c r="I137" s="106"/>
      <c r="J137" s="106"/>
      <c r="K137" s="107"/>
    </row>
    <row r="138" spans="2:11" ht="18" customHeight="1" x14ac:dyDescent="0.4">
      <c r="B138" s="108"/>
      <c r="C138" s="38"/>
      <c r="D138" s="30" t="s">
        <v>70</v>
      </c>
      <c r="E138" s="42">
        <v>13</v>
      </c>
      <c r="F138" s="17">
        <f t="shared" si="3"/>
        <v>0</v>
      </c>
      <c r="G138" s="120"/>
      <c r="H138" s="121"/>
      <c r="I138" s="121"/>
      <c r="J138" s="121"/>
      <c r="K138" s="122"/>
    </row>
    <row r="139" spans="2:11" ht="18" customHeight="1" x14ac:dyDescent="0.4">
      <c r="B139" s="108"/>
      <c r="C139" s="38"/>
      <c r="D139" s="30" t="s">
        <v>18</v>
      </c>
      <c r="E139" s="31">
        <v>0.65</v>
      </c>
      <c r="F139" s="17">
        <f t="shared" si="3"/>
        <v>0</v>
      </c>
      <c r="G139" s="120"/>
      <c r="H139" s="121"/>
      <c r="I139" s="121"/>
      <c r="J139" s="121"/>
      <c r="K139" s="122"/>
    </row>
    <row r="140" spans="2:11" ht="18" customHeight="1" x14ac:dyDescent="0.4">
      <c r="B140" s="108"/>
      <c r="C140" s="38"/>
      <c r="D140" s="30" t="s">
        <v>19</v>
      </c>
      <c r="E140" s="31">
        <v>0.32500000000000001</v>
      </c>
      <c r="F140" s="17">
        <f t="shared" si="3"/>
        <v>0</v>
      </c>
      <c r="G140" s="120"/>
      <c r="H140" s="121"/>
      <c r="I140" s="121"/>
      <c r="J140" s="121"/>
      <c r="K140" s="122"/>
    </row>
    <row r="141" spans="2:11" ht="18" customHeight="1" x14ac:dyDescent="0.4">
      <c r="B141" s="108"/>
      <c r="C141" s="38"/>
      <c r="D141" s="30" t="s">
        <v>20</v>
      </c>
      <c r="E141" s="31">
        <v>0.65</v>
      </c>
      <c r="F141" s="17">
        <f t="shared" si="3"/>
        <v>0</v>
      </c>
      <c r="G141" s="120"/>
      <c r="H141" s="121"/>
      <c r="I141" s="121"/>
      <c r="J141" s="121"/>
      <c r="K141" s="122"/>
    </row>
    <row r="142" spans="2:11" ht="18" customHeight="1" x14ac:dyDescent="0.4">
      <c r="B142" s="108"/>
      <c r="C142" s="38"/>
      <c r="D142" s="30" t="s">
        <v>126</v>
      </c>
      <c r="E142" s="31">
        <v>0.32500000000000001</v>
      </c>
      <c r="F142" s="17">
        <f t="shared" si="3"/>
        <v>0</v>
      </c>
      <c r="G142" s="120"/>
      <c r="H142" s="121"/>
      <c r="I142" s="121"/>
      <c r="J142" s="121"/>
      <c r="K142" s="122"/>
    </row>
    <row r="143" spans="2:11" ht="18" customHeight="1" x14ac:dyDescent="0.4">
      <c r="B143" s="108"/>
      <c r="C143" s="38"/>
      <c r="D143" s="30" t="s">
        <v>28</v>
      </c>
      <c r="E143" s="31">
        <v>0.32500000000000001</v>
      </c>
      <c r="F143" s="17">
        <f t="shared" si="3"/>
        <v>0</v>
      </c>
      <c r="G143" s="120"/>
      <c r="H143" s="121"/>
      <c r="I143" s="121"/>
      <c r="J143" s="121"/>
      <c r="K143" s="122"/>
    </row>
    <row r="144" spans="2:11" ht="18" customHeight="1" x14ac:dyDescent="0.4">
      <c r="B144" s="108"/>
      <c r="C144" s="38"/>
      <c r="D144" s="30" t="s">
        <v>25</v>
      </c>
      <c r="E144" s="31">
        <v>6.5000000000000002E-2</v>
      </c>
      <c r="F144" s="17">
        <f t="shared" si="3"/>
        <v>0</v>
      </c>
      <c r="G144" s="110"/>
      <c r="H144" s="111"/>
      <c r="I144" s="111"/>
      <c r="J144" s="111"/>
      <c r="K144" s="112"/>
    </row>
    <row r="145" spans="2:11" ht="18" customHeight="1" x14ac:dyDescent="0.4">
      <c r="B145" s="108"/>
      <c r="C145" s="113" t="s">
        <v>195</v>
      </c>
      <c r="D145" s="170" t="s">
        <v>63</v>
      </c>
      <c r="E145" s="19">
        <v>26</v>
      </c>
      <c r="F145" s="17">
        <f t="shared" si="3"/>
        <v>0</v>
      </c>
      <c r="G145" s="171" t="s">
        <v>196</v>
      </c>
      <c r="H145" s="172"/>
      <c r="I145" s="172"/>
      <c r="J145" s="172"/>
      <c r="K145" s="173"/>
    </row>
    <row r="146" spans="2:11" ht="18" customHeight="1" x14ac:dyDescent="0.4">
      <c r="B146" s="108"/>
      <c r="C146" s="38"/>
      <c r="D146" s="170" t="s">
        <v>22</v>
      </c>
      <c r="E146" s="55">
        <v>3.25</v>
      </c>
      <c r="F146" s="17">
        <f t="shared" si="3"/>
        <v>0</v>
      </c>
      <c r="G146" s="174"/>
      <c r="H146" s="175"/>
      <c r="I146" s="175"/>
      <c r="J146" s="175"/>
      <c r="K146" s="176"/>
    </row>
    <row r="147" spans="2:11" ht="18" customHeight="1" x14ac:dyDescent="0.4">
      <c r="B147" s="108"/>
      <c r="C147" s="38"/>
      <c r="D147" s="170" t="s">
        <v>20</v>
      </c>
      <c r="E147" s="19">
        <v>1.9500000000000002</v>
      </c>
      <c r="F147" s="17">
        <f t="shared" si="3"/>
        <v>0</v>
      </c>
      <c r="G147" s="174"/>
      <c r="H147" s="175"/>
      <c r="I147" s="175"/>
      <c r="J147" s="175"/>
      <c r="K147" s="176"/>
    </row>
    <row r="148" spans="2:11" ht="18" customHeight="1" x14ac:dyDescent="0.4">
      <c r="B148" s="108"/>
      <c r="C148" s="38"/>
      <c r="D148" s="170" t="s">
        <v>159</v>
      </c>
      <c r="E148" s="55">
        <v>1.3</v>
      </c>
      <c r="F148" s="17">
        <f t="shared" si="3"/>
        <v>0</v>
      </c>
      <c r="G148" s="174"/>
      <c r="H148" s="175"/>
      <c r="I148" s="175"/>
      <c r="J148" s="175"/>
      <c r="K148" s="176"/>
    </row>
    <row r="149" spans="2:11" ht="18" customHeight="1" x14ac:dyDescent="0.4">
      <c r="B149" s="108"/>
      <c r="C149" s="38"/>
      <c r="D149" s="170" t="s">
        <v>19</v>
      </c>
      <c r="E149" s="55">
        <v>0.65</v>
      </c>
      <c r="F149" s="17">
        <f t="shared" si="3"/>
        <v>0</v>
      </c>
      <c r="G149" s="177"/>
      <c r="H149" s="178"/>
      <c r="I149" s="178"/>
      <c r="J149" s="178"/>
      <c r="K149" s="179"/>
    </row>
    <row r="150" spans="2:11" ht="18" customHeight="1" x14ac:dyDescent="0.4">
      <c r="B150" s="108"/>
      <c r="C150" s="180" t="s">
        <v>197</v>
      </c>
      <c r="D150" s="30" t="s">
        <v>198</v>
      </c>
      <c r="E150" s="55">
        <v>19.5</v>
      </c>
      <c r="F150" s="17">
        <f t="shared" si="3"/>
        <v>0</v>
      </c>
      <c r="G150" s="181" t="s">
        <v>199</v>
      </c>
      <c r="H150" s="181"/>
      <c r="I150" s="181"/>
      <c r="J150" s="181"/>
      <c r="K150" s="182"/>
    </row>
    <row r="151" spans="2:11" ht="18" customHeight="1" x14ac:dyDescent="0.4">
      <c r="B151" s="108"/>
      <c r="C151" s="180"/>
      <c r="D151" s="30" t="s">
        <v>132</v>
      </c>
      <c r="E151" s="55">
        <v>3.25</v>
      </c>
      <c r="F151" s="17">
        <f t="shared" si="3"/>
        <v>0</v>
      </c>
      <c r="G151" s="181"/>
      <c r="H151" s="181"/>
      <c r="I151" s="181"/>
      <c r="J151" s="181"/>
      <c r="K151" s="182"/>
    </row>
    <row r="152" spans="2:11" ht="18" customHeight="1" x14ac:dyDescent="0.4">
      <c r="B152" s="108"/>
      <c r="C152" s="180"/>
      <c r="D152" s="30" t="s">
        <v>166</v>
      </c>
      <c r="E152" s="19">
        <v>1.9500000000000002</v>
      </c>
      <c r="F152" s="17">
        <f t="shared" si="3"/>
        <v>0</v>
      </c>
      <c r="G152" s="181"/>
      <c r="H152" s="181"/>
      <c r="I152" s="181"/>
      <c r="J152" s="181"/>
      <c r="K152" s="182"/>
    </row>
    <row r="153" spans="2:11" ht="18" customHeight="1" x14ac:dyDescent="0.4">
      <c r="B153" s="108"/>
      <c r="C153" s="180"/>
      <c r="D153" s="30" t="s">
        <v>186</v>
      </c>
      <c r="E153" s="55">
        <v>0.65</v>
      </c>
      <c r="F153" s="17">
        <f t="shared" si="3"/>
        <v>0</v>
      </c>
      <c r="G153" s="181"/>
      <c r="H153" s="181"/>
      <c r="I153" s="181"/>
      <c r="J153" s="181"/>
      <c r="K153" s="182"/>
    </row>
    <row r="154" spans="2:11" ht="18" customHeight="1" x14ac:dyDescent="0.4">
      <c r="B154" s="108"/>
      <c r="C154" s="180"/>
      <c r="D154" s="30" t="s">
        <v>133</v>
      </c>
      <c r="E154" s="55">
        <v>0.13</v>
      </c>
      <c r="F154" s="17">
        <f t="shared" si="3"/>
        <v>0</v>
      </c>
      <c r="G154" s="181"/>
      <c r="H154" s="181"/>
      <c r="I154" s="181"/>
      <c r="J154" s="181"/>
      <c r="K154" s="182"/>
    </row>
    <row r="155" spans="2:11" ht="18" customHeight="1" x14ac:dyDescent="0.4">
      <c r="B155" s="108"/>
      <c r="C155" s="180"/>
      <c r="D155" s="30" t="s">
        <v>165</v>
      </c>
      <c r="E155" s="19">
        <v>1.9500000000000002</v>
      </c>
      <c r="F155" s="17">
        <f t="shared" si="3"/>
        <v>0</v>
      </c>
      <c r="G155" s="181"/>
      <c r="H155" s="181"/>
      <c r="I155" s="181"/>
      <c r="J155" s="181"/>
      <c r="K155" s="182"/>
    </row>
    <row r="156" spans="2:11" ht="18" customHeight="1" x14ac:dyDescent="0.4">
      <c r="B156" s="183"/>
      <c r="C156" s="68" t="s">
        <v>134</v>
      </c>
      <c r="D156" s="184" t="s">
        <v>135</v>
      </c>
      <c r="E156" s="185">
        <v>13</v>
      </c>
      <c r="F156" s="186">
        <f t="shared" si="3"/>
        <v>0</v>
      </c>
      <c r="G156" s="187" t="s">
        <v>32</v>
      </c>
      <c r="H156" s="188"/>
      <c r="I156" s="188"/>
      <c r="J156" s="188"/>
      <c r="K156" s="189"/>
    </row>
    <row r="157" spans="2:11" ht="34.5" customHeight="1" x14ac:dyDescent="0.4">
      <c r="B157" s="190" t="s">
        <v>137</v>
      </c>
      <c r="C157" s="191" t="s">
        <v>200</v>
      </c>
      <c r="D157" s="30" t="s">
        <v>111</v>
      </c>
      <c r="E157" s="17">
        <v>26</v>
      </c>
      <c r="F157" s="17">
        <f t="shared" si="3"/>
        <v>0</v>
      </c>
      <c r="G157" s="192" t="s">
        <v>201</v>
      </c>
      <c r="H157" s="193"/>
      <c r="I157" s="193"/>
      <c r="J157" s="193"/>
      <c r="K157" s="194"/>
    </row>
    <row r="158" spans="2:11" ht="18" customHeight="1" thickBot="1" x14ac:dyDescent="0.45">
      <c r="B158" s="195"/>
      <c r="C158" s="196" t="s">
        <v>148</v>
      </c>
      <c r="D158" s="196" t="s">
        <v>49</v>
      </c>
      <c r="E158" s="197">
        <v>100</v>
      </c>
      <c r="F158" s="86">
        <f t="shared" si="3"/>
        <v>0</v>
      </c>
      <c r="G158" s="198"/>
      <c r="H158" s="199"/>
      <c r="I158" s="199"/>
      <c r="J158" s="199"/>
      <c r="K158" s="200"/>
    </row>
    <row r="159" spans="2:11" ht="80.099999999999994" customHeight="1" thickTop="1" x14ac:dyDescent="0.4"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</row>
    <row r="160" spans="2:11" ht="18" thickBot="1" x14ac:dyDescent="0.45"/>
    <row r="161" spans="2:11" ht="21" customHeight="1" thickTop="1" x14ac:dyDescent="0.4">
      <c r="B161" s="160" t="s">
        <v>202</v>
      </c>
      <c r="C161" s="161"/>
      <c r="D161" s="161"/>
      <c r="E161" s="161"/>
      <c r="F161" s="161"/>
      <c r="G161" s="161"/>
      <c r="H161" s="161"/>
      <c r="I161" s="161"/>
      <c r="J161" s="161"/>
      <c r="K161" s="162"/>
    </row>
    <row r="162" spans="2:11" ht="18" customHeight="1" x14ac:dyDescent="0.4">
      <c r="B162" s="202" t="s">
        <v>2</v>
      </c>
      <c r="C162" s="203" t="s">
        <v>3</v>
      </c>
      <c r="D162" s="203" t="s">
        <v>4</v>
      </c>
      <c r="E162" s="163" t="s">
        <v>5</v>
      </c>
      <c r="F162" s="163" t="s">
        <v>6</v>
      </c>
      <c r="G162" s="204" t="s">
        <v>7</v>
      </c>
      <c r="H162" s="205"/>
      <c r="I162" s="205"/>
      <c r="J162" s="205"/>
      <c r="K162" s="206"/>
    </row>
    <row r="163" spans="2:11" ht="18" customHeight="1" x14ac:dyDescent="0.4">
      <c r="B163" s="207"/>
      <c r="C163" s="208"/>
      <c r="D163" s="208"/>
      <c r="E163" s="13" t="s">
        <v>1</v>
      </c>
      <c r="F163" s="209" t="s">
        <v>1</v>
      </c>
      <c r="G163" s="210"/>
      <c r="H163" s="211"/>
      <c r="I163" s="211"/>
      <c r="J163" s="211"/>
      <c r="K163" s="212"/>
    </row>
    <row r="164" spans="2:11" ht="18" customHeight="1" x14ac:dyDescent="0.4">
      <c r="B164" s="213" t="s">
        <v>8</v>
      </c>
      <c r="C164" s="214" t="s">
        <v>203</v>
      </c>
      <c r="D164" s="214" t="s">
        <v>203</v>
      </c>
      <c r="E164" s="31">
        <v>32.5</v>
      </c>
      <c r="F164" s="17">
        <f t="shared" ref="F164:F191" si="4">E164*E$2</f>
        <v>0</v>
      </c>
      <c r="G164" s="215" t="s">
        <v>36</v>
      </c>
      <c r="H164" s="216"/>
      <c r="I164" s="216"/>
      <c r="J164" s="216"/>
      <c r="K164" s="217"/>
    </row>
    <row r="165" spans="2:11" ht="18" customHeight="1" x14ac:dyDescent="0.4">
      <c r="B165" s="103" t="s">
        <v>10</v>
      </c>
      <c r="C165" s="109" t="s">
        <v>204</v>
      </c>
      <c r="D165" s="30" t="s">
        <v>11</v>
      </c>
      <c r="E165" s="31">
        <v>32.5</v>
      </c>
      <c r="F165" s="96">
        <f t="shared" si="4"/>
        <v>0</v>
      </c>
      <c r="G165" s="32" t="s">
        <v>50</v>
      </c>
      <c r="H165" s="32"/>
      <c r="I165" s="32"/>
      <c r="J165" s="32"/>
      <c r="K165" s="218"/>
    </row>
    <row r="166" spans="2:11" ht="18" customHeight="1" x14ac:dyDescent="0.4">
      <c r="B166" s="108"/>
      <c r="C166" s="219"/>
      <c r="D166" s="30" t="s">
        <v>51</v>
      </c>
      <c r="E166" s="31">
        <v>1.625</v>
      </c>
      <c r="F166" s="17">
        <f t="shared" si="4"/>
        <v>0</v>
      </c>
      <c r="G166" s="124"/>
      <c r="H166" s="124"/>
      <c r="I166" s="124"/>
      <c r="J166" s="124"/>
      <c r="K166" s="125"/>
    </row>
    <row r="167" spans="2:11" ht="18" customHeight="1" x14ac:dyDescent="0.4">
      <c r="B167" s="108"/>
      <c r="C167" s="113" t="s">
        <v>205</v>
      </c>
      <c r="D167" s="34" t="s">
        <v>206</v>
      </c>
      <c r="E167" s="73">
        <v>13</v>
      </c>
      <c r="F167" s="17">
        <f t="shared" si="4"/>
        <v>0</v>
      </c>
      <c r="G167" s="220" t="s">
        <v>207</v>
      </c>
      <c r="H167" s="221"/>
      <c r="I167" s="221"/>
      <c r="J167" s="221"/>
      <c r="K167" s="222"/>
    </row>
    <row r="168" spans="2:11" ht="18" customHeight="1" x14ac:dyDescent="0.4">
      <c r="B168" s="108"/>
      <c r="C168" s="38"/>
      <c r="D168" s="34" t="s">
        <v>157</v>
      </c>
      <c r="E168" s="61">
        <v>3.25</v>
      </c>
      <c r="F168" s="17">
        <f t="shared" si="4"/>
        <v>0</v>
      </c>
      <c r="G168" s="223"/>
      <c r="H168" s="224"/>
      <c r="I168" s="224"/>
      <c r="J168" s="224"/>
      <c r="K168" s="225"/>
    </row>
    <row r="169" spans="2:11" ht="18" customHeight="1" x14ac:dyDescent="0.4">
      <c r="B169" s="108"/>
      <c r="C169" s="38"/>
      <c r="D169" s="34" t="s">
        <v>163</v>
      </c>
      <c r="E169" s="61">
        <v>3.25</v>
      </c>
      <c r="F169" s="17">
        <f t="shared" si="4"/>
        <v>0</v>
      </c>
      <c r="G169" s="223"/>
      <c r="H169" s="224"/>
      <c r="I169" s="224"/>
      <c r="J169" s="224"/>
      <c r="K169" s="225"/>
    </row>
    <row r="170" spans="2:11" ht="18" customHeight="1" x14ac:dyDescent="0.4">
      <c r="B170" s="108"/>
      <c r="C170" s="38"/>
      <c r="D170" s="34" t="s">
        <v>117</v>
      </c>
      <c r="E170" s="61">
        <v>3.25</v>
      </c>
      <c r="F170" s="17">
        <f t="shared" si="4"/>
        <v>0</v>
      </c>
      <c r="G170" s="223"/>
      <c r="H170" s="224"/>
      <c r="I170" s="224"/>
      <c r="J170" s="224"/>
      <c r="K170" s="225"/>
    </row>
    <row r="171" spans="2:11" ht="18" customHeight="1" x14ac:dyDescent="0.4">
      <c r="B171" s="108"/>
      <c r="C171" s="38"/>
      <c r="D171" s="34" t="s">
        <v>158</v>
      </c>
      <c r="E171" s="73">
        <v>1.9500000000000002</v>
      </c>
      <c r="F171" s="17">
        <f t="shared" si="4"/>
        <v>0</v>
      </c>
      <c r="G171" s="223"/>
      <c r="H171" s="224"/>
      <c r="I171" s="224"/>
      <c r="J171" s="224"/>
      <c r="K171" s="225"/>
    </row>
    <row r="172" spans="2:11" ht="18" customHeight="1" x14ac:dyDescent="0.4">
      <c r="B172" s="108"/>
      <c r="C172" s="38"/>
      <c r="D172" s="34" t="s">
        <v>132</v>
      </c>
      <c r="E172" s="61">
        <v>0.65</v>
      </c>
      <c r="F172" s="17">
        <f t="shared" si="4"/>
        <v>0</v>
      </c>
      <c r="G172" s="223"/>
      <c r="H172" s="224"/>
      <c r="I172" s="224"/>
      <c r="J172" s="224"/>
      <c r="K172" s="225"/>
    </row>
    <row r="173" spans="2:11" ht="18" customHeight="1" x14ac:dyDescent="0.4">
      <c r="B173" s="108"/>
      <c r="C173" s="38"/>
      <c r="D173" s="34" t="s">
        <v>159</v>
      </c>
      <c r="E173" s="61">
        <v>0.32500000000000001</v>
      </c>
      <c r="F173" s="17">
        <f t="shared" si="4"/>
        <v>0</v>
      </c>
      <c r="G173" s="223"/>
      <c r="H173" s="224"/>
      <c r="I173" s="224"/>
      <c r="J173" s="224"/>
      <c r="K173" s="225"/>
    </row>
    <row r="174" spans="2:11" ht="18" customHeight="1" x14ac:dyDescent="0.4">
      <c r="B174" s="108"/>
      <c r="C174" s="38"/>
      <c r="D174" s="34" t="s">
        <v>160</v>
      </c>
      <c r="E174" s="61">
        <v>0.13</v>
      </c>
      <c r="F174" s="17">
        <f t="shared" si="4"/>
        <v>0</v>
      </c>
      <c r="G174" s="223"/>
      <c r="H174" s="224"/>
      <c r="I174" s="224"/>
      <c r="J174" s="224"/>
      <c r="K174" s="225"/>
    </row>
    <row r="175" spans="2:11" ht="18" customHeight="1" x14ac:dyDescent="0.4">
      <c r="B175" s="108"/>
      <c r="C175" s="38"/>
      <c r="D175" s="34" t="s">
        <v>126</v>
      </c>
      <c r="E175" s="61">
        <v>0.32500000000000001</v>
      </c>
      <c r="F175" s="17">
        <f t="shared" si="4"/>
        <v>0</v>
      </c>
      <c r="G175" s="223"/>
      <c r="H175" s="224"/>
      <c r="I175" s="224"/>
      <c r="J175" s="224"/>
      <c r="K175" s="225"/>
    </row>
    <row r="176" spans="2:11" ht="18" customHeight="1" x14ac:dyDescent="0.4">
      <c r="B176" s="108"/>
      <c r="C176" s="33" t="s">
        <v>208</v>
      </c>
      <c r="D176" s="30" t="s">
        <v>68</v>
      </c>
      <c r="E176" s="42">
        <v>26</v>
      </c>
      <c r="F176" s="17">
        <f t="shared" si="4"/>
        <v>0</v>
      </c>
      <c r="G176" s="226" t="s">
        <v>209</v>
      </c>
      <c r="H176" s="227"/>
      <c r="I176" s="227"/>
      <c r="J176" s="227"/>
      <c r="K176" s="228"/>
    </row>
    <row r="177" spans="2:11" ht="18" customHeight="1" x14ac:dyDescent="0.4">
      <c r="B177" s="108"/>
      <c r="C177" s="78"/>
      <c r="D177" s="25" t="s">
        <v>18</v>
      </c>
      <c r="E177" s="31">
        <v>2.6</v>
      </c>
      <c r="F177" s="17">
        <f t="shared" si="4"/>
        <v>0</v>
      </c>
      <c r="G177" s="229"/>
      <c r="H177" s="230"/>
      <c r="I177" s="230"/>
      <c r="J177" s="230"/>
      <c r="K177" s="231"/>
    </row>
    <row r="178" spans="2:11" ht="18" customHeight="1" x14ac:dyDescent="0.4">
      <c r="B178" s="108"/>
      <c r="C178" s="78"/>
      <c r="D178" s="25" t="s">
        <v>35</v>
      </c>
      <c r="E178" s="31">
        <v>1.3</v>
      </c>
      <c r="F178" s="17">
        <f t="shared" si="4"/>
        <v>0</v>
      </c>
      <c r="G178" s="229"/>
      <c r="H178" s="230"/>
      <c r="I178" s="230"/>
      <c r="J178" s="230"/>
      <c r="K178" s="231"/>
    </row>
    <row r="179" spans="2:11" ht="18" customHeight="1" x14ac:dyDescent="0.4">
      <c r="B179" s="108"/>
      <c r="C179" s="78"/>
      <c r="D179" s="25" t="s">
        <v>19</v>
      </c>
      <c r="E179" s="31">
        <v>0.32500000000000001</v>
      </c>
      <c r="F179" s="17">
        <f t="shared" si="4"/>
        <v>0</v>
      </c>
      <c r="G179" s="229"/>
      <c r="H179" s="230"/>
      <c r="I179" s="230"/>
      <c r="J179" s="230"/>
      <c r="K179" s="231"/>
    </row>
    <row r="180" spans="2:11" ht="18" customHeight="1" x14ac:dyDescent="0.4">
      <c r="B180" s="108"/>
      <c r="C180" s="78"/>
      <c r="D180" s="25" t="s">
        <v>16</v>
      </c>
      <c r="E180" s="31">
        <v>0.32500000000000001</v>
      </c>
      <c r="F180" s="17">
        <f t="shared" si="4"/>
        <v>0</v>
      </c>
      <c r="G180" s="229"/>
      <c r="H180" s="230"/>
      <c r="I180" s="230"/>
      <c r="J180" s="230"/>
      <c r="K180" s="231"/>
    </row>
    <row r="181" spans="2:11" ht="18" customHeight="1" x14ac:dyDescent="0.4">
      <c r="B181" s="108"/>
      <c r="C181" s="78"/>
      <c r="D181" s="30" t="s">
        <v>20</v>
      </c>
      <c r="E181" s="31">
        <v>1.3</v>
      </c>
      <c r="F181" s="17">
        <f t="shared" si="4"/>
        <v>0</v>
      </c>
      <c r="G181" s="229"/>
      <c r="H181" s="230"/>
      <c r="I181" s="230"/>
      <c r="J181" s="230"/>
      <c r="K181" s="231"/>
    </row>
    <row r="182" spans="2:11" ht="18" customHeight="1" x14ac:dyDescent="0.4">
      <c r="B182" s="108"/>
      <c r="C182" s="123"/>
      <c r="D182" s="30" t="s">
        <v>26</v>
      </c>
      <c r="E182" s="42">
        <v>1.9500000000000002</v>
      </c>
      <c r="F182" s="17">
        <f t="shared" si="4"/>
        <v>0</v>
      </c>
      <c r="G182" s="229"/>
      <c r="H182" s="230"/>
      <c r="I182" s="230"/>
      <c r="J182" s="230"/>
      <c r="K182" s="231"/>
    </row>
    <row r="183" spans="2:11" ht="18" customHeight="1" x14ac:dyDescent="0.4">
      <c r="B183" s="108"/>
      <c r="C183" s="56" t="s">
        <v>210</v>
      </c>
      <c r="D183" s="30" t="s">
        <v>211</v>
      </c>
      <c r="E183" s="17">
        <v>19.5</v>
      </c>
      <c r="F183" s="17">
        <f t="shared" si="4"/>
        <v>0</v>
      </c>
      <c r="G183" s="232" t="s">
        <v>212</v>
      </c>
      <c r="H183" s="233"/>
      <c r="I183" s="233"/>
      <c r="J183" s="233"/>
      <c r="K183" s="234"/>
    </row>
    <row r="184" spans="2:11" ht="18" customHeight="1" x14ac:dyDescent="0.4">
      <c r="B184" s="108"/>
      <c r="C184" s="235"/>
      <c r="D184" s="30" t="s">
        <v>213</v>
      </c>
      <c r="E184" s="61">
        <v>1.3</v>
      </c>
      <c r="F184" s="17">
        <f t="shared" si="4"/>
        <v>0</v>
      </c>
      <c r="G184" s="236"/>
      <c r="H184" s="237"/>
      <c r="I184" s="237"/>
      <c r="J184" s="237"/>
      <c r="K184" s="238"/>
    </row>
    <row r="185" spans="2:11" ht="18" customHeight="1" x14ac:dyDescent="0.4">
      <c r="B185" s="108"/>
      <c r="C185" s="235"/>
      <c r="D185" s="30" t="s">
        <v>165</v>
      </c>
      <c r="E185" s="61">
        <v>0.65</v>
      </c>
      <c r="F185" s="17">
        <f t="shared" si="4"/>
        <v>0</v>
      </c>
      <c r="G185" s="236"/>
      <c r="H185" s="237"/>
      <c r="I185" s="237"/>
      <c r="J185" s="237"/>
      <c r="K185" s="238"/>
    </row>
    <row r="186" spans="2:11" ht="18" customHeight="1" x14ac:dyDescent="0.4">
      <c r="B186" s="108"/>
      <c r="C186" s="235"/>
      <c r="D186" s="30" t="s">
        <v>214</v>
      </c>
      <c r="E186" s="61">
        <v>3.25</v>
      </c>
      <c r="F186" s="17">
        <f t="shared" si="4"/>
        <v>0</v>
      </c>
      <c r="G186" s="236"/>
      <c r="H186" s="237"/>
      <c r="I186" s="237"/>
      <c r="J186" s="237"/>
      <c r="K186" s="238"/>
    </row>
    <row r="187" spans="2:11" ht="18" customHeight="1" x14ac:dyDescent="0.4">
      <c r="B187" s="108"/>
      <c r="C187" s="235"/>
      <c r="D187" s="30" t="s">
        <v>215</v>
      </c>
      <c r="E187" s="61">
        <v>0.65</v>
      </c>
      <c r="F187" s="17">
        <f t="shared" si="4"/>
        <v>0</v>
      </c>
      <c r="G187" s="236"/>
      <c r="H187" s="237"/>
      <c r="I187" s="237"/>
      <c r="J187" s="237"/>
      <c r="K187" s="238"/>
    </row>
    <row r="188" spans="2:11" ht="18" customHeight="1" x14ac:dyDescent="0.4">
      <c r="B188" s="108"/>
      <c r="C188" s="235"/>
      <c r="D188" s="30" t="s">
        <v>186</v>
      </c>
      <c r="E188" s="61">
        <v>0.32500000000000001</v>
      </c>
      <c r="F188" s="17">
        <f t="shared" si="4"/>
        <v>0</v>
      </c>
      <c r="G188" s="236"/>
      <c r="H188" s="237"/>
      <c r="I188" s="237"/>
      <c r="J188" s="237"/>
      <c r="K188" s="238"/>
    </row>
    <row r="189" spans="2:11" ht="18" customHeight="1" x14ac:dyDescent="0.4">
      <c r="B189" s="183"/>
      <c r="C189" s="68" t="s">
        <v>134</v>
      </c>
      <c r="D189" s="184" t="s">
        <v>135</v>
      </c>
      <c r="E189" s="185">
        <v>13</v>
      </c>
      <c r="F189" s="186">
        <f t="shared" si="4"/>
        <v>0</v>
      </c>
      <c r="G189" s="187" t="s">
        <v>32</v>
      </c>
      <c r="H189" s="188"/>
      <c r="I189" s="188"/>
      <c r="J189" s="188"/>
      <c r="K189" s="189"/>
    </row>
    <row r="190" spans="2:11" s="2" customFormat="1" ht="18" customHeight="1" x14ac:dyDescent="0.4">
      <c r="B190" s="132" t="s">
        <v>137</v>
      </c>
      <c r="C190" s="191" t="s">
        <v>216</v>
      </c>
      <c r="D190" s="30" t="s">
        <v>217</v>
      </c>
      <c r="E190" s="19">
        <v>39</v>
      </c>
      <c r="F190" s="17">
        <f t="shared" si="4"/>
        <v>0</v>
      </c>
      <c r="G190" s="239" t="s">
        <v>218</v>
      </c>
      <c r="H190" s="239"/>
      <c r="I190" s="239"/>
      <c r="J190" s="239"/>
      <c r="K190" s="240"/>
    </row>
    <row r="191" spans="2:11" s="2" customFormat="1" ht="18" customHeight="1" thickBot="1" x14ac:dyDescent="0.45">
      <c r="B191" s="134"/>
      <c r="C191" s="241" t="s">
        <v>148</v>
      </c>
      <c r="D191" s="196" t="s">
        <v>189</v>
      </c>
      <c r="E191" s="242">
        <v>100</v>
      </c>
      <c r="F191" s="242">
        <f t="shared" si="4"/>
        <v>0</v>
      </c>
      <c r="G191" s="198"/>
      <c r="H191" s="199"/>
      <c r="I191" s="199"/>
      <c r="J191" s="199"/>
      <c r="K191" s="200"/>
    </row>
    <row r="192" spans="2:11" ht="80.099999999999994" customHeight="1" thickTop="1" x14ac:dyDescent="0.4">
      <c r="B192" s="90"/>
      <c r="C192" s="90"/>
      <c r="D192" s="90"/>
      <c r="E192" s="90"/>
      <c r="F192" s="90"/>
      <c r="G192" s="90"/>
      <c r="H192" s="90"/>
      <c r="I192" s="90"/>
      <c r="J192" s="90"/>
      <c r="K192" s="90"/>
    </row>
    <row r="193" spans="2:11" ht="18" thickBot="1" x14ac:dyDescent="0.45">
      <c r="B193" s="139"/>
      <c r="C193" s="139"/>
      <c r="D193" s="139"/>
      <c r="E193" s="139"/>
      <c r="F193" s="139"/>
      <c r="G193" s="139"/>
      <c r="H193" s="139"/>
      <c r="I193" s="139"/>
      <c r="J193" s="139"/>
      <c r="K193" s="139"/>
    </row>
    <row r="194" spans="2:11" ht="21" customHeight="1" thickTop="1" x14ac:dyDescent="0.4">
      <c r="B194" s="160" t="s">
        <v>219</v>
      </c>
      <c r="C194" s="161"/>
      <c r="D194" s="161"/>
      <c r="E194" s="161"/>
      <c r="F194" s="161"/>
      <c r="G194" s="161"/>
      <c r="H194" s="161"/>
      <c r="I194" s="161"/>
      <c r="J194" s="161"/>
      <c r="K194" s="162"/>
    </row>
    <row r="195" spans="2:11" ht="18" customHeight="1" x14ac:dyDescent="0.4">
      <c r="B195" s="202" t="s">
        <v>2</v>
      </c>
      <c r="C195" s="203" t="s">
        <v>3</v>
      </c>
      <c r="D195" s="203" t="s">
        <v>4</v>
      </c>
      <c r="E195" s="163" t="s">
        <v>5</v>
      </c>
      <c r="F195" s="163" t="s">
        <v>6</v>
      </c>
      <c r="G195" s="204" t="s">
        <v>7</v>
      </c>
      <c r="H195" s="205"/>
      <c r="I195" s="205"/>
      <c r="J195" s="205"/>
      <c r="K195" s="206"/>
    </row>
    <row r="196" spans="2:11" ht="18" customHeight="1" x14ac:dyDescent="0.4">
      <c r="B196" s="207"/>
      <c r="C196" s="208"/>
      <c r="D196" s="208"/>
      <c r="E196" s="13" t="s">
        <v>1</v>
      </c>
      <c r="F196" s="209" t="s">
        <v>1</v>
      </c>
      <c r="G196" s="210"/>
      <c r="H196" s="211"/>
      <c r="I196" s="211"/>
      <c r="J196" s="211"/>
      <c r="K196" s="212"/>
    </row>
    <row r="197" spans="2:11" ht="18" customHeight="1" x14ac:dyDescent="0.4">
      <c r="B197" s="140" t="s">
        <v>8</v>
      </c>
      <c r="C197" s="18" t="s">
        <v>220</v>
      </c>
      <c r="D197" s="18" t="s">
        <v>221</v>
      </c>
      <c r="E197" s="17">
        <v>200</v>
      </c>
      <c r="F197" s="17">
        <f t="shared" ref="F197:F227" si="5">E197*E$2</f>
        <v>0</v>
      </c>
      <c r="G197" s="243"/>
      <c r="H197" s="244"/>
      <c r="I197" s="244"/>
      <c r="J197" s="244"/>
      <c r="K197" s="245"/>
    </row>
    <row r="198" spans="2:11" ht="18" customHeight="1" x14ac:dyDescent="0.4">
      <c r="B198" s="29" t="s">
        <v>10</v>
      </c>
      <c r="C198" s="246" t="s">
        <v>222</v>
      </c>
      <c r="D198" s="30" t="s">
        <v>223</v>
      </c>
      <c r="E198" s="17">
        <v>32.5</v>
      </c>
      <c r="F198" s="17">
        <f t="shared" si="5"/>
        <v>0</v>
      </c>
      <c r="G198" s="247" t="s">
        <v>224</v>
      </c>
      <c r="H198" s="248"/>
      <c r="I198" s="248"/>
      <c r="J198" s="248"/>
      <c r="K198" s="249"/>
    </row>
    <row r="199" spans="2:11" ht="18" customHeight="1" x14ac:dyDescent="0.4">
      <c r="B199" s="29"/>
      <c r="C199" s="146"/>
      <c r="D199" s="30" t="s">
        <v>225</v>
      </c>
      <c r="E199" s="17">
        <v>11.700000000000001</v>
      </c>
      <c r="F199" s="17">
        <f t="shared" si="5"/>
        <v>0</v>
      </c>
      <c r="G199" s="250"/>
      <c r="H199" s="251"/>
      <c r="I199" s="251"/>
      <c r="J199" s="251"/>
      <c r="K199" s="252"/>
    </row>
    <row r="200" spans="2:11" ht="18" customHeight="1" x14ac:dyDescent="0.4">
      <c r="B200" s="29"/>
      <c r="C200" s="146"/>
      <c r="D200" s="30" t="s">
        <v>226</v>
      </c>
      <c r="E200" s="61">
        <v>3.25</v>
      </c>
      <c r="F200" s="17">
        <f t="shared" si="5"/>
        <v>0</v>
      </c>
      <c r="G200" s="250"/>
      <c r="H200" s="251"/>
      <c r="I200" s="251"/>
      <c r="J200" s="251"/>
      <c r="K200" s="252"/>
    </row>
    <row r="201" spans="2:11" ht="18" customHeight="1" x14ac:dyDescent="0.4">
      <c r="B201" s="29"/>
      <c r="C201" s="146"/>
      <c r="D201" s="30" t="s">
        <v>227</v>
      </c>
      <c r="E201" s="17">
        <v>6.5</v>
      </c>
      <c r="F201" s="17">
        <f t="shared" si="5"/>
        <v>0</v>
      </c>
      <c r="G201" s="250"/>
      <c r="H201" s="251"/>
      <c r="I201" s="251"/>
      <c r="J201" s="251"/>
      <c r="K201" s="252"/>
    </row>
    <row r="202" spans="2:11" ht="18" customHeight="1" x14ac:dyDescent="0.4">
      <c r="B202" s="29"/>
      <c r="C202" s="146"/>
      <c r="D202" s="30" t="s">
        <v>228</v>
      </c>
      <c r="E202" s="61">
        <v>9.75</v>
      </c>
      <c r="F202" s="17">
        <f t="shared" si="5"/>
        <v>0</v>
      </c>
      <c r="G202" s="250"/>
      <c r="H202" s="251"/>
      <c r="I202" s="251"/>
      <c r="J202" s="251"/>
      <c r="K202" s="252"/>
    </row>
    <row r="203" spans="2:11" ht="18" customHeight="1" x14ac:dyDescent="0.4">
      <c r="B203" s="29"/>
      <c r="C203" s="146"/>
      <c r="D203" s="30" t="s">
        <v>157</v>
      </c>
      <c r="E203" s="61">
        <v>8.4500000000000011</v>
      </c>
      <c r="F203" s="17">
        <f t="shared" si="5"/>
        <v>0</v>
      </c>
      <c r="G203" s="250"/>
      <c r="H203" s="251"/>
      <c r="I203" s="251"/>
      <c r="J203" s="251"/>
      <c r="K203" s="252"/>
    </row>
    <row r="204" spans="2:11" ht="18" customHeight="1" x14ac:dyDescent="0.4">
      <c r="B204" s="29"/>
      <c r="C204" s="146"/>
      <c r="D204" s="30" t="s">
        <v>229</v>
      </c>
      <c r="E204" s="17">
        <v>7.8000000000000007</v>
      </c>
      <c r="F204" s="17">
        <f t="shared" si="5"/>
        <v>0</v>
      </c>
      <c r="G204" s="250"/>
      <c r="H204" s="251"/>
      <c r="I204" s="251"/>
      <c r="J204" s="251"/>
      <c r="K204" s="252"/>
    </row>
    <row r="205" spans="2:11" ht="18" customHeight="1" x14ac:dyDescent="0.4">
      <c r="B205" s="29"/>
      <c r="C205" s="146"/>
      <c r="D205" s="30" t="s">
        <v>166</v>
      </c>
      <c r="E205" s="73">
        <v>0.97500000000000009</v>
      </c>
      <c r="F205" s="17">
        <f t="shared" si="5"/>
        <v>0</v>
      </c>
      <c r="G205" s="250"/>
      <c r="H205" s="251"/>
      <c r="I205" s="251"/>
      <c r="J205" s="251"/>
      <c r="K205" s="252"/>
    </row>
    <row r="206" spans="2:11" ht="18" customHeight="1" x14ac:dyDescent="0.4">
      <c r="B206" s="29"/>
      <c r="C206" s="146"/>
      <c r="D206" s="30" t="s">
        <v>230</v>
      </c>
      <c r="E206" s="73">
        <v>0.97500000000000009</v>
      </c>
      <c r="F206" s="17">
        <f t="shared" si="5"/>
        <v>0</v>
      </c>
      <c r="G206" s="250"/>
      <c r="H206" s="251"/>
      <c r="I206" s="251"/>
      <c r="J206" s="251"/>
      <c r="K206" s="252"/>
    </row>
    <row r="207" spans="2:11" ht="18" customHeight="1" x14ac:dyDescent="0.4">
      <c r="B207" s="29"/>
      <c r="C207" s="147"/>
      <c r="D207" s="30" t="s">
        <v>26</v>
      </c>
      <c r="E207" s="61">
        <v>0.65</v>
      </c>
      <c r="F207" s="17">
        <f t="shared" si="5"/>
        <v>0</v>
      </c>
      <c r="G207" s="250"/>
      <c r="H207" s="251"/>
      <c r="I207" s="251"/>
      <c r="J207" s="251"/>
      <c r="K207" s="252"/>
    </row>
    <row r="208" spans="2:11" ht="18" customHeight="1" x14ac:dyDescent="0.4">
      <c r="B208" s="29"/>
      <c r="C208" s="253" t="s">
        <v>231</v>
      </c>
      <c r="D208" s="30" t="s">
        <v>82</v>
      </c>
      <c r="E208" s="19">
        <v>13</v>
      </c>
      <c r="F208" s="17">
        <f t="shared" si="5"/>
        <v>0</v>
      </c>
      <c r="G208" s="254" t="s">
        <v>232</v>
      </c>
      <c r="H208" s="254"/>
      <c r="I208" s="254"/>
      <c r="J208" s="254"/>
      <c r="K208" s="255"/>
    </row>
    <row r="209" spans="2:11" ht="18" customHeight="1" x14ac:dyDescent="0.4">
      <c r="B209" s="29"/>
      <c r="C209" s="253"/>
      <c r="D209" s="30" t="s">
        <v>15</v>
      </c>
      <c r="E209" s="55">
        <v>1.3</v>
      </c>
      <c r="F209" s="17">
        <f t="shared" si="5"/>
        <v>0</v>
      </c>
      <c r="G209" s="254"/>
      <c r="H209" s="254"/>
      <c r="I209" s="254"/>
      <c r="J209" s="254"/>
      <c r="K209" s="255"/>
    </row>
    <row r="210" spans="2:11" ht="18" customHeight="1" x14ac:dyDescent="0.4">
      <c r="B210" s="29"/>
      <c r="C210" s="253"/>
      <c r="D210" s="30" t="s">
        <v>17</v>
      </c>
      <c r="E210" s="55">
        <v>1.3</v>
      </c>
      <c r="F210" s="17">
        <f t="shared" si="5"/>
        <v>0</v>
      </c>
      <c r="G210" s="254"/>
      <c r="H210" s="254"/>
      <c r="I210" s="254"/>
      <c r="J210" s="254"/>
      <c r="K210" s="255"/>
    </row>
    <row r="211" spans="2:11" ht="18" customHeight="1" x14ac:dyDescent="0.4">
      <c r="B211" s="29"/>
      <c r="C211" s="253"/>
      <c r="D211" s="30" t="s">
        <v>18</v>
      </c>
      <c r="E211" s="55">
        <v>0.65</v>
      </c>
      <c r="F211" s="17">
        <f t="shared" si="5"/>
        <v>0</v>
      </c>
      <c r="G211" s="254"/>
      <c r="H211" s="254"/>
      <c r="I211" s="254"/>
      <c r="J211" s="254"/>
      <c r="K211" s="255"/>
    </row>
    <row r="212" spans="2:11" ht="18" customHeight="1" x14ac:dyDescent="0.4">
      <c r="B212" s="29"/>
      <c r="C212" s="253"/>
      <c r="D212" s="30" t="s">
        <v>28</v>
      </c>
      <c r="E212" s="55">
        <v>0.32500000000000001</v>
      </c>
      <c r="F212" s="17">
        <f t="shared" si="5"/>
        <v>0</v>
      </c>
      <c r="G212" s="254"/>
      <c r="H212" s="254"/>
      <c r="I212" s="254"/>
      <c r="J212" s="254"/>
      <c r="K212" s="255"/>
    </row>
    <row r="213" spans="2:11" ht="18" customHeight="1" x14ac:dyDescent="0.4">
      <c r="B213" s="29"/>
      <c r="C213" s="253"/>
      <c r="D213" s="30" t="s">
        <v>126</v>
      </c>
      <c r="E213" s="55">
        <v>0.32500000000000001</v>
      </c>
      <c r="F213" s="17">
        <f t="shared" si="5"/>
        <v>0</v>
      </c>
      <c r="G213" s="254"/>
      <c r="H213" s="254"/>
      <c r="I213" s="254"/>
      <c r="J213" s="254"/>
      <c r="K213" s="255"/>
    </row>
    <row r="214" spans="2:11" ht="18" customHeight="1" x14ac:dyDescent="0.4">
      <c r="B214" s="29"/>
      <c r="C214" s="253"/>
      <c r="D214" s="30" t="s">
        <v>20</v>
      </c>
      <c r="E214" s="55">
        <v>1.3</v>
      </c>
      <c r="F214" s="17">
        <f t="shared" si="5"/>
        <v>0</v>
      </c>
      <c r="G214" s="254"/>
      <c r="H214" s="254"/>
      <c r="I214" s="254"/>
      <c r="J214" s="254"/>
      <c r="K214" s="255"/>
    </row>
    <row r="215" spans="2:11" ht="18" customHeight="1" x14ac:dyDescent="0.4">
      <c r="B215" s="29"/>
      <c r="C215" s="33" t="s">
        <v>233</v>
      </c>
      <c r="D215" s="170" t="s">
        <v>53</v>
      </c>
      <c r="E215" s="42">
        <v>26</v>
      </c>
      <c r="F215" s="17">
        <f t="shared" si="5"/>
        <v>0</v>
      </c>
      <c r="G215" s="171" t="s">
        <v>234</v>
      </c>
      <c r="H215" s="172"/>
      <c r="I215" s="172"/>
      <c r="J215" s="172"/>
      <c r="K215" s="173"/>
    </row>
    <row r="216" spans="2:11" ht="18" customHeight="1" x14ac:dyDescent="0.4">
      <c r="B216" s="29"/>
      <c r="C216" s="78"/>
      <c r="D216" s="170" t="s">
        <v>63</v>
      </c>
      <c r="E216" s="31">
        <v>9.75</v>
      </c>
      <c r="F216" s="17">
        <f t="shared" si="5"/>
        <v>0</v>
      </c>
      <c r="G216" s="174"/>
      <c r="H216" s="175"/>
      <c r="I216" s="175"/>
      <c r="J216" s="175"/>
      <c r="K216" s="176"/>
    </row>
    <row r="217" spans="2:11" ht="18" customHeight="1" x14ac:dyDescent="0.4">
      <c r="B217" s="29"/>
      <c r="C217" s="78"/>
      <c r="D217" s="170" t="s">
        <v>79</v>
      </c>
      <c r="E217" s="31">
        <v>6.5</v>
      </c>
      <c r="F217" s="17">
        <f t="shared" si="5"/>
        <v>0</v>
      </c>
      <c r="G217" s="174"/>
      <c r="H217" s="175"/>
      <c r="I217" s="175"/>
      <c r="J217" s="175"/>
      <c r="K217" s="176"/>
    </row>
    <row r="218" spans="2:11" ht="18" customHeight="1" x14ac:dyDescent="0.4">
      <c r="B218" s="29"/>
      <c r="C218" s="78"/>
      <c r="D218" s="170" t="s">
        <v>22</v>
      </c>
      <c r="E218" s="31">
        <v>3.25</v>
      </c>
      <c r="F218" s="17">
        <f t="shared" si="5"/>
        <v>0</v>
      </c>
      <c r="G218" s="174"/>
      <c r="H218" s="175"/>
      <c r="I218" s="175"/>
      <c r="J218" s="175"/>
      <c r="K218" s="176"/>
    </row>
    <row r="219" spans="2:11" ht="18" customHeight="1" x14ac:dyDescent="0.4">
      <c r="B219" s="29"/>
      <c r="C219" s="78"/>
      <c r="D219" s="170" t="s">
        <v>59</v>
      </c>
      <c r="E219" s="31">
        <v>3.25</v>
      </c>
      <c r="F219" s="17">
        <f t="shared" si="5"/>
        <v>0</v>
      </c>
      <c r="G219" s="174"/>
      <c r="H219" s="175"/>
      <c r="I219" s="175"/>
      <c r="J219" s="175"/>
      <c r="K219" s="176"/>
    </row>
    <row r="220" spans="2:11" ht="18" customHeight="1" x14ac:dyDescent="0.4">
      <c r="B220" s="29"/>
      <c r="C220" s="78"/>
      <c r="D220" s="170" t="s">
        <v>28</v>
      </c>
      <c r="E220" s="31">
        <v>0.32500000000000001</v>
      </c>
      <c r="F220" s="17">
        <f t="shared" si="5"/>
        <v>0</v>
      </c>
      <c r="G220" s="174"/>
      <c r="H220" s="175"/>
      <c r="I220" s="175"/>
      <c r="J220" s="175"/>
      <c r="K220" s="176"/>
    </row>
    <row r="221" spans="2:11" ht="18" customHeight="1" x14ac:dyDescent="0.4">
      <c r="B221" s="29"/>
      <c r="C221" s="78"/>
      <c r="D221" s="170" t="s">
        <v>25</v>
      </c>
      <c r="E221" s="31">
        <v>6.5000000000000002E-2</v>
      </c>
      <c r="F221" s="17">
        <f t="shared" si="5"/>
        <v>0</v>
      </c>
      <c r="G221" s="174"/>
      <c r="H221" s="175"/>
      <c r="I221" s="175"/>
      <c r="J221" s="175"/>
      <c r="K221" s="176"/>
    </row>
    <row r="222" spans="2:11" ht="18" customHeight="1" x14ac:dyDescent="0.4">
      <c r="B222" s="29"/>
      <c r="C222" s="78"/>
      <c r="D222" s="170" t="s">
        <v>35</v>
      </c>
      <c r="E222" s="31">
        <v>1.3</v>
      </c>
      <c r="F222" s="17">
        <f t="shared" si="5"/>
        <v>0</v>
      </c>
      <c r="G222" s="174"/>
      <c r="H222" s="175"/>
      <c r="I222" s="175"/>
      <c r="J222" s="175"/>
      <c r="K222" s="176"/>
    </row>
    <row r="223" spans="2:11" ht="18" customHeight="1" x14ac:dyDescent="0.4">
      <c r="B223" s="29"/>
      <c r="C223" s="78"/>
      <c r="D223" s="170" t="s">
        <v>91</v>
      </c>
      <c r="E223" s="31">
        <v>1.3</v>
      </c>
      <c r="F223" s="17">
        <f t="shared" si="5"/>
        <v>0</v>
      </c>
      <c r="G223" s="174"/>
      <c r="H223" s="175"/>
      <c r="I223" s="175"/>
      <c r="J223" s="175"/>
      <c r="K223" s="176"/>
    </row>
    <row r="224" spans="2:11" ht="18" customHeight="1" x14ac:dyDescent="0.4">
      <c r="B224" s="29"/>
      <c r="C224" s="78"/>
      <c r="D224" s="170" t="s">
        <v>18</v>
      </c>
      <c r="E224" s="42">
        <v>1.9500000000000002</v>
      </c>
      <c r="F224" s="17">
        <f t="shared" si="5"/>
        <v>0</v>
      </c>
      <c r="G224" s="174"/>
      <c r="H224" s="175"/>
      <c r="I224" s="175"/>
      <c r="J224" s="175"/>
      <c r="K224" s="176"/>
    </row>
    <row r="225" spans="2:11" ht="18" customHeight="1" x14ac:dyDescent="0.4">
      <c r="B225" s="29"/>
      <c r="C225" s="78"/>
      <c r="D225" s="170" t="s">
        <v>112</v>
      </c>
      <c r="E225" s="31">
        <v>6.5</v>
      </c>
      <c r="F225" s="17">
        <f t="shared" si="5"/>
        <v>0</v>
      </c>
      <c r="G225" s="174"/>
      <c r="H225" s="175"/>
      <c r="I225" s="175"/>
      <c r="J225" s="175"/>
      <c r="K225" s="176"/>
    </row>
    <row r="226" spans="2:11" ht="18" customHeight="1" x14ac:dyDescent="0.4">
      <c r="B226" s="29"/>
      <c r="C226" s="78"/>
      <c r="D226" s="170" t="s">
        <v>26</v>
      </c>
      <c r="E226" s="31">
        <v>6.5</v>
      </c>
      <c r="F226" s="17">
        <f t="shared" si="5"/>
        <v>0</v>
      </c>
      <c r="G226" s="177"/>
      <c r="H226" s="178"/>
      <c r="I226" s="178"/>
      <c r="J226" s="178"/>
      <c r="K226" s="179"/>
    </row>
    <row r="227" spans="2:11" ht="18" customHeight="1" thickBot="1" x14ac:dyDescent="0.45">
      <c r="B227" s="256"/>
      <c r="C227" s="257" t="s">
        <v>134</v>
      </c>
      <c r="D227" s="241" t="s">
        <v>135</v>
      </c>
      <c r="E227" s="258">
        <v>13</v>
      </c>
      <c r="F227" s="86">
        <f t="shared" si="5"/>
        <v>0</v>
      </c>
      <c r="G227" s="259" t="s">
        <v>32</v>
      </c>
      <c r="H227" s="260"/>
      <c r="I227" s="260"/>
      <c r="J227" s="260"/>
      <c r="K227" s="261"/>
    </row>
    <row r="228" spans="2:11" ht="80.099999999999994" customHeight="1" thickTop="1" x14ac:dyDescent="0.4"/>
  </sheetData>
  <mergeCells count="119">
    <mergeCell ref="B198:B227"/>
    <mergeCell ref="C198:C207"/>
    <mergeCell ref="G198:K207"/>
    <mergeCell ref="C208:C214"/>
    <mergeCell ref="G208:K214"/>
    <mergeCell ref="C215:C226"/>
    <mergeCell ref="G215:K226"/>
    <mergeCell ref="G227:K227"/>
    <mergeCell ref="B195:B196"/>
    <mergeCell ref="C195:C196"/>
    <mergeCell ref="D195:D196"/>
    <mergeCell ref="G195:K196"/>
    <mergeCell ref="G197:K197"/>
    <mergeCell ref="B190:B191"/>
    <mergeCell ref="G190:K190"/>
    <mergeCell ref="G191:K191"/>
    <mergeCell ref="B192:K192"/>
    <mergeCell ref="B194:K194"/>
    <mergeCell ref="B165:B189"/>
    <mergeCell ref="C165:C166"/>
    <mergeCell ref="G165:K166"/>
    <mergeCell ref="C167:C175"/>
    <mergeCell ref="G167:K175"/>
    <mergeCell ref="C176:C182"/>
    <mergeCell ref="G176:K182"/>
    <mergeCell ref="C183:C188"/>
    <mergeCell ref="G183:K188"/>
    <mergeCell ref="G189:K189"/>
    <mergeCell ref="B162:B163"/>
    <mergeCell ref="C162:C163"/>
    <mergeCell ref="D162:D163"/>
    <mergeCell ref="G162:K163"/>
    <mergeCell ref="G164:K164"/>
    <mergeCell ref="B157:B158"/>
    <mergeCell ref="G157:K157"/>
    <mergeCell ref="G158:K158"/>
    <mergeCell ref="B159:K159"/>
    <mergeCell ref="B161:K161"/>
    <mergeCell ref="B136:B156"/>
    <mergeCell ref="G136:K136"/>
    <mergeCell ref="C137:C144"/>
    <mergeCell ref="G137:K144"/>
    <mergeCell ref="C145:C149"/>
    <mergeCell ref="G145:K149"/>
    <mergeCell ref="C150:C155"/>
    <mergeCell ref="G150:K155"/>
    <mergeCell ref="G156:K156"/>
    <mergeCell ref="B125:B126"/>
    <mergeCell ref="C125:C126"/>
    <mergeCell ref="D125:D126"/>
    <mergeCell ref="G125:K126"/>
    <mergeCell ref="B127:B135"/>
    <mergeCell ref="C127:C135"/>
    <mergeCell ref="G127:K135"/>
    <mergeCell ref="B111:B121"/>
    <mergeCell ref="C111:C121"/>
    <mergeCell ref="G111:K121"/>
    <mergeCell ref="B122:K122"/>
    <mergeCell ref="B124:K124"/>
    <mergeCell ref="G89:K89"/>
    <mergeCell ref="B90:B110"/>
    <mergeCell ref="C90:C96"/>
    <mergeCell ref="G90:K96"/>
    <mergeCell ref="C97:C102"/>
    <mergeCell ref="G97:K102"/>
    <mergeCell ref="C103:C109"/>
    <mergeCell ref="G103:K109"/>
    <mergeCell ref="G110:K110"/>
    <mergeCell ref="B84:K84"/>
    <mergeCell ref="B86:K86"/>
    <mergeCell ref="B87:B88"/>
    <mergeCell ref="C87:C88"/>
    <mergeCell ref="D87:D88"/>
    <mergeCell ref="G87:K88"/>
    <mergeCell ref="C43:C44"/>
    <mergeCell ref="D43:D44"/>
    <mergeCell ref="G43:K44"/>
    <mergeCell ref="B45:B47"/>
    <mergeCell ref="G45:K45"/>
    <mergeCell ref="G46:K46"/>
    <mergeCell ref="G47:K47"/>
    <mergeCell ref="F2:K2"/>
    <mergeCell ref="B3:K5"/>
    <mergeCell ref="B9:B10"/>
    <mergeCell ref="B11:B31"/>
    <mergeCell ref="G11:K11"/>
    <mergeCell ref="C12:C19"/>
    <mergeCell ref="G12:K19"/>
    <mergeCell ref="C20:C24"/>
    <mergeCell ref="G20:K24"/>
    <mergeCell ref="C25:C30"/>
    <mergeCell ref="G25:K30"/>
    <mergeCell ref="G31:K31"/>
    <mergeCell ref="B6:K6"/>
    <mergeCell ref="B7:B8"/>
    <mergeCell ref="C7:C8"/>
    <mergeCell ref="D7:D8"/>
    <mergeCell ref="G7:K8"/>
    <mergeCell ref="G9:K9"/>
    <mergeCell ref="G10:K10"/>
    <mergeCell ref="B32:B39"/>
    <mergeCell ref="C32:C39"/>
    <mergeCell ref="G32:K39"/>
    <mergeCell ref="B40:K40"/>
    <mergeCell ref="B42:K42"/>
    <mergeCell ref="B43:B44"/>
    <mergeCell ref="B48:B72"/>
    <mergeCell ref="C48:C49"/>
    <mergeCell ref="G48:K49"/>
    <mergeCell ref="C50:C55"/>
    <mergeCell ref="G50:K55"/>
    <mergeCell ref="C56:C65"/>
    <mergeCell ref="G56:K65"/>
    <mergeCell ref="C66:C71"/>
    <mergeCell ref="G66:K71"/>
    <mergeCell ref="G72:K72"/>
    <mergeCell ref="B73:B83"/>
    <mergeCell ref="C73:C83"/>
    <mergeCell ref="G73:K83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8"/>
  <sheetViews>
    <sheetView workbookViewId="0">
      <selection activeCell="L27" sqref="A1:XFD1048576"/>
    </sheetView>
  </sheetViews>
  <sheetFormatPr defaultColWidth="9" defaultRowHeight="17.399999999999999" x14ac:dyDescent="0.4"/>
  <cols>
    <col min="1" max="1" width="4.8984375" style="262" customWidth="1"/>
    <col min="2" max="2" width="9" style="263"/>
    <col min="3" max="3" width="18.59765625" style="263" customWidth="1"/>
    <col min="4" max="11" width="11.59765625" style="263" customWidth="1"/>
    <col min="12" max="16384" width="9" style="262"/>
  </cols>
  <sheetData>
    <row r="1" spans="2:11" ht="18" thickBot="1" x14ac:dyDescent="0.45"/>
    <row r="2" spans="2:11" ht="18" customHeight="1" thickTop="1" thickBot="1" x14ac:dyDescent="0.45">
      <c r="C2" s="264" t="s">
        <v>0</v>
      </c>
      <c r="D2" s="264" t="s">
        <v>1</v>
      </c>
      <c r="E2" s="265"/>
      <c r="F2" s="266" t="s">
        <v>113</v>
      </c>
      <c r="G2" s="266"/>
      <c r="H2" s="266"/>
      <c r="I2" s="266"/>
      <c r="J2" s="266"/>
      <c r="K2" s="266"/>
    </row>
    <row r="3" spans="2:11" ht="34.5" customHeight="1" thickTop="1" x14ac:dyDescent="0.4">
      <c r="B3" s="267" t="s">
        <v>114</v>
      </c>
      <c r="C3" s="267"/>
      <c r="D3" s="267"/>
      <c r="E3" s="267"/>
      <c r="F3" s="267"/>
      <c r="G3" s="267"/>
      <c r="H3" s="267"/>
      <c r="I3" s="267"/>
      <c r="J3" s="267"/>
      <c r="K3" s="267"/>
    </row>
    <row r="4" spans="2:11" ht="16.5" customHeight="1" x14ac:dyDescent="0.4">
      <c r="B4" s="267"/>
      <c r="C4" s="267"/>
      <c r="D4" s="267"/>
      <c r="E4" s="267"/>
      <c r="F4" s="267"/>
      <c r="G4" s="267"/>
      <c r="H4" s="267"/>
      <c r="I4" s="267"/>
      <c r="J4" s="267"/>
      <c r="K4" s="267"/>
    </row>
    <row r="5" spans="2:11" ht="16.5" customHeight="1" thickBot="1" x14ac:dyDescent="0.45">
      <c r="B5" s="268"/>
      <c r="C5" s="268"/>
      <c r="D5" s="268"/>
      <c r="E5" s="268"/>
      <c r="F5" s="268"/>
      <c r="G5" s="268"/>
      <c r="H5" s="268"/>
      <c r="I5" s="268"/>
      <c r="J5" s="268"/>
      <c r="K5" s="268"/>
    </row>
    <row r="6" spans="2:11" ht="21" customHeight="1" thickTop="1" x14ac:dyDescent="0.4">
      <c r="B6" s="269" t="s">
        <v>235</v>
      </c>
      <c r="C6" s="270"/>
      <c r="D6" s="270"/>
      <c r="E6" s="270"/>
      <c r="F6" s="270"/>
      <c r="G6" s="270"/>
      <c r="H6" s="270"/>
      <c r="I6" s="270"/>
      <c r="J6" s="270"/>
      <c r="K6" s="271"/>
    </row>
    <row r="7" spans="2:11" ht="18" customHeight="1" x14ac:dyDescent="0.4">
      <c r="B7" s="272" t="s">
        <v>2</v>
      </c>
      <c r="C7" s="273" t="s">
        <v>3</v>
      </c>
      <c r="D7" s="273" t="s">
        <v>4</v>
      </c>
      <c r="E7" s="274" t="s">
        <v>5</v>
      </c>
      <c r="F7" s="274" t="s">
        <v>6</v>
      </c>
      <c r="G7" s="273" t="s">
        <v>7</v>
      </c>
      <c r="H7" s="273"/>
      <c r="I7" s="273"/>
      <c r="J7" s="273"/>
      <c r="K7" s="275"/>
    </row>
    <row r="8" spans="2:11" ht="18" customHeight="1" x14ac:dyDescent="0.4">
      <c r="B8" s="272"/>
      <c r="C8" s="273"/>
      <c r="D8" s="273"/>
      <c r="E8" s="274" t="s">
        <v>1</v>
      </c>
      <c r="F8" s="276" t="s">
        <v>1</v>
      </c>
      <c r="G8" s="273"/>
      <c r="H8" s="273"/>
      <c r="I8" s="273"/>
      <c r="J8" s="273"/>
      <c r="K8" s="275"/>
    </row>
    <row r="9" spans="2:11" ht="18" customHeight="1" x14ac:dyDescent="0.4">
      <c r="B9" s="277" t="s">
        <v>8</v>
      </c>
      <c r="C9" s="278" t="s">
        <v>236</v>
      </c>
      <c r="D9" s="278" t="s">
        <v>236</v>
      </c>
      <c r="E9" s="279">
        <v>32.5</v>
      </c>
      <c r="F9" s="278">
        <f t="shared" ref="F9:F38" si="0">E9*E$2</f>
        <v>0</v>
      </c>
      <c r="G9" s="215" t="s">
        <v>237</v>
      </c>
      <c r="H9" s="216"/>
      <c r="I9" s="216"/>
      <c r="J9" s="216"/>
      <c r="K9" s="217"/>
    </row>
    <row r="10" spans="2:11" ht="18" customHeight="1" x14ac:dyDescent="0.4">
      <c r="B10" s="280" t="s">
        <v>10</v>
      </c>
      <c r="C10" s="281" t="s">
        <v>121</v>
      </c>
      <c r="D10" s="281" t="s">
        <v>122</v>
      </c>
      <c r="E10" s="282">
        <v>35.75</v>
      </c>
      <c r="F10" s="278">
        <f t="shared" si="0"/>
        <v>0</v>
      </c>
      <c r="G10" s="283" t="s">
        <v>123</v>
      </c>
      <c r="H10" s="284"/>
      <c r="I10" s="284"/>
      <c r="J10" s="284"/>
      <c r="K10" s="285"/>
    </row>
    <row r="11" spans="2:11" ht="18" customHeight="1" x14ac:dyDescent="0.4">
      <c r="B11" s="280"/>
      <c r="C11" s="286" t="s">
        <v>238</v>
      </c>
      <c r="D11" s="287" t="s">
        <v>52</v>
      </c>
      <c r="E11" s="288">
        <v>13</v>
      </c>
      <c r="F11" s="278">
        <f t="shared" si="0"/>
        <v>0</v>
      </c>
      <c r="G11" s="289" t="s">
        <v>239</v>
      </c>
      <c r="H11" s="290"/>
      <c r="I11" s="290"/>
      <c r="J11" s="290"/>
      <c r="K11" s="291"/>
    </row>
    <row r="12" spans="2:11" ht="18" customHeight="1" x14ac:dyDescent="0.4">
      <c r="B12" s="280"/>
      <c r="C12" s="286"/>
      <c r="D12" s="287" t="s">
        <v>17</v>
      </c>
      <c r="E12" s="279">
        <v>1.3</v>
      </c>
      <c r="F12" s="278">
        <f t="shared" si="0"/>
        <v>0</v>
      </c>
      <c r="G12" s="292"/>
      <c r="H12" s="293"/>
      <c r="I12" s="293"/>
      <c r="J12" s="293"/>
      <c r="K12" s="294"/>
    </row>
    <row r="13" spans="2:11" ht="18" customHeight="1" x14ac:dyDescent="0.4">
      <c r="B13" s="280"/>
      <c r="C13" s="286"/>
      <c r="D13" s="287" t="s">
        <v>15</v>
      </c>
      <c r="E13" s="279">
        <v>1.3</v>
      </c>
      <c r="F13" s="278">
        <f t="shared" si="0"/>
        <v>0</v>
      </c>
      <c r="G13" s="292"/>
      <c r="H13" s="293"/>
      <c r="I13" s="293"/>
      <c r="J13" s="293"/>
      <c r="K13" s="294"/>
    </row>
    <row r="14" spans="2:11" ht="18" customHeight="1" x14ac:dyDescent="0.4">
      <c r="B14" s="280"/>
      <c r="C14" s="286"/>
      <c r="D14" s="287" t="s">
        <v>159</v>
      </c>
      <c r="E14" s="279">
        <v>0.32500000000000001</v>
      </c>
      <c r="F14" s="278">
        <f t="shared" si="0"/>
        <v>0</v>
      </c>
      <c r="G14" s="292"/>
      <c r="H14" s="293"/>
      <c r="I14" s="293"/>
      <c r="J14" s="293"/>
      <c r="K14" s="294"/>
    </row>
    <row r="15" spans="2:11" ht="18" customHeight="1" x14ac:dyDescent="0.4">
      <c r="B15" s="280"/>
      <c r="C15" s="286"/>
      <c r="D15" s="287" t="s">
        <v>126</v>
      </c>
      <c r="E15" s="279">
        <v>0.32500000000000001</v>
      </c>
      <c r="F15" s="278">
        <f t="shared" si="0"/>
        <v>0</v>
      </c>
      <c r="G15" s="292"/>
      <c r="H15" s="293"/>
      <c r="I15" s="293"/>
      <c r="J15" s="293"/>
      <c r="K15" s="294"/>
    </row>
    <row r="16" spans="2:11" ht="18" customHeight="1" x14ac:dyDescent="0.4">
      <c r="B16" s="280"/>
      <c r="C16" s="295"/>
      <c r="D16" s="287" t="s">
        <v>158</v>
      </c>
      <c r="E16" s="279">
        <v>0.65</v>
      </c>
      <c r="F16" s="278">
        <f t="shared" si="0"/>
        <v>0</v>
      </c>
      <c r="G16" s="296"/>
      <c r="H16" s="297"/>
      <c r="I16" s="297"/>
      <c r="J16" s="297"/>
      <c r="K16" s="298"/>
    </row>
    <row r="17" spans="2:11" ht="18" customHeight="1" x14ac:dyDescent="0.4">
      <c r="B17" s="280"/>
      <c r="C17" s="299" t="s">
        <v>240</v>
      </c>
      <c r="D17" s="281" t="s">
        <v>53</v>
      </c>
      <c r="E17" s="300">
        <v>26</v>
      </c>
      <c r="F17" s="278">
        <f t="shared" si="0"/>
        <v>0</v>
      </c>
      <c r="G17" s="301" t="s">
        <v>241</v>
      </c>
      <c r="H17" s="302"/>
      <c r="I17" s="302"/>
      <c r="J17" s="302"/>
      <c r="K17" s="303"/>
    </row>
    <row r="18" spans="2:11" ht="18" customHeight="1" x14ac:dyDescent="0.4">
      <c r="B18" s="280"/>
      <c r="C18" s="304"/>
      <c r="D18" s="281" t="s">
        <v>22</v>
      </c>
      <c r="E18" s="282">
        <v>3.25</v>
      </c>
      <c r="F18" s="278">
        <f t="shared" si="0"/>
        <v>0</v>
      </c>
      <c r="G18" s="305"/>
      <c r="H18" s="306"/>
      <c r="I18" s="306"/>
      <c r="J18" s="306"/>
      <c r="K18" s="307"/>
    </row>
    <row r="19" spans="2:11" ht="18" customHeight="1" x14ac:dyDescent="0.4">
      <c r="B19" s="280"/>
      <c r="C19" s="304"/>
      <c r="D19" s="281" t="s">
        <v>14</v>
      </c>
      <c r="E19" s="278">
        <v>6.5</v>
      </c>
      <c r="F19" s="278">
        <f t="shared" si="0"/>
        <v>0</v>
      </c>
      <c r="G19" s="305"/>
      <c r="H19" s="306"/>
      <c r="I19" s="306"/>
      <c r="J19" s="306"/>
      <c r="K19" s="307"/>
    </row>
    <row r="20" spans="2:11" ht="18" customHeight="1" x14ac:dyDescent="0.4">
      <c r="B20" s="280"/>
      <c r="C20" s="304"/>
      <c r="D20" s="281" t="s">
        <v>158</v>
      </c>
      <c r="E20" s="308">
        <v>0.65</v>
      </c>
      <c r="F20" s="278">
        <f t="shared" si="0"/>
        <v>0</v>
      </c>
      <c r="G20" s="305"/>
      <c r="H20" s="306"/>
      <c r="I20" s="306"/>
      <c r="J20" s="306"/>
      <c r="K20" s="307"/>
    </row>
    <row r="21" spans="2:11" ht="18" customHeight="1" x14ac:dyDescent="0.4">
      <c r="B21" s="280"/>
      <c r="C21" s="304"/>
      <c r="D21" s="281" t="s">
        <v>126</v>
      </c>
      <c r="E21" s="308">
        <v>0.32500000000000001</v>
      </c>
      <c r="F21" s="278">
        <f t="shared" si="0"/>
        <v>0</v>
      </c>
      <c r="G21" s="305"/>
      <c r="H21" s="306"/>
      <c r="I21" s="306"/>
      <c r="J21" s="306"/>
      <c r="K21" s="307"/>
    </row>
    <row r="22" spans="2:11" ht="18" customHeight="1" x14ac:dyDescent="0.4">
      <c r="B22" s="280"/>
      <c r="C22" s="304"/>
      <c r="D22" s="281" t="s">
        <v>18</v>
      </c>
      <c r="E22" s="308">
        <v>3.25</v>
      </c>
      <c r="F22" s="278">
        <f t="shared" si="0"/>
        <v>0</v>
      </c>
      <c r="G22" s="305"/>
      <c r="H22" s="306"/>
      <c r="I22" s="306"/>
      <c r="J22" s="306"/>
      <c r="K22" s="307"/>
    </row>
    <row r="23" spans="2:11" ht="18" customHeight="1" x14ac:dyDescent="0.4">
      <c r="B23" s="280"/>
      <c r="C23" s="304"/>
      <c r="D23" s="281" t="s">
        <v>242</v>
      </c>
      <c r="E23" s="309">
        <v>1.9500000000000002</v>
      </c>
      <c r="F23" s="278">
        <f t="shared" si="0"/>
        <v>0</v>
      </c>
      <c r="G23" s="305"/>
      <c r="H23" s="306"/>
      <c r="I23" s="306"/>
      <c r="J23" s="306"/>
      <c r="K23" s="307"/>
    </row>
    <row r="24" spans="2:11" ht="18" customHeight="1" x14ac:dyDescent="0.4">
      <c r="B24" s="280"/>
      <c r="C24" s="304"/>
      <c r="D24" s="281" t="s">
        <v>29</v>
      </c>
      <c r="E24" s="308">
        <v>0.13</v>
      </c>
      <c r="F24" s="278">
        <f t="shared" si="0"/>
        <v>0</v>
      </c>
      <c r="G24" s="305"/>
      <c r="H24" s="306"/>
      <c r="I24" s="306"/>
      <c r="J24" s="306"/>
      <c r="K24" s="307"/>
    </row>
    <row r="25" spans="2:11" ht="18" customHeight="1" x14ac:dyDescent="0.4">
      <c r="B25" s="280"/>
      <c r="C25" s="310"/>
      <c r="D25" s="281" t="s">
        <v>26</v>
      </c>
      <c r="E25" s="278">
        <v>1.3</v>
      </c>
      <c r="F25" s="278">
        <f t="shared" si="0"/>
        <v>0</v>
      </c>
      <c r="G25" s="311"/>
      <c r="H25" s="312"/>
      <c r="I25" s="312"/>
      <c r="J25" s="312"/>
      <c r="K25" s="313"/>
    </row>
    <row r="26" spans="2:11" ht="18" customHeight="1" x14ac:dyDescent="0.4">
      <c r="B26" s="280"/>
      <c r="C26" s="314" t="s">
        <v>243</v>
      </c>
      <c r="D26" s="281" t="s">
        <v>40</v>
      </c>
      <c r="E26" s="282">
        <v>16.25</v>
      </c>
      <c r="F26" s="278">
        <f t="shared" si="0"/>
        <v>0</v>
      </c>
      <c r="G26" s="315" t="s">
        <v>244</v>
      </c>
      <c r="H26" s="315"/>
      <c r="I26" s="315"/>
      <c r="J26" s="315"/>
      <c r="K26" s="316"/>
    </row>
    <row r="27" spans="2:11" ht="18" customHeight="1" x14ac:dyDescent="0.4">
      <c r="B27" s="280"/>
      <c r="C27" s="314"/>
      <c r="D27" s="281" t="s">
        <v>22</v>
      </c>
      <c r="E27" s="282">
        <v>6.5</v>
      </c>
      <c r="F27" s="278">
        <f t="shared" si="0"/>
        <v>0</v>
      </c>
      <c r="G27" s="315"/>
      <c r="H27" s="315"/>
      <c r="I27" s="315"/>
      <c r="J27" s="315"/>
      <c r="K27" s="316"/>
    </row>
    <row r="28" spans="2:11" ht="18" customHeight="1" x14ac:dyDescent="0.4">
      <c r="B28" s="280"/>
      <c r="C28" s="314"/>
      <c r="D28" s="281" t="s">
        <v>14</v>
      </c>
      <c r="E28" s="282">
        <v>3.25</v>
      </c>
      <c r="F28" s="278">
        <f t="shared" si="0"/>
        <v>0</v>
      </c>
      <c r="G28" s="315"/>
      <c r="H28" s="315"/>
      <c r="I28" s="315"/>
      <c r="J28" s="315"/>
      <c r="K28" s="316"/>
    </row>
    <row r="29" spans="2:11" ht="18" customHeight="1" x14ac:dyDescent="0.4">
      <c r="B29" s="280"/>
      <c r="C29" s="314"/>
      <c r="D29" s="281" t="s">
        <v>16</v>
      </c>
      <c r="E29" s="282">
        <v>0.32500000000000001</v>
      </c>
      <c r="F29" s="278">
        <f t="shared" si="0"/>
        <v>0</v>
      </c>
      <c r="G29" s="315"/>
      <c r="H29" s="315"/>
      <c r="I29" s="315"/>
      <c r="J29" s="315"/>
      <c r="K29" s="316"/>
    </row>
    <row r="30" spans="2:11" ht="18" customHeight="1" x14ac:dyDescent="0.4">
      <c r="B30" s="280"/>
      <c r="C30" s="314"/>
      <c r="D30" s="281" t="s">
        <v>28</v>
      </c>
      <c r="E30" s="282">
        <v>0.32500000000000001</v>
      </c>
      <c r="F30" s="278">
        <f t="shared" si="0"/>
        <v>0</v>
      </c>
      <c r="G30" s="315"/>
      <c r="H30" s="315"/>
      <c r="I30" s="315"/>
      <c r="J30" s="315"/>
      <c r="K30" s="316"/>
    </row>
    <row r="31" spans="2:11" ht="18" customHeight="1" x14ac:dyDescent="0.4">
      <c r="B31" s="280"/>
      <c r="C31" s="314"/>
      <c r="D31" s="281" t="s">
        <v>29</v>
      </c>
      <c r="E31" s="282">
        <v>0.32500000000000001</v>
      </c>
      <c r="F31" s="278">
        <f t="shared" si="0"/>
        <v>0</v>
      </c>
      <c r="G31" s="315"/>
      <c r="H31" s="315"/>
      <c r="I31" s="315"/>
      <c r="J31" s="315"/>
      <c r="K31" s="316"/>
    </row>
    <row r="32" spans="2:11" ht="18" customHeight="1" x14ac:dyDescent="0.4">
      <c r="B32" s="280"/>
      <c r="C32" s="314"/>
      <c r="D32" s="281" t="s">
        <v>26</v>
      </c>
      <c r="E32" s="282">
        <v>0.65</v>
      </c>
      <c r="F32" s="278">
        <f t="shared" si="0"/>
        <v>0</v>
      </c>
      <c r="G32" s="315"/>
      <c r="H32" s="315"/>
      <c r="I32" s="315"/>
      <c r="J32" s="315"/>
      <c r="K32" s="316"/>
    </row>
    <row r="33" spans="1:11" ht="18" customHeight="1" x14ac:dyDescent="0.4">
      <c r="B33" s="280"/>
      <c r="C33" s="317" t="s">
        <v>134</v>
      </c>
      <c r="D33" s="317" t="s">
        <v>31</v>
      </c>
      <c r="E33" s="300">
        <v>13</v>
      </c>
      <c r="F33" s="278">
        <f t="shared" si="0"/>
        <v>0</v>
      </c>
      <c r="G33" s="187" t="s">
        <v>32</v>
      </c>
      <c r="H33" s="188"/>
      <c r="I33" s="188"/>
      <c r="J33" s="188"/>
      <c r="K33" s="189"/>
    </row>
    <row r="34" spans="1:11" ht="18" customHeight="1" x14ac:dyDescent="0.4">
      <c r="A34" s="263"/>
      <c r="B34" s="318" t="s">
        <v>137</v>
      </c>
      <c r="C34" s="319" t="s">
        <v>245</v>
      </c>
      <c r="D34" s="281" t="s">
        <v>96</v>
      </c>
      <c r="E34" s="309">
        <v>52</v>
      </c>
      <c r="F34" s="278">
        <f t="shared" si="0"/>
        <v>0</v>
      </c>
      <c r="G34" s="320" t="s">
        <v>246</v>
      </c>
      <c r="H34" s="320"/>
      <c r="I34" s="320"/>
      <c r="J34" s="320"/>
      <c r="K34" s="321"/>
    </row>
    <row r="35" spans="1:11" ht="18" customHeight="1" x14ac:dyDescent="0.4">
      <c r="A35" s="263"/>
      <c r="B35" s="322"/>
      <c r="C35" s="286"/>
      <c r="D35" s="281" t="s">
        <v>101</v>
      </c>
      <c r="E35" s="308">
        <v>3.25</v>
      </c>
      <c r="F35" s="278">
        <f t="shared" si="0"/>
        <v>0</v>
      </c>
      <c r="G35" s="320"/>
      <c r="H35" s="320"/>
      <c r="I35" s="320"/>
      <c r="J35" s="320"/>
      <c r="K35" s="321"/>
    </row>
    <row r="36" spans="1:11" ht="18" customHeight="1" x14ac:dyDescent="0.4">
      <c r="A36" s="263"/>
      <c r="B36" s="322"/>
      <c r="C36" s="286"/>
      <c r="D36" s="281" t="s">
        <v>29</v>
      </c>
      <c r="E36" s="308">
        <v>0.32500000000000001</v>
      </c>
      <c r="F36" s="278">
        <f t="shared" si="0"/>
        <v>0</v>
      </c>
      <c r="G36" s="320"/>
      <c r="H36" s="320"/>
      <c r="I36" s="320"/>
      <c r="J36" s="320"/>
      <c r="K36" s="321"/>
    </row>
    <row r="37" spans="1:11" ht="18" customHeight="1" x14ac:dyDescent="0.4">
      <c r="A37" s="263"/>
      <c r="B37" s="322"/>
      <c r="C37" s="295"/>
      <c r="D37" s="281" t="s">
        <v>26</v>
      </c>
      <c r="E37" s="308">
        <v>3.25</v>
      </c>
      <c r="F37" s="278">
        <f t="shared" si="0"/>
        <v>0</v>
      </c>
      <c r="G37" s="320"/>
      <c r="H37" s="320"/>
      <c r="I37" s="320"/>
      <c r="J37" s="320"/>
      <c r="K37" s="321"/>
    </row>
    <row r="38" spans="1:11" s="263" customFormat="1" ht="18" customHeight="1" thickBot="1" x14ac:dyDescent="0.45">
      <c r="B38" s="323"/>
      <c r="C38" s="324" t="s">
        <v>148</v>
      </c>
      <c r="D38" s="324" t="s">
        <v>49</v>
      </c>
      <c r="E38" s="325">
        <v>100</v>
      </c>
      <c r="F38" s="326">
        <f t="shared" si="0"/>
        <v>0</v>
      </c>
      <c r="G38" s="327"/>
      <c r="H38" s="328"/>
      <c r="I38" s="328"/>
      <c r="J38" s="328"/>
      <c r="K38" s="329"/>
    </row>
    <row r="39" spans="1:11" s="263" customFormat="1" ht="80.099999999999994" customHeight="1" thickTop="1" x14ac:dyDescent="0.4">
      <c r="B39" s="90"/>
      <c r="C39" s="90"/>
      <c r="D39" s="90"/>
      <c r="E39" s="90"/>
      <c r="F39" s="90"/>
      <c r="G39" s="90"/>
      <c r="H39" s="90"/>
      <c r="I39" s="90"/>
      <c r="J39" s="90"/>
      <c r="K39" s="90"/>
    </row>
    <row r="40" spans="1:11" ht="18" thickBot="1" x14ac:dyDescent="0.45"/>
    <row r="41" spans="1:11" ht="21" customHeight="1" thickTop="1" x14ac:dyDescent="0.4">
      <c r="B41" s="269" t="s">
        <v>247</v>
      </c>
      <c r="C41" s="270"/>
      <c r="D41" s="270"/>
      <c r="E41" s="270"/>
      <c r="F41" s="270"/>
      <c r="G41" s="270"/>
      <c r="H41" s="270"/>
      <c r="I41" s="270"/>
      <c r="J41" s="270"/>
      <c r="K41" s="271"/>
    </row>
    <row r="42" spans="1:11" ht="18" customHeight="1" x14ac:dyDescent="0.4">
      <c r="B42" s="272" t="s">
        <v>2</v>
      </c>
      <c r="C42" s="273" t="s">
        <v>3</v>
      </c>
      <c r="D42" s="273" t="s">
        <v>4</v>
      </c>
      <c r="E42" s="274" t="s">
        <v>5</v>
      </c>
      <c r="F42" s="274" t="s">
        <v>6</v>
      </c>
      <c r="G42" s="273" t="s">
        <v>7</v>
      </c>
      <c r="H42" s="273"/>
      <c r="I42" s="273"/>
      <c r="J42" s="273"/>
      <c r="K42" s="275"/>
    </row>
    <row r="43" spans="1:11" ht="18" customHeight="1" x14ac:dyDescent="0.4">
      <c r="B43" s="272"/>
      <c r="C43" s="273"/>
      <c r="D43" s="273"/>
      <c r="E43" s="274" t="s">
        <v>1</v>
      </c>
      <c r="F43" s="276" t="s">
        <v>1</v>
      </c>
      <c r="G43" s="273"/>
      <c r="H43" s="273"/>
      <c r="I43" s="273"/>
      <c r="J43" s="273"/>
      <c r="K43" s="275"/>
    </row>
    <row r="44" spans="1:11" ht="18" customHeight="1" x14ac:dyDescent="0.4">
      <c r="B44" s="330" t="s">
        <v>8</v>
      </c>
      <c r="C44" s="331" t="s">
        <v>248</v>
      </c>
      <c r="D44" s="278" t="s">
        <v>122</v>
      </c>
      <c r="E44" s="308">
        <v>22.75</v>
      </c>
      <c r="F44" s="278">
        <f t="shared" ref="F44:F80" si="1">E44*E$2</f>
        <v>0</v>
      </c>
      <c r="G44" s="151" t="s">
        <v>249</v>
      </c>
      <c r="H44" s="152"/>
      <c r="I44" s="152"/>
      <c r="J44" s="152"/>
      <c r="K44" s="153"/>
    </row>
    <row r="45" spans="1:11" ht="18" customHeight="1" x14ac:dyDescent="0.4">
      <c r="B45" s="332"/>
      <c r="C45" s="333"/>
      <c r="D45" s="334" t="s">
        <v>250</v>
      </c>
      <c r="E45" s="278">
        <v>19.5</v>
      </c>
      <c r="F45" s="278">
        <f t="shared" si="1"/>
        <v>0</v>
      </c>
      <c r="G45" s="154"/>
      <c r="H45" s="155"/>
      <c r="I45" s="155"/>
      <c r="J45" s="155"/>
      <c r="K45" s="156"/>
    </row>
    <row r="46" spans="1:11" ht="18" customHeight="1" x14ac:dyDescent="0.4">
      <c r="B46" s="332"/>
      <c r="C46" s="333"/>
      <c r="D46" s="334" t="s">
        <v>22</v>
      </c>
      <c r="E46" s="308">
        <v>3.25</v>
      </c>
      <c r="F46" s="278">
        <f t="shared" si="1"/>
        <v>0</v>
      </c>
      <c r="G46" s="154"/>
      <c r="H46" s="155"/>
      <c r="I46" s="155"/>
      <c r="J46" s="155"/>
      <c r="K46" s="156"/>
    </row>
    <row r="47" spans="1:11" ht="18" customHeight="1" x14ac:dyDescent="0.4">
      <c r="B47" s="332"/>
      <c r="C47" s="333"/>
      <c r="D47" s="334" t="s">
        <v>14</v>
      </c>
      <c r="E47" s="308">
        <v>3.25</v>
      </c>
      <c r="F47" s="278">
        <f t="shared" si="1"/>
        <v>0</v>
      </c>
      <c r="G47" s="154"/>
      <c r="H47" s="155"/>
      <c r="I47" s="155"/>
      <c r="J47" s="155"/>
      <c r="K47" s="156"/>
    </row>
    <row r="48" spans="1:11" ht="18" customHeight="1" x14ac:dyDescent="0.4">
      <c r="B48" s="332"/>
      <c r="C48" s="333"/>
      <c r="D48" s="334" t="s">
        <v>20</v>
      </c>
      <c r="E48" s="309">
        <v>1.9500000000000002</v>
      </c>
      <c r="F48" s="278">
        <f t="shared" si="1"/>
        <v>0</v>
      </c>
      <c r="G48" s="154"/>
      <c r="H48" s="155"/>
      <c r="I48" s="155"/>
      <c r="J48" s="155"/>
      <c r="K48" s="156"/>
    </row>
    <row r="49" spans="2:11" ht="18" customHeight="1" x14ac:dyDescent="0.4">
      <c r="B49" s="332"/>
      <c r="C49" s="333"/>
      <c r="D49" s="334" t="s">
        <v>42</v>
      </c>
      <c r="E49" s="309">
        <v>1.9500000000000002</v>
      </c>
      <c r="F49" s="278">
        <f t="shared" si="1"/>
        <v>0</v>
      </c>
      <c r="G49" s="154"/>
      <c r="H49" s="155"/>
      <c r="I49" s="155"/>
      <c r="J49" s="155"/>
      <c r="K49" s="156"/>
    </row>
    <row r="50" spans="2:11" ht="18" customHeight="1" x14ac:dyDescent="0.4">
      <c r="B50" s="332"/>
      <c r="C50" s="333"/>
      <c r="D50" s="334" t="s">
        <v>19</v>
      </c>
      <c r="E50" s="308">
        <v>0.32500000000000001</v>
      </c>
      <c r="F50" s="278">
        <f t="shared" si="1"/>
        <v>0</v>
      </c>
      <c r="G50" s="154"/>
      <c r="H50" s="155"/>
      <c r="I50" s="155"/>
      <c r="J50" s="155"/>
      <c r="K50" s="156"/>
    </row>
    <row r="51" spans="2:11" ht="18" customHeight="1" x14ac:dyDescent="0.4">
      <c r="B51" s="335"/>
      <c r="C51" s="336"/>
      <c r="D51" s="278" t="s">
        <v>28</v>
      </c>
      <c r="E51" s="308">
        <v>0.65</v>
      </c>
      <c r="F51" s="278">
        <f t="shared" si="1"/>
        <v>0</v>
      </c>
      <c r="G51" s="157"/>
      <c r="H51" s="158"/>
      <c r="I51" s="158"/>
      <c r="J51" s="158"/>
      <c r="K51" s="159"/>
    </row>
    <row r="52" spans="2:11" ht="18" customHeight="1" x14ac:dyDescent="0.4">
      <c r="B52" s="337" t="s">
        <v>10</v>
      </c>
      <c r="C52" s="338" t="s">
        <v>251</v>
      </c>
      <c r="D52" s="339" t="s">
        <v>11</v>
      </c>
      <c r="E52" s="340">
        <v>32.5</v>
      </c>
      <c r="F52" s="278">
        <f t="shared" si="1"/>
        <v>0</v>
      </c>
      <c r="G52" s="283" t="s">
        <v>252</v>
      </c>
      <c r="H52" s="283"/>
      <c r="I52" s="283"/>
      <c r="J52" s="283"/>
      <c r="K52" s="341"/>
    </row>
    <row r="53" spans="2:11" ht="18" customHeight="1" x14ac:dyDescent="0.4">
      <c r="B53" s="337"/>
      <c r="C53" s="342"/>
      <c r="D53" s="281" t="s">
        <v>253</v>
      </c>
      <c r="E53" s="282">
        <v>1.625</v>
      </c>
      <c r="F53" s="278">
        <f t="shared" si="1"/>
        <v>0</v>
      </c>
      <c r="G53" s="343"/>
      <c r="H53" s="343"/>
      <c r="I53" s="343"/>
      <c r="J53" s="343"/>
      <c r="K53" s="344"/>
    </row>
    <row r="54" spans="2:11" ht="18" customHeight="1" x14ac:dyDescent="0.4">
      <c r="B54" s="337"/>
      <c r="C54" s="345" t="s">
        <v>254</v>
      </c>
      <c r="D54" s="281" t="s">
        <v>255</v>
      </c>
      <c r="E54" s="308">
        <v>3.25</v>
      </c>
      <c r="F54" s="278">
        <f t="shared" si="1"/>
        <v>0</v>
      </c>
      <c r="G54" s="343" t="s">
        <v>256</v>
      </c>
      <c r="H54" s="343"/>
      <c r="I54" s="343"/>
      <c r="J54" s="343"/>
      <c r="K54" s="344"/>
    </row>
    <row r="55" spans="2:11" ht="18" customHeight="1" x14ac:dyDescent="0.4">
      <c r="B55" s="337"/>
      <c r="C55" s="346"/>
      <c r="D55" s="281" t="s">
        <v>227</v>
      </c>
      <c r="E55" s="308">
        <v>9.75</v>
      </c>
      <c r="F55" s="278">
        <f t="shared" si="1"/>
        <v>0</v>
      </c>
      <c r="G55" s="343"/>
      <c r="H55" s="343"/>
      <c r="I55" s="343"/>
      <c r="J55" s="343"/>
      <c r="K55" s="344"/>
    </row>
    <row r="56" spans="2:11" ht="18" customHeight="1" x14ac:dyDescent="0.4">
      <c r="B56" s="337"/>
      <c r="C56" s="346"/>
      <c r="D56" s="281" t="s">
        <v>158</v>
      </c>
      <c r="E56" s="309">
        <v>1.9500000000000002</v>
      </c>
      <c r="F56" s="278">
        <f t="shared" si="1"/>
        <v>0</v>
      </c>
      <c r="G56" s="343"/>
      <c r="H56" s="343"/>
      <c r="I56" s="343"/>
      <c r="J56" s="343"/>
      <c r="K56" s="344"/>
    </row>
    <row r="57" spans="2:11" ht="18" customHeight="1" x14ac:dyDescent="0.4">
      <c r="B57" s="337"/>
      <c r="C57" s="346"/>
      <c r="D57" s="281" t="s">
        <v>126</v>
      </c>
      <c r="E57" s="308">
        <v>0.32500000000000001</v>
      </c>
      <c r="F57" s="278">
        <f t="shared" si="1"/>
        <v>0</v>
      </c>
      <c r="G57" s="343"/>
      <c r="H57" s="343"/>
      <c r="I57" s="343"/>
      <c r="J57" s="343"/>
      <c r="K57" s="344"/>
    </row>
    <row r="58" spans="2:11" ht="18" customHeight="1" x14ac:dyDescent="0.4">
      <c r="B58" s="337"/>
      <c r="C58" s="346"/>
      <c r="D58" s="281" t="s">
        <v>132</v>
      </c>
      <c r="E58" s="308">
        <v>0.32500000000000001</v>
      </c>
      <c r="F58" s="278">
        <f t="shared" si="1"/>
        <v>0</v>
      </c>
      <c r="G58" s="343"/>
      <c r="H58" s="343"/>
      <c r="I58" s="343"/>
      <c r="J58" s="343"/>
      <c r="K58" s="344"/>
    </row>
    <row r="59" spans="2:11" ht="18" customHeight="1" x14ac:dyDescent="0.4">
      <c r="B59" s="337"/>
      <c r="C59" s="346"/>
      <c r="D59" s="281" t="s">
        <v>159</v>
      </c>
      <c r="E59" s="308">
        <v>0.26</v>
      </c>
      <c r="F59" s="278">
        <f t="shared" si="1"/>
        <v>0</v>
      </c>
      <c r="G59" s="343"/>
      <c r="H59" s="343"/>
      <c r="I59" s="343"/>
      <c r="J59" s="343"/>
      <c r="K59" s="344"/>
    </row>
    <row r="60" spans="2:11" ht="18" customHeight="1" x14ac:dyDescent="0.4">
      <c r="B60" s="337"/>
      <c r="C60" s="346"/>
      <c r="D60" s="281" t="s">
        <v>160</v>
      </c>
      <c r="E60" s="308">
        <v>6.5000000000000002E-2</v>
      </c>
      <c r="F60" s="278">
        <f t="shared" si="1"/>
        <v>0</v>
      </c>
      <c r="G60" s="343"/>
      <c r="H60" s="343"/>
      <c r="I60" s="343"/>
      <c r="J60" s="343"/>
      <c r="K60" s="344"/>
    </row>
    <row r="61" spans="2:11" ht="18" customHeight="1" x14ac:dyDescent="0.4">
      <c r="B61" s="337"/>
      <c r="C61" s="346"/>
      <c r="D61" s="281" t="s">
        <v>186</v>
      </c>
      <c r="E61" s="288">
        <v>0.97500000000000009</v>
      </c>
      <c r="F61" s="278">
        <f t="shared" si="1"/>
        <v>0</v>
      </c>
      <c r="G61" s="343"/>
      <c r="H61" s="343"/>
      <c r="I61" s="343"/>
      <c r="J61" s="343"/>
      <c r="K61" s="344"/>
    </row>
    <row r="62" spans="2:11" ht="18" customHeight="1" x14ac:dyDescent="0.4">
      <c r="B62" s="337"/>
      <c r="C62" s="299" t="s">
        <v>257</v>
      </c>
      <c r="D62" s="281" t="s">
        <v>21</v>
      </c>
      <c r="E62" s="288">
        <v>26</v>
      </c>
      <c r="F62" s="347">
        <f t="shared" si="1"/>
        <v>0</v>
      </c>
      <c r="G62" s="348" t="s">
        <v>258</v>
      </c>
      <c r="H62" s="349"/>
      <c r="I62" s="349"/>
      <c r="J62" s="349"/>
      <c r="K62" s="350"/>
    </row>
    <row r="63" spans="2:11" ht="18" customHeight="1" x14ac:dyDescent="0.4">
      <c r="B63" s="337"/>
      <c r="C63" s="304"/>
      <c r="D63" s="281" t="s">
        <v>22</v>
      </c>
      <c r="E63" s="279">
        <v>3.25</v>
      </c>
      <c r="F63" s="347">
        <f t="shared" si="1"/>
        <v>0</v>
      </c>
      <c r="G63" s="351"/>
      <c r="H63" s="352"/>
      <c r="I63" s="352"/>
      <c r="J63" s="352"/>
      <c r="K63" s="353"/>
    </row>
    <row r="64" spans="2:11" ht="18" customHeight="1" x14ac:dyDescent="0.4">
      <c r="B64" s="337"/>
      <c r="C64" s="304"/>
      <c r="D64" s="281" t="s">
        <v>14</v>
      </c>
      <c r="E64" s="279">
        <v>6.5</v>
      </c>
      <c r="F64" s="347">
        <f t="shared" si="1"/>
        <v>0</v>
      </c>
      <c r="G64" s="351"/>
      <c r="H64" s="352"/>
      <c r="I64" s="352"/>
      <c r="J64" s="352"/>
      <c r="K64" s="353"/>
    </row>
    <row r="65" spans="2:11" ht="18" customHeight="1" x14ac:dyDescent="0.4">
      <c r="B65" s="337"/>
      <c r="C65" s="304"/>
      <c r="D65" s="281" t="s">
        <v>18</v>
      </c>
      <c r="E65" s="279">
        <v>3.25</v>
      </c>
      <c r="F65" s="347">
        <f t="shared" si="1"/>
        <v>0</v>
      </c>
      <c r="G65" s="351"/>
      <c r="H65" s="352"/>
      <c r="I65" s="352"/>
      <c r="J65" s="352"/>
      <c r="K65" s="353"/>
    </row>
    <row r="66" spans="2:11" ht="18" customHeight="1" x14ac:dyDescent="0.4">
      <c r="B66" s="337"/>
      <c r="C66" s="304"/>
      <c r="D66" s="281" t="s">
        <v>35</v>
      </c>
      <c r="E66" s="288">
        <v>1.9500000000000002</v>
      </c>
      <c r="F66" s="347">
        <f t="shared" si="1"/>
        <v>0</v>
      </c>
      <c r="G66" s="351"/>
      <c r="H66" s="352"/>
      <c r="I66" s="352"/>
      <c r="J66" s="352"/>
      <c r="K66" s="353"/>
    </row>
    <row r="67" spans="2:11" ht="18" customHeight="1" x14ac:dyDescent="0.4">
      <c r="B67" s="337"/>
      <c r="C67" s="304"/>
      <c r="D67" s="281" t="s">
        <v>19</v>
      </c>
      <c r="E67" s="279">
        <v>0.65</v>
      </c>
      <c r="F67" s="347">
        <f t="shared" si="1"/>
        <v>0</v>
      </c>
      <c r="G67" s="351"/>
      <c r="H67" s="352"/>
      <c r="I67" s="352"/>
      <c r="J67" s="352"/>
      <c r="K67" s="353"/>
    </row>
    <row r="68" spans="2:11" ht="18" customHeight="1" x14ac:dyDescent="0.4">
      <c r="B68" s="337"/>
      <c r="C68" s="304"/>
      <c r="D68" s="281" t="s">
        <v>20</v>
      </c>
      <c r="E68" s="279">
        <v>0.65</v>
      </c>
      <c r="F68" s="347">
        <f t="shared" si="1"/>
        <v>0</v>
      </c>
      <c r="G68" s="351"/>
      <c r="H68" s="352"/>
      <c r="I68" s="352"/>
      <c r="J68" s="352"/>
      <c r="K68" s="353"/>
    </row>
    <row r="69" spans="2:11" ht="18" customHeight="1" x14ac:dyDescent="0.4">
      <c r="B69" s="337"/>
      <c r="C69" s="304"/>
      <c r="D69" s="281" t="s">
        <v>126</v>
      </c>
      <c r="E69" s="279">
        <v>0.32500000000000001</v>
      </c>
      <c r="F69" s="347">
        <f t="shared" si="1"/>
        <v>0</v>
      </c>
      <c r="G69" s="351"/>
      <c r="H69" s="352"/>
      <c r="I69" s="352"/>
      <c r="J69" s="352"/>
      <c r="K69" s="353"/>
    </row>
    <row r="70" spans="2:11" ht="18" customHeight="1" x14ac:dyDescent="0.4">
      <c r="B70" s="337"/>
      <c r="C70" s="304"/>
      <c r="D70" s="281" t="s">
        <v>161</v>
      </c>
      <c r="E70" s="288">
        <v>1.9500000000000002</v>
      </c>
      <c r="F70" s="347">
        <f t="shared" si="1"/>
        <v>0</v>
      </c>
      <c r="G70" s="351"/>
      <c r="H70" s="352"/>
      <c r="I70" s="352"/>
      <c r="J70" s="352"/>
      <c r="K70" s="353"/>
    </row>
    <row r="71" spans="2:11" ht="18" customHeight="1" x14ac:dyDescent="0.4">
      <c r="B71" s="337"/>
      <c r="C71" s="304"/>
      <c r="D71" s="281" t="s">
        <v>29</v>
      </c>
      <c r="E71" s="279">
        <v>0.13</v>
      </c>
      <c r="F71" s="347">
        <f t="shared" si="1"/>
        <v>0</v>
      </c>
      <c r="G71" s="354"/>
      <c r="H71" s="355"/>
      <c r="I71" s="355"/>
      <c r="J71" s="355"/>
      <c r="K71" s="356"/>
    </row>
    <row r="72" spans="2:11" s="357" customFormat="1" ht="18" customHeight="1" x14ac:dyDescent="0.4">
      <c r="B72" s="337"/>
      <c r="C72" s="358" t="s">
        <v>259</v>
      </c>
      <c r="D72" s="281" t="s">
        <v>94</v>
      </c>
      <c r="E72" s="279">
        <v>22.75</v>
      </c>
      <c r="F72" s="278">
        <f t="shared" si="1"/>
        <v>0</v>
      </c>
      <c r="G72" s="359" t="s">
        <v>107</v>
      </c>
      <c r="H72" s="360"/>
      <c r="I72" s="360"/>
      <c r="J72" s="360"/>
      <c r="K72" s="361"/>
    </row>
    <row r="73" spans="2:11" s="357" customFormat="1" ht="18" customHeight="1" x14ac:dyDescent="0.4">
      <c r="B73" s="337"/>
      <c r="C73" s="362"/>
      <c r="D73" s="281" t="s">
        <v>16</v>
      </c>
      <c r="E73" s="279">
        <v>0.65</v>
      </c>
      <c r="F73" s="278">
        <f t="shared" si="1"/>
        <v>0</v>
      </c>
      <c r="G73" s="363"/>
      <c r="H73" s="364"/>
      <c r="I73" s="364"/>
      <c r="J73" s="364"/>
      <c r="K73" s="365"/>
    </row>
    <row r="74" spans="2:11" s="357" customFormat="1" ht="18" customHeight="1" x14ac:dyDescent="0.4">
      <c r="B74" s="337"/>
      <c r="C74" s="362"/>
      <c r="D74" s="281" t="s">
        <v>28</v>
      </c>
      <c r="E74" s="279">
        <v>0.65</v>
      </c>
      <c r="F74" s="278">
        <f t="shared" si="1"/>
        <v>0</v>
      </c>
      <c r="G74" s="363"/>
      <c r="H74" s="364"/>
      <c r="I74" s="364"/>
      <c r="J74" s="364"/>
      <c r="K74" s="365"/>
    </row>
    <row r="75" spans="2:11" s="357" customFormat="1" ht="18" customHeight="1" x14ac:dyDescent="0.4">
      <c r="B75" s="337"/>
      <c r="C75" s="362"/>
      <c r="D75" s="281" t="s">
        <v>19</v>
      </c>
      <c r="E75" s="279">
        <v>0.32500000000000001</v>
      </c>
      <c r="F75" s="278">
        <f t="shared" si="1"/>
        <v>0</v>
      </c>
      <c r="G75" s="363"/>
      <c r="H75" s="364"/>
      <c r="I75" s="364"/>
      <c r="J75" s="364"/>
      <c r="K75" s="365"/>
    </row>
    <row r="76" spans="2:11" s="357" customFormat="1" ht="18" customHeight="1" x14ac:dyDescent="0.4">
      <c r="B76" s="337"/>
      <c r="C76" s="362"/>
      <c r="D76" s="281" t="s">
        <v>20</v>
      </c>
      <c r="E76" s="279">
        <v>1.3</v>
      </c>
      <c r="F76" s="278">
        <f t="shared" si="1"/>
        <v>0</v>
      </c>
      <c r="G76" s="363"/>
      <c r="H76" s="364"/>
      <c r="I76" s="364"/>
      <c r="J76" s="364"/>
      <c r="K76" s="365"/>
    </row>
    <row r="77" spans="2:11" s="357" customFormat="1" ht="18" customHeight="1" x14ac:dyDescent="0.4">
      <c r="B77" s="337"/>
      <c r="C77" s="362"/>
      <c r="D77" s="281" t="s">
        <v>29</v>
      </c>
      <c r="E77" s="279">
        <v>0.19500000000000001</v>
      </c>
      <c r="F77" s="278">
        <f t="shared" si="1"/>
        <v>0</v>
      </c>
      <c r="G77" s="366"/>
      <c r="H77" s="367"/>
      <c r="I77" s="367"/>
      <c r="J77" s="367"/>
      <c r="K77" s="368"/>
    </row>
    <row r="78" spans="2:11" s="357" customFormat="1" ht="18" customHeight="1" x14ac:dyDescent="0.4">
      <c r="B78" s="337"/>
      <c r="C78" s="287" t="s">
        <v>134</v>
      </c>
      <c r="D78" s="369" t="s">
        <v>135</v>
      </c>
      <c r="E78" s="370">
        <v>13</v>
      </c>
      <c r="F78" s="371">
        <f t="shared" si="1"/>
        <v>0</v>
      </c>
      <c r="G78" s="187" t="s">
        <v>32</v>
      </c>
      <c r="H78" s="188"/>
      <c r="I78" s="188"/>
      <c r="J78" s="188"/>
      <c r="K78" s="189"/>
    </row>
    <row r="79" spans="2:11" ht="18" customHeight="1" x14ac:dyDescent="0.4">
      <c r="B79" s="318" t="s">
        <v>9</v>
      </c>
      <c r="C79" s="347" t="s">
        <v>260</v>
      </c>
      <c r="D79" s="278" t="s">
        <v>48</v>
      </c>
      <c r="E79" s="278">
        <v>42</v>
      </c>
      <c r="F79" s="278">
        <f t="shared" si="1"/>
        <v>0</v>
      </c>
      <c r="G79" s="372" t="s">
        <v>261</v>
      </c>
      <c r="H79" s="373"/>
      <c r="I79" s="373"/>
      <c r="J79" s="373"/>
      <c r="K79" s="374"/>
    </row>
    <row r="80" spans="2:11" ht="18" customHeight="1" thickBot="1" x14ac:dyDescent="0.45">
      <c r="B80" s="323"/>
      <c r="C80" s="375" t="s">
        <v>148</v>
      </c>
      <c r="D80" s="375" t="s">
        <v>49</v>
      </c>
      <c r="E80" s="376">
        <v>100</v>
      </c>
      <c r="F80" s="375">
        <f t="shared" si="1"/>
        <v>0</v>
      </c>
      <c r="G80" s="377"/>
      <c r="H80" s="378"/>
      <c r="I80" s="378"/>
      <c r="J80" s="378"/>
      <c r="K80" s="379"/>
    </row>
    <row r="81" spans="2:11" ht="80.099999999999994" customHeight="1" thickTop="1" x14ac:dyDescent="0.4">
      <c r="B81" s="90"/>
      <c r="C81" s="90"/>
      <c r="D81" s="90"/>
      <c r="E81" s="90"/>
      <c r="F81" s="90"/>
      <c r="G81" s="90"/>
      <c r="H81" s="90"/>
      <c r="I81" s="90"/>
      <c r="J81" s="90"/>
      <c r="K81" s="90"/>
    </row>
    <row r="82" spans="2:11" ht="18" thickBot="1" x14ac:dyDescent="0.45">
      <c r="B82" s="380"/>
      <c r="C82" s="381"/>
      <c r="D82" s="381"/>
      <c r="E82" s="382"/>
      <c r="F82" s="382"/>
      <c r="G82" s="383"/>
      <c r="H82" s="383"/>
      <c r="I82" s="383"/>
      <c r="J82" s="383"/>
      <c r="K82" s="383"/>
    </row>
    <row r="83" spans="2:11" ht="21" customHeight="1" thickTop="1" x14ac:dyDescent="0.4">
      <c r="B83" s="384" t="s">
        <v>262</v>
      </c>
      <c r="C83" s="385"/>
      <c r="D83" s="385"/>
      <c r="E83" s="385"/>
      <c r="F83" s="385"/>
      <c r="G83" s="385"/>
      <c r="H83" s="385"/>
      <c r="I83" s="385"/>
      <c r="J83" s="385"/>
      <c r="K83" s="386"/>
    </row>
    <row r="84" spans="2:11" ht="18" customHeight="1" x14ac:dyDescent="0.4">
      <c r="B84" s="272" t="s">
        <v>2</v>
      </c>
      <c r="C84" s="273" t="s">
        <v>3</v>
      </c>
      <c r="D84" s="273" t="s">
        <v>4</v>
      </c>
      <c r="E84" s="274" t="s">
        <v>5</v>
      </c>
      <c r="F84" s="274" t="s">
        <v>6</v>
      </c>
      <c r="G84" s="387" t="s">
        <v>7</v>
      </c>
      <c r="H84" s="388"/>
      <c r="I84" s="388"/>
      <c r="J84" s="388"/>
      <c r="K84" s="389"/>
    </row>
    <row r="85" spans="2:11" ht="18" customHeight="1" x14ac:dyDescent="0.4">
      <c r="B85" s="272"/>
      <c r="C85" s="273"/>
      <c r="D85" s="273"/>
      <c r="E85" s="274" t="s">
        <v>1</v>
      </c>
      <c r="F85" s="276" t="s">
        <v>1</v>
      </c>
      <c r="G85" s="390"/>
      <c r="H85" s="391"/>
      <c r="I85" s="391"/>
      <c r="J85" s="391"/>
      <c r="K85" s="392"/>
    </row>
    <row r="86" spans="2:11" ht="18" customHeight="1" x14ac:dyDescent="0.4">
      <c r="B86" s="393" t="s">
        <v>8</v>
      </c>
      <c r="C86" s="278" t="s">
        <v>263</v>
      </c>
      <c r="D86" s="278" t="s">
        <v>263</v>
      </c>
      <c r="E86" s="278">
        <v>32.5</v>
      </c>
      <c r="F86" s="278">
        <f t="shared" ref="F86:F113" si="2">E86*E$2</f>
        <v>0</v>
      </c>
      <c r="G86" s="394" t="s">
        <v>264</v>
      </c>
      <c r="H86" s="395"/>
      <c r="I86" s="395"/>
      <c r="J86" s="395"/>
      <c r="K86" s="396"/>
    </row>
    <row r="87" spans="2:11" ht="18" customHeight="1" x14ac:dyDescent="0.4">
      <c r="B87" s="397" t="s">
        <v>10</v>
      </c>
      <c r="C87" s="398" t="s">
        <v>265</v>
      </c>
      <c r="D87" s="281" t="s">
        <v>11</v>
      </c>
      <c r="E87" s="278">
        <v>32.5</v>
      </c>
      <c r="F87" s="278">
        <f t="shared" si="2"/>
        <v>0</v>
      </c>
      <c r="G87" s="399" t="s">
        <v>266</v>
      </c>
      <c r="H87" s="400"/>
      <c r="I87" s="400"/>
      <c r="J87" s="400"/>
      <c r="K87" s="401"/>
    </row>
    <row r="88" spans="2:11" ht="18" customHeight="1" x14ac:dyDescent="0.4">
      <c r="B88" s="337"/>
      <c r="C88" s="402"/>
      <c r="D88" s="281" t="s">
        <v>226</v>
      </c>
      <c r="E88" s="278">
        <v>13</v>
      </c>
      <c r="F88" s="278">
        <f t="shared" si="2"/>
        <v>0</v>
      </c>
      <c r="G88" s="403"/>
      <c r="H88" s="404"/>
      <c r="I88" s="404"/>
      <c r="J88" s="404"/>
      <c r="K88" s="405"/>
    </row>
    <row r="89" spans="2:11" ht="18" customHeight="1" x14ac:dyDescent="0.4">
      <c r="B89" s="337"/>
      <c r="C89" s="402"/>
      <c r="D89" s="281" t="s">
        <v>82</v>
      </c>
      <c r="E89" s="278">
        <v>6.5</v>
      </c>
      <c r="F89" s="278">
        <f t="shared" si="2"/>
        <v>0</v>
      </c>
      <c r="G89" s="403"/>
      <c r="H89" s="404"/>
      <c r="I89" s="404"/>
      <c r="J89" s="404"/>
      <c r="K89" s="405"/>
    </row>
    <row r="90" spans="2:11" ht="18" customHeight="1" x14ac:dyDescent="0.4">
      <c r="B90" s="337"/>
      <c r="C90" s="402"/>
      <c r="D90" s="281" t="s">
        <v>22</v>
      </c>
      <c r="E90" s="278">
        <v>6.5</v>
      </c>
      <c r="F90" s="278">
        <f t="shared" si="2"/>
        <v>0</v>
      </c>
      <c r="G90" s="403"/>
      <c r="H90" s="404"/>
      <c r="I90" s="404"/>
      <c r="J90" s="404"/>
      <c r="K90" s="405"/>
    </row>
    <row r="91" spans="2:11" ht="18" customHeight="1" x14ac:dyDescent="0.4">
      <c r="B91" s="337"/>
      <c r="C91" s="402"/>
      <c r="D91" s="281" t="s">
        <v>14</v>
      </c>
      <c r="E91" s="278">
        <v>6.5</v>
      </c>
      <c r="F91" s="278">
        <f t="shared" si="2"/>
        <v>0</v>
      </c>
      <c r="G91" s="403"/>
      <c r="H91" s="404"/>
      <c r="I91" s="404"/>
      <c r="J91" s="404"/>
      <c r="K91" s="405"/>
    </row>
    <row r="92" spans="2:11" ht="18" customHeight="1" x14ac:dyDescent="0.4">
      <c r="B92" s="337"/>
      <c r="C92" s="402"/>
      <c r="D92" s="281" t="s">
        <v>141</v>
      </c>
      <c r="E92" s="278">
        <v>6.5</v>
      </c>
      <c r="F92" s="278">
        <f t="shared" si="2"/>
        <v>0</v>
      </c>
      <c r="G92" s="403"/>
      <c r="H92" s="404"/>
      <c r="I92" s="404"/>
      <c r="J92" s="404"/>
      <c r="K92" s="405"/>
    </row>
    <row r="93" spans="2:11" ht="18" customHeight="1" x14ac:dyDescent="0.4">
      <c r="B93" s="337"/>
      <c r="C93" s="402"/>
      <c r="D93" s="281" t="s">
        <v>81</v>
      </c>
      <c r="E93" s="308">
        <v>3.25</v>
      </c>
      <c r="F93" s="278">
        <f t="shared" si="2"/>
        <v>0</v>
      </c>
      <c r="G93" s="403"/>
      <c r="H93" s="404"/>
      <c r="I93" s="404"/>
      <c r="J93" s="404"/>
      <c r="K93" s="405"/>
    </row>
    <row r="94" spans="2:11" ht="18" customHeight="1" x14ac:dyDescent="0.4">
      <c r="B94" s="337"/>
      <c r="C94" s="402"/>
      <c r="D94" s="281" t="s">
        <v>26</v>
      </c>
      <c r="E94" s="308">
        <v>0.65</v>
      </c>
      <c r="F94" s="278">
        <f t="shared" si="2"/>
        <v>0</v>
      </c>
      <c r="G94" s="406"/>
      <c r="H94" s="407"/>
      <c r="I94" s="407"/>
      <c r="J94" s="407"/>
      <c r="K94" s="408"/>
    </row>
    <row r="95" spans="2:11" ht="18" customHeight="1" x14ac:dyDescent="0.4">
      <c r="B95" s="337"/>
      <c r="C95" s="345" t="s">
        <v>267</v>
      </c>
      <c r="D95" s="281" t="s">
        <v>70</v>
      </c>
      <c r="E95" s="278">
        <v>13</v>
      </c>
      <c r="F95" s="278">
        <f t="shared" si="2"/>
        <v>0</v>
      </c>
      <c r="G95" s="343" t="s">
        <v>268</v>
      </c>
      <c r="H95" s="343"/>
      <c r="I95" s="343"/>
      <c r="J95" s="343"/>
      <c r="K95" s="344"/>
    </row>
    <row r="96" spans="2:11" ht="18" customHeight="1" x14ac:dyDescent="0.4">
      <c r="B96" s="337"/>
      <c r="C96" s="346"/>
      <c r="D96" s="281" t="s">
        <v>75</v>
      </c>
      <c r="E96" s="278">
        <v>1.3</v>
      </c>
      <c r="F96" s="278">
        <f t="shared" si="2"/>
        <v>0</v>
      </c>
      <c r="G96" s="343"/>
      <c r="H96" s="343"/>
      <c r="I96" s="343"/>
      <c r="J96" s="343"/>
      <c r="K96" s="344"/>
    </row>
    <row r="97" spans="2:11" ht="18" customHeight="1" x14ac:dyDescent="0.4">
      <c r="B97" s="337"/>
      <c r="C97" s="346"/>
      <c r="D97" s="281" t="s">
        <v>15</v>
      </c>
      <c r="E97" s="309">
        <v>1.9500000000000002</v>
      </c>
      <c r="F97" s="278">
        <f t="shared" si="2"/>
        <v>0</v>
      </c>
      <c r="G97" s="343"/>
      <c r="H97" s="343"/>
      <c r="I97" s="343"/>
      <c r="J97" s="343"/>
      <c r="K97" s="344"/>
    </row>
    <row r="98" spans="2:11" ht="18" customHeight="1" x14ac:dyDescent="0.4">
      <c r="B98" s="337"/>
      <c r="C98" s="346"/>
      <c r="D98" s="281" t="s">
        <v>126</v>
      </c>
      <c r="E98" s="308">
        <v>0.32500000000000001</v>
      </c>
      <c r="F98" s="278">
        <f t="shared" si="2"/>
        <v>0</v>
      </c>
      <c r="G98" s="343"/>
      <c r="H98" s="343"/>
      <c r="I98" s="343"/>
      <c r="J98" s="343"/>
      <c r="K98" s="344"/>
    </row>
    <row r="99" spans="2:11" ht="18" customHeight="1" x14ac:dyDescent="0.4">
      <c r="B99" s="337"/>
      <c r="C99" s="346"/>
      <c r="D99" s="281" t="s">
        <v>132</v>
      </c>
      <c r="E99" s="308">
        <v>0.32500000000000001</v>
      </c>
      <c r="F99" s="278">
        <f t="shared" si="2"/>
        <v>0</v>
      </c>
      <c r="G99" s="343"/>
      <c r="H99" s="343"/>
      <c r="I99" s="343"/>
      <c r="J99" s="343"/>
      <c r="K99" s="344"/>
    </row>
    <row r="100" spans="2:11" ht="18" customHeight="1" x14ac:dyDescent="0.4">
      <c r="B100" s="337"/>
      <c r="C100" s="409" t="s">
        <v>269</v>
      </c>
      <c r="D100" s="278" t="s">
        <v>92</v>
      </c>
      <c r="E100" s="308">
        <v>16.25</v>
      </c>
      <c r="F100" s="278">
        <f t="shared" si="2"/>
        <v>0</v>
      </c>
      <c r="G100" s="220" t="s">
        <v>270</v>
      </c>
      <c r="H100" s="221"/>
      <c r="I100" s="221"/>
      <c r="J100" s="221"/>
      <c r="K100" s="222"/>
    </row>
    <row r="101" spans="2:11" ht="18" customHeight="1" x14ac:dyDescent="0.4">
      <c r="B101" s="337"/>
      <c r="C101" s="410"/>
      <c r="D101" s="278" t="s">
        <v>236</v>
      </c>
      <c r="E101" s="308">
        <v>16.25</v>
      </c>
      <c r="F101" s="278">
        <f t="shared" si="2"/>
        <v>0</v>
      </c>
      <c r="G101" s="223"/>
      <c r="H101" s="224"/>
      <c r="I101" s="224"/>
      <c r="J101" s="224"/>
      <c r="K101" s="225"/>
    </row>
    <row r="102" spans="2:11" ht="18" customHeight="1" x14ac:dyDescent="0.4">
      <c r="B102" s="337"/>
      <c r="C102" s="410"/>
      <c r="D102" s="278" t="s">
        <v>214</v>
      </c>
      <c r="E102" s="308">
        <v>3.25</v>
      </c>
      <c r="F102" s="278">
        <f t="shared" si="2"/>
        <v>0</v>
      </c>
      <c r="G102" s="223"/>
      <c r="H102" s="224"/>
      <c r="I102" s="224"/>
      <c r="J102" s="224"/>
      <c r="K102" s="225"/>
    </row>
    <row r="103" spans="2:11" ht="18" customHeight="1" x14ac:dyDescent="0.4">
      <c r="B103" s="337"/>
      <c r="C103" s="411"/>
      <c r="D103" s="278" t="s">
        <v>166</v>
      </c>
      <c r="E103" s="309">
        <v>1.9500000000000002</v>
      </c>
      <c r="F103" s="278">
        <f t="shared" si="2"/>
        <v>0</v>
      </c>
      <c r="G103" s="412"/>
      <c r="H103" s="413"/>
      <c r="I103" s="413"/>
      <c r="J103" s="413"/>
      <c r="K103" s="414"/>
    </row>
    <row r="104" spans="2:11" ht="18" customHeight="1" x14ac:dyDescent="0.4">
      <c r="B104" s="337"/>
      <c r="C104" s="317" t="s">
        <v>134</v>
      </c>
      <c r="D104" s="369" t="s">
        <v>135</v>
      </c>
      <c r="E104" s="370">
        <v>13</v>
      </c>
      <c r="F104" s="371">
        <f t="shared" si="2"/>
        <v>0</v>
      </c>
      <c r="G104" s="187" t="s">
        <v>32</v>
      </c>
      <c r="H104" s="188"/>
      <c r="I104" s="188"/>
      <c r="J104" s="188"/>
      <c r="K104" s="189"/>
    </row>
    <row r="105" spans="2:11" s="357" customFormat="1" ht="18" customHeight="1" x14ac:dyDescent="0.4">
      <c r="B105" s="318" t="s">
        <v>137</v>
      </c>
      <c r="C105" s="299" t="s">
        <v>271</v>
      </c>
      <c r="D105" s="170" t="s">
        <v>122</v>
      </c>
      <c r="E105" s="300">
        <v>26</v>
      </c>
      <c r="F105" s="415">
        <f t="shared" si="2"/>
        <v>0</v>
      </c>
      <c r="G105" s="171" t="s">
        <v>272</v>
      </c>
      <c r="H105" s="172"/>
      <c r="I105" s="172"/>
      <c r="J105" s="172"/>
      <c r="K105" s="173"/>
    </row>
    <row r="106" spans="2:11" s="357" customFormat="1" ht="18" customHeight="1" x14ac:dyDescent="0.4">
      <c r="B106" s="322"/>
      <c r="C106" s="416"/>
      <c r="D106" s="170" t="s">
        <v>117</v>
      </c>
      <c r="E106" s="282">
        <v>4.55</v>
      </c>
      <c r="F106" s="415">
        <f t="shared" si="2"/>
        <v>0</v>
      </c>
      <c r="G106" s="174"/>
      <c r="H106" s="175"/>
      <c r="I106" s="175"/>
      <c r="J106" s="175"/>
      <c r="K106" s="176"/>
    </row>
    <row r="107" spans="2:11" s="357" customFormat="1" ht="18" customHeight="1" x14ac:dyDescent="0.4">
      <c r="B107" s="322"/>
      <c r="C107" s="416"/>
      <c r="D107" s="170" t="s">
        <v>273</v>
      </c>
      <c r="E107" s="282">
        <v>4.55</v>
      </c>
      <c r="F107" s="415">
        <f t="shared" si="2"/>
        <v>0</v>
      </c>
      <c r="G107" s="174"/>
      <c r="H107" s="175"/>
      <c r="I107" s="175"/>
      <c r="J107" s="175"/>
      <c r="K107" s="176"/>
    </row>
    <row r="108" spans="2:11" s="357" customFormat="1" ht="18" customHeight="1" x14ac:dyDescent="0.4">
      <c r="B108" s="322"/>
      <c r="C108" s="416"/>
      <c r="D108" s="170" t="s">
        <v>157</v>
      </c>
      <c r="E108" s="282">
        <v>3.25</v>
      </c>
      <c r="F108" s="415">
        <f t="shared" si="2"/>
        <v>0</v>
      </c>
      <c r="G108" s="174"/>
      <c r="H108" s="175"/>
      <c r="I108" s="175"/>
      <c r="J108" s="175"/>
      <c r="K108" s="176"/>
    </row>
    <row r="109" spans="2:11" s="357" customFormat="1" ht="18" customHeight="1" x14ac:dyDescent="0.4">
      <c r="B109" s="322"/>
      <c r="C109" s="416"/>
      <c r="D109" s="170" t="s">
        <v>161</v>
      </c>
      <c r="E109" s="282">
        <v>0.65</v>
      </c>
      <c r="F109" s="415">
        <f t="shared" si="2"/>
        <v>0</v>
      </c>
      <c r="G109" s="174"/>
      <c r="H109" s="175"/>
      <c r="I109" s="175"/>
      <c r="J109" s="175"/>
      <c r="K109" s="176"/>
    </row>
    <row r="110" spans="2:11" s="357" customFormat="1" ht="18" customHeight="1" x14ac:dyDescent="0.4">
      <c r="B110" s="322"/>
      <c r="C110" s="416"/>
      <c r="D110" s="170" t="s">
        <v>159</v>
      </c>
      <c r="E110" s="282">
        <v>0.19500000000000001</v>
      </c>
      <c r="F110" s="415">
        <f t="shared" si="2"/>
        <v>0</v>
      </c>
      <c r="G110" s="174"/>
      <c r="H110" s="175"/>
      <c r="I110" s="175"/>
      <c r="J110" s="175"/>
      <c r="K110" s="176"/>
    </row>
    <row r="111" spans="2:11" ht="18" customHeight="1" x14ac:dyDescent="0.4">
      <c r="B111" s="322"/>
      <c r="C111" s="416"/>
      <c r="D111" s="170" t="s">
        <v>186</v>
      </c>
      <c r="E111" s="282">
        <v>0.19500000000000001</v>
      </c>
      <c r="F111" s="415">
        <f t="shared" si="2"/>
        <v>0</v>
      </c>
      <c r="G111" s="174"/>
      <c r="H111" s="175"/>
      <c r="I111" s="175"/>
      <c r="J111" s="175"/>
      <c r="K111" s="176"/>
    </row>
    <row r="112" spans="2:11" ht="18" customHeight="1" x14ac:dyDescent="0.4">
      <c r="B112" s="322"/>
      <c r="C112" s="416"/>
      <c r="D112" s="417" t="s">
        <v>274</v>
      </c>
      <c r="E112" s="418">
        <v>6.5000000000000002E-2</v>
      </c>
      <c r="F112" s="415">
        <f t="shared" si="2"/>
        <v>0</v>
      </c>
      <c r="G112" s="174"/>
      <c r="H112" s="175"/>
      <c r="I112" s="175"/>
      <c r="J112" s="175"/>
      <c r="K112" s="176"/>
    </row>
    <row r="113" spans="2:11" ht="18" customHeight="1" thickBot="1" x14ac:dyDescent="0.45">
      <c r="B113" s="323"/>
      <c r="C113" s="419"/>
      <c r="D113" s="420" t="s">
        <v>133</v>
      </c>
      <c r="E113" s="421">
        <v>6.5000000000000002E-2</v>
      </c>
      <c r="F113" s="422">
        <f t="shared" si="2"/>
        <v>0</v>
      </c>
      <c r="G113" s="423"/>
      <c r="H113" s="424"/>
      <c r="I113" s="424"/>
      <c r="J113" s="424"/>
      <c r="K113" s="425"/>
    </row>
    <row r="114" spans="2:11" ht="80.099999999999994" customHeight="1" thickTop="1" x14ac:dyDescent="0.4"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</row>
    <row r="115" spans="2:11" ht="18" thickBot="1" x14ac:dyDescent="0.45">
      <c r="B115" s="380"/>
      <c r="C115" s="381"/>
      <c r="D115" s="381"/>
      <c r="E115" s="382"/>
      <c r="F115" s="382"/>
      <c r="G115" s="383"/>
      <c r="H115" s="383"/>
      <c r="I115" s="383"/>
      <c r="J115" s="383"/>
      <c r="K115" s="383"/>
    </row>
    <row r="116" spans="2:11" ht="21" customHeight="1" thickTop="1" x14ac:dyDescent="0.4">
      <c r="B116" s="269" t="s">
        <v>275</v>
      </c>
      <c r="C116" s="270"/>
      <c r="D116" s="270"/>
      <c r="E116" s="270"/>
      <c r="F116" s="270"/>
      <c r="G116" s="270"/>
      <c r="H116" s="270"/>
      <c r="I116" s="270"/>
      <c r="J116" s="270"/>
      <c r="K116" s="271"/>
    </row>
    <row r="117" spans="2:11" ht="18" customHeight="1" x14ac:dyDescent="0.4">
      <c r="B117" s="272" t="s">
        <v>2</v>
      </c>
      <c r="C117" s="273" t="s">
        <v>3</v>
      </c>
      <c r="D117" s="273" t="s">
        <v>4</v>
      </c>
      <c r="E117" s="274" t="s">
        <v>5</v>
      </c>
      <c r="F117" s="274" t="s">
        <v>6</v>
      </c>
      <c r="G117" s="273" t="s">
        <v>7</v>
      </c>
      <c r="H117" s="273"/>
      <c r="I117" s="273"/>
      <c r="J117" s="273"/>
      <c r="K117" s="275"/>
    </row>
    <row r="118" spans="2:11" ht="18" customHeight="1" x14ac:dyDescent="0.4">
      <c r="B118" s="272"/>
      <c r="C118" s="273"/>
      <c r="D118" s="273"/>
      <c r="E118" s="274" t="s">
        <v>1</v>
      </c>
      <c r="F118" s="276" t="s">
        <v>1</v>
      </c>
      <c r="G118" s="273"/>
      <c r="H118" s="273"/>
      <c r="I118" s="273"/>
      <c r="J118" s="273"/>
      <c r="K118" s="275"/>
    </row>
    <row r="119" spans="2:11" ht="18" customHeight="1" x14ac:dyDescent="0.4">
      <c r="B119" s="277" t="s">
        <v>276</v>
      </c>
      <c r="C119" s="278" t="s">
        <v>277</v>
      </c>
      <c r="D119" s="426" t="s">
        <v>278</v>
      </c>
      <c r="E119" s="278">
        <v>100</v>
      </c>
      <c r="F119" s="278">
        <f t="shared" ref="F119:F149" si="3">E119*E$2</f>
        <v>0</v>
      </c>
      <c r="G119" s="97"/>
      <c r="H119" s="98"/>
      <c r="I119" s="98"/>
      <c r="J119" s="98"/>
      <c r="K119" s="99"/>
    </row>
    <row r="120" spans="2:11" ht="18" customHeight="1" x14ac:dyDescent="0.4">
      <c r="B120" s="397" t="s">
        <v>10</v>
      </c>
      <c r="C120" s="338" t="s">
        <v>204</v>
      </c>
      <c r="D120" s="281" t="s">
        <v>11</v>
      </c>
      <c r="E120" s="282">
        <v>32.5</v>
      </c>
      <c r="F120" s="347">
        <f t="shared" si="3"/>
        <v>0</v>
      </c>
      <c r="G120" s="283" t="s">
        <v>50</v>
      </c>
      <c r="H120" s="283"/>
      <c r="I120" s="283"/>
      <c r="J120" s="283"/>
      <c r="K120" s="341"/>
    </row>
    <row r="121" spans="2:11" ht="18" customHeight="1" x14ac:dyDescent="0.4">
      <c r="B121" s="337"/>
      <c r="C121" s="342"/>
      <c r="D121" s="281" t="s">
        <v>51</v>
      </c>
      <c r="E121" s="282">
        <v>1.625</v>
      </c>
      <c r="F121" s="278">
        <f t="shared" si="3"/>
        <v>0</v>
      </c>
      <c r="G121" s="343"/>
      <c r="H121" s="343"/>
      <c r="I121" s="343"/>
      <c r="J121" s="343"/>
      <c r="K121" s="344"/>
    </row>
    <row r="122" spans="2:11" ht="18" customHeight="1" x14ac:dyDescent="0.4">
      <c r="B122" s="337"/>
      <c r="C122" s="358" t="s">
        <v>279</v>
      </c>
      <c r="D122" s="287" t="s">
        <v>280</v>
      </c>
      <c r="E122" s="308">
        <v>6.5</v>
      </c>
      <c r="F122" s="278">
        <f t="shared" si="3"/>
        <v>0</v>
      </c>
      <c r="G122" s="232" t="s">
        <v>281</v>
      </c>
      <c r="H122" s="233"/>
      <c r="I122" s="233"/>
      <c r="J122" s="233"/>
      <c r="K122" s="234"/>
    </row>
    <row r="123" spans="2:11" ht="18" customHeight="1" x14ac:dyDescent="0.4">
      <c r="B123" s="337"/>
      <c r="C123" s="362"/>
      <c r="D123" s="287" t="s">
        <v>282</v>
      </c>
      <c r="E123" s="308">
        <v>6.5</v>
      </c>
      <c r="F123" s="278">
        <f t="shared" si="3"/>
        <v>0</v>
      </c>
      <c r="G123" s="236"/>
      <c r="H123" s="237"/>
      <c r="I123" s="237"/>
      <c r="J123" s="237"/>
      <c r="K123" s="238"/>
    </row>
    <row r="124" spans="2:11" ht="18" customHeight="1" x14ac:dyDescent="0.4">
      <c r="B124" s="337"/>
      <c r="C124" s="427"/>
      <c r="D124" s="287" t="s">
        <v>283</v>
      </c>
      <c r="E124" s="308">
        <v>6.5</v>
      </c>
      <c r="F124" s="278">
        <f t="shared" si="3"/>
        <v>0</v>
      </c>
      <c r="G124" s="236"/>
      <c r="H124" s="237"/>
      <c r="I124" s="237"/>
      <c r="J124" s="237"/>
      <c r="K124" s="238"/>
    </row>
    <row r="125" spans="2:11" ht="18" customHeight="1" x14ac:dyDescent="0.4">
      <c r="B125" s="337"/>
      <c r="C125" s="362"/>
      <c r="D125" s="287" t="s">
        <v>178</v>
      </c>
      <c r="E125" s="308">
        <v>1.3</v>
      </c>
      <c r="F125" s="278">
        <f t="shared" si="3"/>
        <v>0</v>
      </c>
      <c r="G125" s="236"/>
      <c r="H125" s="237"/>
      <c r="I125" s="237"/>
      <c r="J125" s="237"/>
      <c r="K125" s="238"/>
    </row>
    <row r="126" spans="2:11" ht="18" customHeight="1" x14ac:dyDescent="0.4">
      <c r="B126" s="337"/>
      <c r="C126" s="362"/>
      <c r="D126" s="287" t="s">
        <v>179</v>
      </c>
      <c r="E126" s="308">
        <v>1.3</v>
      </c>
      <c r="F126" s="278">
        <f t="shared" si="3"/>
        <v>0</v>
      </c>
      <c r="G126" s="236"/>
      <c r="H126" s="237"/>
      <c r="I126" s="237"/>
      <c r="J126" s="237"/>
      <c r="K126" s="238"/>
    </row>
    <row r="127" spans="2:11" ht="18" customHeight="1" x14ac:dyDescent="0.4">
      <c r="B127" s="337"/>
      <c r="C127" s="362"/>
      <c r="D127" s="287" t="s">
        <v>132</v>
      </c>
      <c r="E127" s="309">
        <v>1.9500000000000002</v>
      </c>
      <c r="F127" s="278">
        <f t="shared" si="3"/>
        <v>0</v>
      </c>
      <c r="G127" s="236"/>
      <c r="H127" s="237"/>
      <c r="I127" s="237"/>
      <c r="J127" s="237"/>
      <c r="K127" s="238"/>
    </row>
    <row r="128" spans="2:11" ht="18" customHeight="1" x14ac:dyDescent="0.4">
      <c r="B128" s="337"/>
      <c r="C128" s="362"/>
      <c r="D128" s="287" t="s">
        <v>126</v>
      </c>
      <c r="E128" s="308">
        <v>0.19500000000000001</v>
      </c>
      <c r="F128" s="278">
        <f t="shared" si="3"/>
        <v>0</v>
      </c>
      <c r="G128" s="236"/>
      <c r="H128" s="237"/>
      <c r="I128" s="237"/>
      <c r="J128" s="237"/>
      <c r="K128" s="238"/>
    </row>
    <row r="129" spans="2:11" ht="18" customHeight="1" x14ac:dyDescent="0.4">
      <c r="B129" s="337"/>
      <c r="C129" s="428"/>
      <c r="D129" s="287" t="s">
        <v>158</v>
      </c>
      <c r="E129" s="308">
        <v>0.32500000000000001</v>
      </c>
      <c r="F129" s="278">
        <f t="shared" si="3"/>
        <v>0</v>
      </c>
      <c r="G129" s="429"/>
      <c r="H129" s="430"/>
      <c r="I129" s="430"/>
      <c r="J129" s="430"/>
      <c r="K129" s="431"/>
    </row>
    <row r="130" spans="2:11" ht="18" customHeight="1" x14ac:dyDescent="0.4">
      <c r="B130" s="337"/>
      <c r="C130" s="432" t="s">
        <v>284</v>
      </c>
      <c r="D130" s="281" t="s">
        <v>69</v>
      </c>
      <c r="E130" s="288">
        <v>26</v>
      </c>
      <c r="F130" s="278">
        <f t="shared" si="3"/>
        <v>0</v>
      </c>
      <c r="G130" s="433" t="s">
        <v>285</v>
      </c>
      <c r="H130" s="434"/>
      <c r="I130" s="434"/>
      <c r="J130" s="434"/>
      <c r="K130" s="435"/>
    </row>
    <row r="131" spans="2:11" ht="18" customHeight="1" x14ac:dyDescent="0.4">
      <c r="B131" s="337"/>
      <c r="C131" s="436"/>
      <c r="D131" s="281" t="s">
        <v>28</v>
      </c>
      <c r="E131" s="279">
        <v>0.32500000000000001</v>
      </c>
      <c r="F131" s="278">
        <f t="shared" si="3"/>
        <v>0</v>
      </c>
      <c r="G131" s="437"/>
      <c r="H131" s="438"/>
      <c r="I131" s="438"/>
      <c r="J131" s="438"/>
      <c r="K131" s="439"/>
    </row>
    <row r="132" spans="2:11" ht="18" customHeight="1" x14ac:dyDescent="0.4">
      <c r="B132" s="337"/>
      <c r="C132" s="436"/>
      <c r="D132" s="281" t="s">
        <v>26</v>
      </c>
      <c r="E132" s="279">
        <v>0.65</v>
      </c>
      <c r="F132" s="278">
        <f t="shared" si="3"/>
        <v>0</v>
      </c>
      <c r="G132" s="437"/>
      <c r="H132" s="438"/>
      <c r="I132" s="438"/>
      <c r="J132" s="438"/>
      <c r="K132" s="439"/>
    </row>
    <row r="133" spans="2:11" ht="18" customHeight="1" x14ac:dyDescent="0.4">
      <c r="B133" s="337"/>
      <c r="C133" s="440" t="s">
        <v>286</v>
      </c>
      <c r="D133" s="281" t="s">
        <v>287</v>
      </c>
      <c r="E133" s="279">
        <v>19.5</v>
      </c>
      <c r="F133" s="278">
        <f t="shared" si="3"/>
        <v>0</v>
      </c>
      <c r="G133" s="220" t="s">
        <v>288</v>
      </c>
      <c r="H133" s="221"/>
      <c r="I133" s="221"/>
      <c r="J133" s="221"/>
      <c r="K133" s="222"/>
    </row>
    <row r="134" spans="2:11" ht="18" customHeight="1" x14ac:dyDescent="0.4">
      <c r="B134" s="337"/>
      <c r="C134" s="441"/>
      <c r="D134" s="281" t="s">
        <v>132</v>
      </c>
      <c r="E134" s="279">
        <v>1.3</v>
      </c>
      <c r="F134" s="278">
        <f t="shared" si="3"/>
        <v>0</v>
      </c>
      <c r="G134" s="223"/>
      <c r="H134" s="224"/>
      <c r="I134" s="224"/>
      <c r="J134" s="224"/>
      <c r="K134" s="225"/>
    </row>
    <row r="135" spans="2:11" ht="18" customHeight="1" x14ac:dyDescent="0.4">
      <c r="B135" s="337"/>
      <c r="C135" s="441"/>
      <c r="D135" s="281" t="s">
        <v>289</v>
      </c>
      <c r="E135" s="288">
        <v>0.97500000000000009</v>
      </c>
      <c r="F135" s="278">
        <f t="shared" si="3"/>
        <v>0</v>
      </c>
      <c r="G135" s="223"/>
      <c r="H135" s="224"/>
      <c r="I135" s="224"/>
      <c r="J135" s="224"/>
      <c r="K135" s="225"/>
    </row>
    <row r="136" spans="2:11" ht="18" customHeight="1" x14ac:dyDescent="0.4">
      <c r="B136" s="337"/>
      <c r="C136" s="441"/>
      <c r="D136" s="281" t="s">
        <v>186</v>
      </c>
      <c r="E136" s="279">
        <v>0.65</v>
      </c>
      <c r="F136" s="278">
        <f t="shared" si="3"/>
        <v>0</v>
      </c>
      <c r="G136" s="223"/>
      <c r="H136" s="224"/>
      <c r="I136" s="224"/>
      <c r="J136" s="224"/>
      <c r="K136" s="225"/>
    </row>
    <row r="137" spans="2:11" ht="18" customHeight="1" x14ac:dyDescent="0.4">
      <c r="B137" s="337"/>
      <c r="C137" s="441"/>
      <c r="D137" s="281" t="s">
        <v>29</v>
      </c>
      <c r="E137" s="279">
        <v>0.32500000000000001</v>
      </c>
      <c r="F137" s="278">
        <f t="shared" si="3"/>
        <v>0</v>
      </c>
      <c r="G137" s="412"/>
      <c r="H137" s="413"/>
      <c r="I137" s="413"/>
      <c r="J137" s="413"/>
      <c r="K137" s="414"/>
    </row>
    <row r="138" spans="2:11" ht="18" customHeight="1" x14ac:dyDescent="0.4">
      <c r="B138" s="442"/>
      <c r="C138" s="317" t="s">
        <v>134</v>
      </c>
      <c r="D138" s="369" t="s">
        <v>135</v>
      </c>
      <c r="E138" s="370">
        <v>13</v>
      </c>
      <c r="F138" s="371">
        <f t="shared" si="3"/>
        <v>0</v>
      </c>
      <c r="G138" s="187" t="s">
        <v>32</v>
      </c>
      <c r="H138" s="188"/>
      <c r="I138" s="188"/>
      <c r="J138" s="188"/>
      <c r="K138" s="189"/>
    </row>
    <row r="139" spans="2:11" s="357" customFormat="1" ht="18" customHeight="1" x14ac:dyDescent="0.4">
      <c r="B139" s="318" t="s">
        <v>9</v>
      </c>
      <c r="C139" s="398" t="s">
        <v>290</v>
      </c>
      <c r="D139" s="281" t="s">
        <v>72</v>
      </c>
      <c r="E139" s="288">
        <v>39</v>
      </c>
      <c r="F139" s="278">
        <f t="shared" si="3"/>
        <v>0</v>
      </c>
      <c r="G139" s="443" t="s">
        <v>291</v>
      </c>
      <c r="H139" s="444"/>
      <c r="I139" s="444"/>
      <c r="J139" s="444"/>
      <c r="K139" s="445"/>
    </row>
    <row r="140" spans="2:11" s="357" customFormat="1" ht="18" customHeight="1" x14ac:dyDescent="0.4">
      <c r="B140" s="322"/>
      <c r="C140" s="402"/>
      <c r="D140" s="446" t="s">
        <v>58</v>
      </c>
      <c r="E140" s="288">
        <v>1.9500000000000002</v>
      </c>
      <c r="F140" s="278">
        <f t="shared" si="3"/>
        <v>0</v>
      </c>
      <c r="G140" s="447"/>
      <c r="H140" s="448"/>
      <c r="I140" s="448"/>
      <c r="J140" s="448"/>
      <c r="K140" s="449"/>
    </row>
    <row r="141" spans="2:11" s="357" customFormat="1" ht="18" customHeight="1" x14ac:dyDescent="0.4">
      <c r="B141" s="322"/>
      <c r="C141" s="402"/>
      <c r="D141" s="446" t="s">
        <v>15</v>
      </c>
      <c r="E141" s="279">
        <v>1.3</v>
      </c>
      <c r="F141" s="278">
        <f t="shared" si="3"/>
        <v>0</v>
      </c>
      <c r="G141" s="447"/>
      <c r="H141" s="448"/>
      <c r="I141" s="448"/>
      <c r="J141" s="448"/>
      <c r="K141" s="449"/>
    </row>
    <row r="142" spans="2:11" s="357" customFormat="1" ht="18" customHeight="1" x14ac:dyDescent="0.4">
      <c r="B142" s="322"/>
      <c r="C142" s="402"/>
      <c r="D142" s="446" t="s">
        <v>17</v>
      </c>
      <c r="E142" s="279">
        <v>1.3</v>
      </c>
      <c r="F142" s="278">
        <f t="shared" si="3"/>
        <v>0</v>
      </c>
      <c r="G142" s="447"/>
      <c r="H142" s="448"/>
      <c r="I142" s="448"/>
      <c r="J142" s="448"/>
      <c r="K142" s="449"/>
    </row>
    <row r="143" spans="2:11" s="357" customFormat="1" ht="18" customHeight="1" x14ac:dyDescent="0.4">
      <c r="B143" s="322"/>
      <c r="C143" s="402"/>
      <c r="D143" s="446" t="s">
        <v>27</v>
      </c>
      <c r="E143" s="279">
        <v>3.25</v>
      </c>
      <c r="F143" s="278">
        <f t="shared" si="3"/>
        <v>0</v>
      </c>
      <c r="G143" s="447"/>
      <c r="H143" s="448"/>
      <c r="I143" s="448"/>
      <c r="J143" s="448"/>
      <c r="K143" s="449"/>
    </row>
    <row r="144" spans="2:11" s="357" customFormat="1" ht="18" customHeight="1" x14ac:dyDescent="0.4">
      <c r="B144" s="322"/>
      <c r="C144" s="402"/>
      <c r="D144" s="446" t="s">
        <v>14</v>
      </c>
      <c r="E144" s="279">
        <v>3.25</v>
      </c>
      <c r="F144" s="278">
        <f t="shared" si="3"/>
        <v>0</v>
      </c>
      <c r="G144" s="447"/>
      <c r="H144" s="448"/>
      <c r="I144" s="448"/>
      <c r="J144" s="448"/>
      <c r="K144" s="449"/>
    </row>
    <row r="145" spans="1:11" s="357" customFormat="1" ht="18" customHeight="1" x14ac:dyDescent="0.4">
      <c r="B145" s="322"/>
      <c r="C145" s="402"/>
      <c r="D145" s="281" t="s">
        <v>22</v>
      </c>
      <c r="E145" s="279">
        <v>3.25</v>
      </c>
      <c r="F145" s="278">
        <f t="shared" si="3"/>
        <v>0</v>
      </c>
      <c r="G145" s="447"/>
      <c r="H145" s="448"/>
      <c r="I145" s="448"/>
      <c r="J145" s="448"/>
      <c r="K145" s="449"/>
    </row>
    <row r="146" spans="1:11" s="357" customFormat="1" ht="18" customHeight="1" x14ac:dyDescent="0.4">
      <c r="B146" s="322"/>
      <c r="C146" s="402"/>
      <c r="D146" s="446" t="s">
        <v>158</v>
      </c>
      <c r="E146" s="279">
        <v>0.65</v>
      </c>
      <c r="F146" s="278">
        <f t="shared" si="3"/>
        <v>0</v>
      </c>
      <c r="G146" s="447"/>
      <c r="H146" s="448"/>
      <c r="I146" s="448"/>
      <c r="J146" s="448"/>
      <c r="K146" s="449"/>
    </row>
    <row r="147" spans="1:11" ht="18" customHeight="1" x14ac:dyDescent="0.4">
      <c r="B147" s="322"/>
      <c r="C147" s="402"/>
      <c r="D147" s="446" t="s">
        <v>126</v>
      </c>
      <c r="E147" s="279">
        <v>0.32500000000000001</v>
      </c>
      <c r="F147" s="278">
        <f t="shared" si="3"/>
        <v>0</v>
      </c>
      <c r="G147" s="447"/>
      <c r="H147" s="448"/>
      <c r="I147" s="448"/>
      <c r="J147" s="448"/>
      <c r="K147" s="449"/>
    </row>
    <row r="148" spans="1:11" ht="18" customHeight="1" x14ac:dyDescent="0.4">
      <c r="B148" s="322"/>
      <c r="C148" s="402"/>
      <c r="D148" s="281" t="s">
        <v>159</v>
      </c>
      <c r="E148" s="279">
        <v>0.65</v>
      </c>
      <c r="F148" s="278">
        <f t="shared" si="3"/>
        <v>0</v>
      </c>
      <c r="G148" s="447"/>
      <c r="H148" s="448"/>
      <c r="I148" s="448"/>
      <c r="J148" s="448"/>
      <c r="K148" s="449"/>
    </row>
    <row r="149" spans="1:11" ht="18" customHeight="1" thickBot="1" x14ac:dyDescent="0.45">
      <c r="B149" s="323"/>
      <c r="C149" s="450"/>
      <c r="D149" s="451" t="s">
        <v>132</v>
      </c>
      <c r="E149" s="452">
        <v>1.3</v>
      </c>
      <c r="F149" s="375">
        <f t="shared" si="3"/>
        <v>0</v>
      </c>
      <c r="G149" s="453"/>
      <c r="H149" s="454"/>
      <c r="I149" s="454"/>
      <c r="J149" s="454"/>
      <c r="K149" s="455"/>
    </row>
    <row r="150" spans="1:11" ht="80.099999999999994" customHeight="1" thickTop="1" x14ac:dyDescent="0.4">
      <c r="B150" s="456"/>
      <c r="C150" s="456"/>
      <c r="D150" s="456"/>
      <c r="E150" s="456"/>
      <c r="F150" s="456"/>
      <c r="G150" s="456"/>
      <c r="H150" s="456"/>
      <c r="I150" s="456"/>
      <c r="J150" s="456"/>
      <c r="K150" s="456"/>
    </row>
    <row r="151" spans="1:11" ht="18" thickBot="1" x14ac:dyDescent="0.45"/>
    <row r="152" spans="1:11" ht="21" customHeight="1" thickTop="1" x14ac:dyDescent="0.4">
      <c r="B152" s="269" t="s">
        <v>292</v>
      </c>
      <c r="C152" s="270"/>
      <c r="D152" s="270"/>
      <c r="E152" s="270"/>
      <c r="F152" s="270"/>
      <c r="G152" s="270"/>
      <c r="H152" s="270"/>
      <c r="I152" s="270"/>
      <c r="J152" s="270"/>
      <c r="K152" s="271"/>
    </row>
    <row r="153" spans="1:11" ht="18" customHeight="1" x14ac:dyDescent="0.4">
      <c r="B153" s="272" t="s">
        <v>2</v>
      </c>
      <c r="C153" s="273" t="s">
        <v>3</v>
      </c>
      <c r="D153" s="273" t="s">
        <v>4</v>
      </c>
      <c r="E153" s="274" t="s">
        <v>5</v>
      </c>
      <c r="F153" s="274" t="s">
        <v>6</v>
      </c>
      <c r="G153" s="273" t="s">
        <v>7</v>
      </c>
      <c r="H153" s="273"/>
      <c r="I153" s="273"/>
      <c r="J153" s="273"/>
      <c r="K153" s="275"/>
    </row>
    <row r="154" spans="1:11" ht="18" customHeight="1" x14ac:dyDescent="0.4">
      <c r="B154" s="272"/>
      <c r="C154" s="273"/>
      <c r="D154" s="273"/>
      <c r="E154" s="274" t="s">
        <v>1</v>
      </c>
      <c r="F154" s="276" t="s">
        <v>1</v>
      </c>
      <c r="G154" s="273"/>
      <c r="H154" s="273"/>
      <c r="I154" s="273"/>
      <c r="J154" s="273"/>
      <c r="K154" s="275"/>
    </row>
    <row r="155" spans="1:11" ht="18" customHeight="1" x14ac:dyDescent="0.4">
      <c r="B155" s="393" t="s">
        <v>8</v>
      </c>
      <c r="C155" s="457" t="s">
        <v>293</v>
      </c>
      <c r="D155" s="278" t="s">
        <v>293</v>
      </c>
      <c r="E155" s="279">
        <v>32.5</v>
      </c>
      <c r="F155" s="278">
        <f t="shared" ref="F155:F183" si="4">E155*E$2</f>
        <v>0</v>
      </c>
      <c r="G155" s="458" t="s">
        <v>294</v>
      </c>
      <c r="H155" s="458"/>
      <c r="I155" s="458"/>
      <c r="J155" s="458"/>
      <c r="K155" s="459"/>
    </row>
    <row r="156" spans="1:11" s="263" customFormat="1" ht="18" customHeight="1" x14ac:dyDescent="0.4">
      <c r="B156" s="397" t="s">
        <v>10</v>
      </c>
      <c r="C156" s="402" t="s">
        <v>150</v>
      </c>
      <c r="D156" s="281" t="s">
        <v>122</v>
      </c>
      <c r="E156" s="279">
        <v>32.5</v>
      </c>
      <c r="F156" s="347">
        <f t="shared" si="4"/>
        <v>0</v>
      </c>
      <c r="G156" s="151" t="s">
        <v>12</v>
      </c>
      <c r="H156" s="152"/>
      <c r="I156" s="152"/>
      <c r="J156" s="152"/>
      <c r="K156" s="153"/>
    </row>
    <row r="157" spans="1:11" s="263" customFormat="1" ht="18" customHeight="1" x14ac:dyDescent="0.4">
      <c r="B157" s="337"/>
      <c r="C157" s="338"/>
      <c r="D157" s="281" t="s">
        <v>151</v>
      </c>
      <c r="E157" s="279">
        <v>1.625</v>
      </c>
      <c r="F157" s="278">
        <f t="shared" si="4"/>
        <v>0</v>
      </c>
      <c r="G157" s="157"/>
      <c r="H157" s="158"/>
      <c r="I157" s="158"/>
      <c r="J157" s="158"/>
      <c r="K157" s="159"/>
    </row>
    <row r="158" spans="1:11" ht="18" customHeight="1" x14ac:dyDescent="0.4">
      <c r="A158" s="262" t="s">
        <v>295</v>
      </c>
      <c r="B158" s="337"/>
      <c r="C158" s="345" t="s">
        <v>296</v>
      </c>
      <c r="D158" s="287" t="s">
        <v>68</v>
      </c>
      <c r="E158" s="300">
        <v>13</v>
      </c>
      <c r="F158" s="278">
        <f t="shared" si="4"/>
        <v>0</v>
      </c>
      <c r="G158" s="220" t="s">
        <v>297</v>
      </c>
      <c r="H158" s="221"/>
      <c r="I158" s="221"/>
      <c r="J158" s="221"/>
      <c r="K158" s="222"/>
    </row>
    <row r="159" spans="1:11" ht="18" customHeight="1" x14ac:dyDescent="0.4">
      <c r="B159" s="337"/>
      <c r="C159" s="346"/>
      <c r="D159" s="287" t="s">
        <v>14</v>
      </c>
      <c r="E159" s="282">
        <v>6.5</v>
      </c>
      <c r="F159" s="278">
        <f t="shared" si="4"/>
        <v>0</v>
      </c>
      <c r="G159" s="223"/>
      <c r="H159" s="224"/>
      <c r="I159" s="224"/>
      <c r="J159" s="224"/>
      <c r="K159" s="225"/>
    </row>
    <row r="160" spans="1:11" ht="18" customHeight="1" x14ac:dyDescent="0.4">
      <c r="B160" s="337"/>
      <c r="C160" s="346"/>
      <c r="D160" s="287" t="s">
        <v>20</v>
      </c>
      <c r="E160" s="282">
        <v>1.3</v>
      </c>
      <c r="F160" s="278">
        <f t="shared" si="4"/>
        <v>0</v>
      </c>
      <c r="G160" s="223"/>
      <c r="H160" s="224"/>
      <c r="I160" s="224"/>
      <c r="J160" s="224"/>
      <c r="K160" s="225"/>
    </row>
    <row r="161" spans="2:11" ht="18" customHeight="1" x14ac:dyDescent="0.4">
      <c r="B161" s="337"/>
      <c r="C161" s="346"/>
      <c r="D161" s="287" t="s">
        <v>126</v>
      </c>
      <c r="E161" s="282">
        <v>0.32500000000000001</v>
      </c>
      <c r="F161" s="278">
        <f t="shared" si="4"/>
        <v>0</v>
      </c>
      <c r="G161" s="223"/>
      <c r="H161" s="224"/>
      <c r="I161" s="224"/>
      <c r="J161" s="224"/>
      <c r="K161" s="225"/>
    </row>
    <row r="162" spans="2:11" ht="18" customHeight="1" x14ac:dyDescent="0.4">
      <c r="B162" s="337"/>
      <c r="C162" s="346"/>
      <c r="D162" s="287" t="s">
        <v>132</v>
      </c>
      <c r="E162" s="282">
        <v>0.32500000000000001</v>
      </c>
      <c r="F162" s="278">
        <f t="shared" si="4"/>
        <v>0</v>
      </c>
      <c r="G162" s="223"/>
      <c r="H162" s="224"/>
      <c r="I162" s="224"/>
      <c r="J162" s="224"/>
      <c r="K162" s="225"/>
    </row>
    <row r="163" spans="2:11" ht="18" customHeight="1" x14ac:dyDescent="0.4">
      <c r="B163" s="337"/>
      <c r="C163" s="346"/>
      <c r="D163" s="287" t="s">
        <v>159</v>
      </c>
      <c r="E163" s="282">
        <v>0.32500000000000001</v>
      </c>
      <c r="F163" s="278">
        <f t="shared" si="4"/>
        <v>0</v>
      </c>
      <c r="G163" s="223"/>
      <c r="H163" s="224"/>
      <c r="I163" s="224"/>
      <c r="J163" s="224"/>
      <c r="K163" s="225"/>
    </row>
    <row r="164" spans="2:11" ht="18" customHeight="1" x14ac:dyDescent="0.4">
      <c r="B164" s="337"/>
      <c r="C164" s="346"/>
      <c r="D164" s="287" t="s">
        <v>178</v>
      </c>
      <c r="E164" s="282">
        <v>1.3</v>
      </c>
      <c r="F164" s="278">
        <f t="shared" si="4"/>
        <v>0</v>
      </c>
      <c r="G164" s="223"/>
      <c r="H164" s="224"/>
      <c r="I164" s="224"/>
      <c r="J164" s="224"/>
      <c r="K164" s="225"/>
    </row>
    <row r="165" spans="2:11" ht="18" customHeight="1" x14ac:dyDescent="0.4">
      <c r="B165" s="337"/>
      <c r="C165" s="460"/>
      <c r="D165" s="287" t="s">
        <v>179</v>
      </c>
      <c r="E165" s="282">
        <v>1.3</v>
      </c>
      <c r="F165" s="278">
        <f t="shared" si="4"/>
        <v>0</v>
      </c>
      <c r="G165" s="412"/>
      <c r="H165" s="413"/>
      <c r="I165" s="413"/>
      <c r="J165" s="413"/>
      <c r="K165" s="414"/>
    </row>
    <row r="166" spans="2:11" ht="18" customHeight="1" x14ac:dyDescent="0.4">
      <c r="B166" s="337"/>
      <c r="C166" s="432" t="s">
        <v>298</v>
      </c>
      <c r="D166" s="281" t="s">
        <v>206</v>
      </c>
      <c r="E166" s="279">
        <v>19.5</v>
      </c>
      <c r="F166" s="278">
        <f t="shared" si="4"/>
        <v>0</v>
      </c>
      <c r="G166" s="220" t="s">
        <v>299</v>
      </c>
      <c r="H166" s="221"/>
      <c r="I166" s="221"/>
      <c r="J166" s="221"/>
      <c r="K166" s="222"/>
    </row>
    <row r="167" spans="2:11" ht="18" customHeight="1" x14ac:dyDescent="0.4">
      <c r="B167" s="337"/>
      <c r="C167" s="436"/>
      <c r="D167" s="281" t="s">
        <v>157</v>
      </c>
      <c r="E167" s="279">
        <v>6.5</v>
      </c>
      <c r="F167" s="278">
        <f t="shared" si="4"/>
        <v>0</v>
      </c>
      <c r="G167" s="223"/>
      <c r="H167" s="224"/>
      <c r="I167" s="224"/>
      <c r="J167" s="224"/>
      <c r="K167" s="225"/>
    </row>
    <row r="168" spans="2:11" ht="18" customHeight="1" x14ac:dyDescent="0.4">
      <c r="B168" s="337"/>
      <c r="C168" s="436"/>
      <c r="D168" s="281" t="s">
        <v>158</v>
      </c>
      <c r="E168" s="279">
        <v>3.25</v>
      </c>
      <c r="F168" s="278">
        <f t="shared" si="4"/>
        <v>0</v>
      </c>
      <c r="G168" s="223"/>
      <c r="H168" s="224"/>
      <c r="I168" s="224"/>
      <c r="J168" s="224"/>
      <c r="K168" s="225"/>
    </row>
    <row r="169" spans="2:11" ht="18" customHeight="1" x14ac:dyDescent="0.4">
      <c r="B169" s="337"/>
      <c r="C169" s="436"/>
      <c r="D169" s="281" t="s">
        <v>132</v>
      </c>
      <c r="E169" s="288">
        <v>1.9500000000000002</v>
      </c>
      <c r="F169" s="278">
        <f t="shared" si="4"/>
        <v>0</v>
      </c>
      <c r="G169" s="223"/>
      <c r="H169" s="224"/>
      <c r="I169" s="224"/>
      <c r="J169" s="224"/>
      <c r="K169" s="225"/>
    </row>
    <row r="170" spans="2:11" ht="18" customHeight="1" x14ac:dyDescent="0.4">
      <c r="B170" s="337"/>
      <c r="C170" s="436"/>
      <c r="D170" s="281" t="s">
        <v>126</v>
      </c>
      <c r="E170" s="279">
        <v>0.65</v>
      </c>
      <c r="F170" s="278">
        <f t="shared" si="4"/>
        <v>0</v>
      </c>
      <c r="G170" s="223"/>
      <c r="H170" s="224"/>
      <c r="I170" s="224"/>
      <c r="J170" s="224"/>
      <c r="K170" s="225"/>
    </row>
    <row r="171" spans="2:11" ht="18" customHeight="1" x14ac:dyDescent="0.4">
      <c r="B171" s="337"/>
      <c r="C171" s="436"/>
      <c r="D171" s="281" t="s">
        <v>186</v>
      </c>
      <c r="E171" s="279">
        <v>0.32500000000000001</v>
      </c>
      <c r="F171" s="278">
        <f t="shared" si="4"/>
        <v>0</v>
      </c>
      <c r="G171" s="223"/>
      <c r="H171" s="224"/>
      <c r="I171" s="224"/>
      <c r="J171" s="224"/>
      <c r="K171" s="225"/>
    </row>
    <row r="172" spans="2:11" ht="18" customHeight="1" x14ac:dyDescent="0.4">
      <c r="B172" s="337"/>
      <c r="C172" s="436"/>
      <c r="D172" s="281" t="s">
        <v>160</v>
      </c>
      <c r="E172" s="308">
        <v>6.5000000000000002E-2</v>
      </c>
      <c r="F172" s="278">
        <f t="shared" si="4"/>
        <v>0</v>
      </c>
      <c r="G172" s="223"/>
      <c r="H172" s="224"/>
      <c r="I172" s="224"/>
      <c r="J172" s="224"/>
      <c r="K172" s="225"/>
    </row>
    <row r="173" spans="2:11" ht="18" customHeight="1" x14ac:dyDescent="0.4">
      <c r="B173" s="337"/>
      <c r="C173" s="436"/>
      <c r="D173" s="281" t="s">
        <v>161</v>
      </c>
      <c r="E173" s="308">
        <v>1.3</v>
      </c>
      <c r="F173" s="278">
        <f t="shared" si="4"/>
        <v>0</v>
      </c>
      <c r="G173" s="412"/>
      <c r="H173" s="413"/>
      <c r="I173" s="413"/>
      <c r="J173" s="413"/>
      <c r="K173" s="414"/>
    </row>
    <row r="174" spans="2:11" ht="18" customHeight="1" x14ac:dyDescent="0.4">
      <c r="B174" s="337"/>
      <c r="C174" s="345" t="s">
        <v>300</v>
      </c>
      <c r="D174" s="281" t="s">
        <v>59</v>
      </c>
      <c r="E174" s="308">
        <v>19.5</v>
      </c>
      <c r="F174" s="278">
        <f t="shared" si="4"/>
        <v>0</v>
      </c>
      <c r="G174" s="461" t="s">
        <v>301</v>
      </c>
      <c r="H174" s="462"/>
      <c r="I174" s="462"/>
      <c r="J174" s="462"/>
      <c r="K174" s="463"/>
    </row>
    <row r="175" spans="2:11" ht="18" customHeight="1" x14ac:dyDescent="0.4">
      <c r="B175" s="337"/>
      <c r="C175" s="346"/>
      <c r="D175" s="281" t="s">
        <v>28</v>
      </c>
      <c r="E175" s="308">
        <v>1.3</v>
      </c>
      <c r="F175" s="278">
        <f t="shared" si="4"/>
        <v>0</v>
      </c>
      <c r="G175" s="464"/>
      <c r="H175" s="465"/>
      <c r="I175" s="465"/>
      <c r="J175" s="465"/>
      <c r="K175" s="466"/>
    </row>
    <row r="176" spans="2:11" ht="18" customHeight="1" x14ac:dyDescent="0.4">
      <c r="B176" s="337"/>
      <c r="C176" s="346"/>
      <c r="D176" s="281" t="s">
        <v>35</v>
      </c>
      <c r="E176" s="308">
        <v>0.65</v>
      </c>
      <c r="F176" s="278">
        <f t="shared" si="4"/>
        <v>0</v>
      </c>
      <c r="G176" s="464"/>
      <c r="H176" s="465"/>
      <c r="I176" s="465"/>
      <c r="J176" s="465"/>
      <c r="K176" s="466"/>
    </row>
    <row r="177" spans="2:11" ht="18" customHeight="1" x14ac:dyDescent="0.4">
      <c r="B177" s="337"/>
      <c r="C177" s="346"/>
      <c r="D177" s="281" t="s">
        <v>91</v>
      </c>
      <c r="E177" s="308">
        <v>0.65</v>
      </c>
      <c r="F177" s="278">
        <f t="shared" si="4"/>
        <v>0</v>
      </c>
      <c r="G177" s="464"/>
      <c r="H177" s="465"/>
      <c r="I177" s="465"/>
      <c r="J177" s="465"/>
      <c r="K177" s="466"/>
    </row>
    <row r="178" spans="2:11" ht="18" customHeight="1" x14ac:dyDescent="0.4">
      <c r="B178" s="337"/>
      <c r="C178" s="346"/>
      <c r="D178" s="281" t="s">
        <v>19</v>
      </c>
      <c r="E178" s="308">
        <v>0.32500000000000001</v>
      </c>
      <c r="F178" s="278">
        <f t="shared" si="4"/>
        <v>0</v>
      </c>
      <c r="G178" s="464"/>
      <c r="H178" s="465"/>
      <c r="I178" s="465"/>
      <c r="J178" s="465"/>
      <c r="K178" s="466"/>
    </row>
    <row r="179" spans="2:11" ht="18" customHeight="1" x14ac:dyDescent="0.4">
      <c r="B179" s="337"/>
      <c r="C179" s="346"/>
      <c r="D179" s="281" t="s">
        <v>29</v>
      </c>
      <c r="E179" s="308">
        <v>0.13</v>
      </c>
      <c r="F179" s="278">
        <f t="shared" si="4"/>
        <v>0</v>
      </c>
      <c r="G179" s="464"/>
      <c r="H179" s="465"/>
      <c r="I179" s="465"/>
      <c r="J179" s="465"/>
      <c r="K179" s="466"/>
    </row>
    <row r="180" spans="2:11" ht="18" customHeight="1" x14ac:dyDescent="0.4">
      <c r="B180" s="442"/>
      <c r="C180" s="317" t="s">
        <v>134</v>
      </c>
      <c r="D180" s="369" t="s">
        <v>135</v>
      </c>
      <c r="E180" s="278">
        <v>13</v>
      </c>
      <c r="F180" s="334">
        <f t="shared" si="4"/>
        <v>0</v>
      </c>
      <c r="G180" s="187" t="s">
        <v>32</v>
      </c>
      <c r="H180" s="188"/>
      <c r="I180" s="188"/>
      <c r="J180" s="188"/>
      <c r="K180" s="189"/>
    </row>
    <row r="181" spans="2:11" ht="36.75" customHeight="1" x14ac:dyDescent="0.4">
      <c r="B181" s="467" t="s">
        <v>137</v>
      </c>
      <c r="C181" s="278" t="s">
        <v>302</v>
      </c>
      <c r="D181" s="278" t="s">
        <v>102</v>
      </c>
      <c r="E181" s="288">
        <v>56</v>
      </c>
      <c r="F181" s="278">
        <f t="shared" si="4"/>
        <v>0</v>
      </c>
      <c r="G181" s="468" t="s">
        <v>303</v>
      </c>
      <c r="H181" s="216"/>
      <c r="I181" s="216"/>
      <c r="J181" s="216"/>
      <c r="K181" s="217"/>
    </row>
    <row r="182" spans="2:11" ht="18" customHeight="1" x14ac:dyDescent="0.4">
      <c r="B182" s="318"/>
      <c r="C182" s="469" t="s">
        <v>304</v>
      </c>
      <c r="D182" s="281" t="s">
        <v>63</v>
      </c>
      <c r="E182" s="278">
        <v>56</v>
      </c>
      <c r="F182" s="278">
        <f t="shared" si="4"/>
        <v>0</v>
      </c>
      <c r="G182" s="470" t="s">
        <v>305</v>
      </c>
      <c r="H182" s="470"/>
      <c r="I182" s="470"/>
      <c r="J182" s="470"/>
      <c r="K182" s="471"/>
    </row>
    <row r="183" spans="2:11" ht="18" customHeight="1" thickBot="1" x14ac:dyDescent="0.45">
      <c r="B183" s="472"/>
      <c r="C183" s="473" t="s">
        <v>306</v>
      </c>
      <c r="D183" s="451" t="s">
        <v>307</v>
      </c>
      <c r="E183" s="474">
        <v>65</v>
      </c>
      <c r="F183" s="375">
        <f t="shared" si="4"/>
        <v>0</v>
      </c>
      <c r="G183" s="475"/>
      <c r="H183" s="476"/>
      <c r="I183" s="476"/>
      <c r="J183" s="476"/>
      <c r="K183" s="477"/>
    </row>
    <row r="184" spans="2:11" ht="80.099999999999994" customHeight="1" thickTop="1" x14ac:dyDescent="0.4">
      <c r="B184" s="90"/>
      <c r="C184" s="90"/>
      <c r="D184" s="90"/>
      <c r="E184" s="90"/>
      <c r="F184" s="90"/>
      <c r="G184" s="90"/>
      <c r="H184" s="90"/>
      <c r="I184" s="90"/>
      <c r="J184" s="90"/>
      <c r="K184" s="90"/>
    </row>
    <row r="185" spans="2:11" ht="18" thickBot="1" x14ac:dyDescent="0.45"/>
    <row r="186" spans="2:11" ht="21" customHeight="1" thickTop="1" x14ac:dyDescent="0.4">
      <c r="B186" s="384" t="s">
        <v>308</v>
      </c>
      <c r="C186" s="385"/>
      <c r="D186" s="385"/>
      <c r="E186" s="385"/>
      <c r="F186" s="385"/>
      <c r="G186" s="385"/>
      <c r="H186" s="385"/>
      <c r="I186" s="385"/>
      <c r="J186" s="385"/>
      <c r="K186" s="386"/>
    </row>
    <row r="187" spans="2:11" ht="18" customHeight="1" x14ac:dyDescent="0.4">
      <c r="B187" s="478" t="s">
        <v>2</v>
      </c>
      <c r="C187" s="479" t="s">
        <v>3</v>
      </c>
      <c r="D187" s="479" t="s">
        <v>4</v>
      </c>
      <c r="E187" s="480" t="s">
        <v>5</v>
      </c>
      <c r="F187" s="480" t="s">
        <v>6</v>
      </c>
      <c r="G187" s="387" t="s">
        <v>7</v>
      </c>
      <c r="H187" s="388"/>
      <c r="I187" s="388"/>
      <c r="J187" s="388"/>
      <c r="K187" s="389"/>
    </row>
    <row r="188" spans="2:11" ht="18" customHeight="1" x14ac:dyDescent="0.4">
      <c r="B188" s="481"/>
      <c r="C188" s="482"/>
      <c r="D188" s="482"/>
      <c r="E188" s="274" t="s">
        <v>1</v>
      </c>
      <c r="F188" s="483" t="s">
        <v>1</v>
      </c>
      <c r="G188" s="390"/>
      <c r="H188" s="391"/>
      <c r="I188" s="391"/>
      <c r="J188" s="391"/>
      <c r="K188" s="392"/>
    </row>
    <row r="189" spans="2:11" ht="18" customHeight="1" x14ac:dyDescent="0.4">
      <c r="B189" s="277" t="s">
        <v>8</v>
      </c>
      <c r="C189" s="484" t="s">
        <v>148</v>
      </c>
      <c r="D189" s="446" t="s">
        <v>189</v>
      </c>
      <c r="E189" s="288">
        <v>200</v>
      </c>
      <c r="F189" s="278">
        <f t="shared" ref="F189:F207" si="5">E189*E$2</f>
        <v>0</v>
      </c>
      <c r="G189" s="485"/>
      <c r="H189" s="486"/>
      <c r="I189" s="486"/>
      <c r="J189" s="486"/>
      <c r="K189" s="487"/>
    </row>
    <row r="190" spans="2:11" ht="18" customHeight="1" x14ac:dyDescent="0.4">
      <c r="B190" s="280" t="s">
        <v>10</v>
      </c>
      <c r="C190" s="342" t="s">
        <v>309</v>
      </c>
      <c r="D190" s="281" t="s">
        <v>11</v>
      </c>
      <c r="E190" s="279">
        <v>32.5</v>
      </c>
      <c r="F190" s="278">
        <f t="shared" si="5"/>
        <v>0</v>
      </c>
      <c r="G190" s="488" t="s">
        <v>310</v>
      </c>
      <c r="H190" s="489"/>
      <c r="I190" s="489"/>
      <c r="J190" s="489"/>
      <c r="K190" s="490"/>
    </row>
    <row r="191" spans="2:11" ht="18" customHeight="1" x14ac:dyDescent="0.4">
      <c r="B191" s="280"/>
      <c r="C191" s="342"/>
      <c r="D191" s="281" t="s">
        <v>128</v>
      </c>
      <c r="E191" s="288">
        <v>13</v>
      </c>
      <c r="F191" s="278">
        <f t="shared" si="5"/>
        <v>0</v>
      </c>
      <c r="G191" s="491"/>
      <c r="H191" s="492"/>
      <c r="I191" s="492"/>
      <c r="J191" s="492"/>
      <c r="K191" s="493"/>
    </row>
    <row r="192" spans="2:11" ht="18" customHeight="1" x14ac:dyDescent="0.4">
      <c r="B192" s="280"/>
      <c r="C192" s="342"/>
      <c r="D192" s="281" t="s">
        <v>311</v>
      </c>
      <c r="E192" s="279">
        <v>3.25</v>
      </c>
      <c r="F192" s="278">
        <f t="shared" si="5"/>
        <v>0</v>
      </c>
      <c r="G192" s="491"/>
      <c r="H192" s="492"/>
      <c r="I192" s="492"/>
      <c r="J192" s="492"/>
      <c r="K192" s="493"/>
    </row>
    <row r="193" spans="2:11" ht="18" customHeight="1" x14ac:dyDescent="0.4">
      <c r="B193" s="280"/>
      <c r="C193" s="342"/>
      <c r="D193" s="281" t="s">
        <v>157</v>
      </c>
      <c r="E193" s="279">
        <v>3.25</v>
      </c>
      <c r="F193" s="278">
        <f t="shared" si="5"/>
        <v>0</v>
      </c>
      <c r="G193" s="491"/>
      <c r="H193" s="492"/>
      <c r="I193" s="492"/>
      <c r="J193" s="492"/>
      <c r="K193" s="493"/>
    </row>
    <row r="194" spans="2:11" ht="18" customHeight="1" x14ac:dyDescent="0.4">
      <c r="B194" s="280"/>
      <c r="C194" s="342"/>
      <c r="D194" s="281" t="s">
        <v>132</v>
      </c>
      <c r="E194" s="279">
        <v>3.25</v>
      </c>
      <c r="F194" s="278">
        <f t="shared" si="5"/>
        <v>0</v>
      </c>
      <c r="G194" s="491"/>
      <c r="H194" s="492"/>
      <c r="I194" s="492"/>
      <c r="J194" s="492"/>
      <c r="K194" s="493"/>
    </row>
    <row r="195" spans="2:11" ht="18" customHeight="1" x14ac:dyDescent="0.4">
      <c r="B195" s="280"/>
      <c r="C195" s="342"/>
      <c r="D195" s="281" t="s">
        <v>126</v>
      </c>
      <c r="E195" s="279">
        <v>0.65</v>
      </c>
      <c r="F195" s="278">
        <f t="shared" si="5"/>
        <v>0</v>
      </c>
      <c r="G195" s="491"/>
      <c r="H195" s="492"/>
      <c r="I195" s="492"/>
      <c r="J195" s="492"/>
      <c r="K195" s="493"/>
    </row>
    <row r="196" spans="2:11" ht="18" customHeight="1" x14ac:dyDescent="0.4">
      <c r="B196" s="280"/>
      <c r="C196" s="342"/>
      <c r="D196" s="281" t="s">
        <v>166</v>
      </c>
      <c r="E196" s="279">
        <v>1.3</v>
      </c>
      <c r="F196" s="278">
        <f t="shared" si="5"/>
        <v>0</v>
      </c>
      <c r="G196" s="491"/>
      <c r="H196" s="492"/>
      <c r="I196" s="492"/>
      <c r="J196" s="492"/>
      <c r="K196" s="493"/>
    </row>
    <row r="197" spans="2:11" ht="18" customHeight="1" x14ac:dyDescent="0.4">
      <c r="B197" s="280"/>
      <c r="C197" s="342"/>
      <c r="D197" s="281" t="s">
        <v>186</v>
      </c>
      <c r="E197" s="279">
        <v>0.65</v>
      </c>
      <c r="F197" s="278">
        <f t="shared" si="5"/>
        <v>0</v>
      </c>
      <c r="G197" s="491"/>
      <c r="H197" s="492"/>
      <c r="I197" s="492"/>
      <c r="J197" s="492"/>
      <c r="K197" s="493"/>
    </row>
    <row r="198" spans="2:11" ht="18" customHeight="1" x14ac:dyDescent="0.4">
      <c r="B198" s="280"/>
      <c r="C198" s="358" t="s">
        <v>312</v>
      </c>
      <c r="D198" s="494" t="s">
        <v>60</v>
      </c>
      <c r="E198" s="308">
        <v>3.25</v>
      </c>
      <c r="F198" s="278">
        <f t="shared" si="5"/>
        <v>0</v>
      </c>
      <c r="G198" s="343" t="s">
        <v>61</v>
      </c>
      <c r="H198" s="343"/>
      <c r="I198" s="343"/>
      <c r="J198" s="343"/>
      <c r="K198" s="344"/>
    </row>
    <row r="199" spans="2:11" ht="18" customHeight="1" x14ac:dyDescent="0.4">
      <c r="B199" s="280"/>
      <c r="C199" s="362"/>
      <c r="D199" s="494" t="s">
        <v>62</v>
      </c>
      <c r="E199" s="309">
        <v>1.9500000000000002</v>
      </c>
      <c r="F199" s="278">
        <f t="shared" si="5"/>
        <v>0</v>
      </c>
      <c r="G199" s="343"/>
      <c r="H199" s="343"/>
      <c r="I199" s="343"/>
      <c r="J199" s="343"/>
      <c r="K199" s="344"/>
    </row>
    <row r="200" spans="2:11" ht="18" customHeight="1" x14ac:dyDescent="0.4">
      <c r="B200" s="280"/>
      <c r="C200" s="362"/>
      <c r="D200" s="494" t="s">
        <v>16</v>
      </c>
      <c r="E200" s="308">
        <v>0.32500000000000001</v>
      </c>
      <c r="F200" s="278">
        <f t="shared" si="5"/>
        <v>0</v>
      </c>
      <c r="G200" s="343"/>
      <c r="H200" s="343"/>
      <c r="I200" s="343"/>
      <c r="J200" s="343"/>
      <c r="K200" s="344"/>
    </row>
    <row r="201" spans="2:11" ht="18" customHeight="1" x14ac:dyDescent="0.4">
      <c r="B201" s="280"/>
      <c r="C201" s="362"/>
      <c r="D201" s="494" t="s">
        <v>17</v>
      </c>
      <c r="E201" s="308">
        <v>0.65</v>
      </c>
      <c r="F201" s="278">
        <f t="shared" si="5"/>
        <v>0</v>
      </c>
      <c r="G201" s="343"/>
      <c r="H201" s="343"/>
      <c r="I201" s="343"/>
      <c r="J201" s="343"/>
      <c r="K201" s="344"/>
    </row>
    <row r="202" spans="2:11" ht="18" customHeight="1" x14ac:dyDescent="0.4">
      <c r="B202" s="280"/>
      <c r="C202" s="428"/>
      <c r="D202" s="494" t="s">
        <v>15</v>
      </c>
      <c r="E202" s="308">
        <v>0.65</v>
      </c>
      <c r="F202" s="278">
        <f t="shared" si="5"/>
        <v>0</v>
      </c>
      <c r="G202" s="343"/>
      <c r="H202" s="343"/>
      <c r="I202" s="343"/>
      <c r="J202" s="343"/>
      <c r="K202" s="344"/>
    </row>
    <row r="203" spans="2:11" ht="18" customHeight="1" x14ac:dyDescent="0.4">
      <c r="B203" s="280"/>
      <c r="C203" s="345" t="s">
        <v>313</v>
      </c>
      <c r="D203" s="281" t="s">
        <v>104</v>
      </c>
      <c r="E203" s="308">
        <v>22.75</v>
      </c>
      <c r="F203" s="278">
        <f t="shared" si="5"/>
        <v>0</v>
      </c>
      <c r="G203" s="232" t="s">
        <v>314</v>
      </c>
      <c r="H203" s="233"/>
      <c r="I203" s="233"/>
      <c r="J203" s="233"/>
      <c r="K203" s="234"/>
    </row>
    <row r="204" spans="2:11" ht="18" customHeight="1" x14ac:dyDescent="0.4">
      <c r="B204" s="280"/>
      <c r="C204" s="346"/>
      <c r="D204" s="281" t="s">
        <v>18</v>
      </c>
      <c r="E204" s="308">
        <v>3.25</v>
      </c>
      <c r="F204" s="278">
        <f t="shared" si="5"/>
        <v>0</v>
      </c>
      <c r="G204" s="236"/>
      <c r="H204" s="237"/>
      <c r="I204" s="237"/>
      <c r="J204" s="237"/>
      <c r="K204" s="238"/>
    </row>
    <row r="205" spans="2:11" ht="18" customHeight="1" x14ac:dyDescent="0.4">
      <c r="B205" s="280"/>
      <c r="C205" s="346"/>
      <c r="D205" s="281" t="s">
        <v>126</v>
      </c>
      <c r="E205" s="308">
        <v>0.65</v>
      </c>
      <c r="F205" s="278">
        <f t="shared" si="5"/>
        <v>0</v>
      </c>
      <c r="G205" s="236"/>
      <c r="H205" s="237"/>
      <c r="I205" s="237"/>
      <c r="J205" s="237"/>
      <c r="K205" s="238"/>
    </row>
    <row r="206" spans="2:11" ht="18" customHeight="1" x14ac:dyDescent="0.4">
      <c r="B206" s="280"/>
      <c r="C206" s="346"/>
      <c r="D206" s="446" t="s">
        <v>35</v>
      </c>
      <c r="E206" s="309">
        <v>1.9500000000000002</v>
      </c>
      <c r="F206" s="334">
        <f t="shared" si="5"/>
        <v>0</v>
      </c>
      <c r="G206" s="429"/>
      <c r="H206" s="430"/>
      <c r="I206" s="430"/>
      <c r="J206" s="430"/>
      <c r="K206" s="431"/>
    </row>
    <row r="207" spans="2:11" ht="18" customHeight="1" thickBot="1" x14ac:dyDescent="0.45">
      <c r="B207" s="495"/>
      <c r="C207" s="496" t="s">
        <v>134</v>
      </c>
      <c r="D207" s="496" t="s">
        <v>135</v>
      </c>
      <c r="E207" s="375">
        <v>13</v>
      </c>
      <c r="F207" s="375">
        <f t="shared" si="5"/>
        <v>0</v>
      </c>
      <c r="G207" s="497" t="s">
        <v>136</v>
      </c>
      <c r="H207" s="498"/>
      <c r="I207" s="498"/>
      <c r="J207" s="498"/>
      <c r="K207" s="499"/>
    </row>
    <row r="208" spans="2:11" ht="80.099999999999994" customHeight="1" thickTop="1" x14ac:dyDescent="0.4">
      <c r="B208" s="90"/>
      <c r="C208" s="90"/>
      <c r="D208" s="90"/>
      <c r="E208" s="90"/>
      <c r="F208" s="90"/>
      <c r="G208" s="90"/>
      <c r="H208" s="90"/>
      <c r="I208" s="90"/>
      <c r="J208" s="90"/>
      <c r="K208" s="90"/>
    </row>
  </sheetData>
  <mergeCells count="118">
    <mergeCell ref="B208:K208"/>
    <mergeCell ref="B150:K150"/>
    <mergeCell ref="B152:K152"/>
    <mergeCell ref="B153:B154"/>
    <mergeCell ref="D153:D154"/>
    <mergeCell ref="G155:K155"/>
    <mergeCell ref="B156:B180"/>
    <mergeCell ref="C156:C157"/>
    <mergeCell ref="G156:K157"/>
    <mergeCell ref="C158:C165"/>
    <mergeCell ref="G158:K165"/>
    <mergeCell ref="C166:C173"/>
    <mergeCell ref="G166:K173"/>
    <mergeCell ref="C174:C179"/>
    <mergeCell ref="G174:K179"/>
    <mergeCell ref="G180:K180"/>
    <mergeCell ref="C122:C129"/>
    <mergeCell ref="G122:K129"/>
    <mergeCell ref="C130:C132"/>
    <mergeCell ref="G130:K132"/>
    <mergeCell ref="C133:C137"/>
    <mergeCell ref="G133:K137"/>
    <mergeCell ref="G138:K138"/>
    <mergeCell ref="B139:B149"/>
    <mergeCell ref="C139:C149"/>
    <mergeCell ref="G139:K149"/>
    <mergeCell ref="C84:C85"/>
    <mergeCell ref="D84:D85"/>
    <mergeCell ref="G84:K85"/>
    <mergeCell ref="G86:K86"/>
    <mergeCell ref="B87:B104"/>
    <mergeCell ref="C87:C94"/>
    <mergeCell ref="G87:K94"/>
    <mergeCell ref="C95:C99"/>
    <mergeCell ref="G95:K99"/>
    <mergeCell ref="C100:C103"/>
    <mergeCell ref="G100:K103"/>
    <mergeCell ref="G104:K104"/>
    <mergeCell ref="B39:K39"/>
    <mergeCell ref="B44:B51"/>
    <mergeCell ref="C44:C51"/>
    <mergeCell ref="G44:K51"/>
    <mergeCell ref="B52:B78"/>
    <mergeCell ref="C52:C53"/>
    <mergeCell ref="G52:K53"/>
    <mergeCell ref="C54:C61"/>
    <mergeCell ref="G54:K61"/>
    <mergeCell ref="C62:C71"/>
    <mergeCell ref="G62:K71"/>
    <mergeCell ref="C72:C77"/>
    <mergeCell ref="G72:K77"/>
    <mergeCell ref="G78:K78"/>
    <mergeCell ref="F2:K2"/>
    <mergeCell ref="B3:K5"/>
    <mergeCell ref="B10:B33"/>
    <mergeCell ref="G10:K10"/>
    <mergeCell ref="C11:C16"/>
    <mergeCell ref="G11:K16"/>
    <mergeCell ref="C17:C25"/>
    <mergeCell ref="G17:K25"/>
    <mergeCell ref="C26:C32"/>
    <mergeCell ref="G26:K32"/>
    <mergeCell ref="G33:K33"/>
    <mergeCell ref="B6:K6"/>
    <mergeCell ref="B7:B8"/>
    <mergeCell ref="C7:C8"/>
    <mergeCell ref="D7:D8"/>
    <mergeCell ref="G7:K8"/>
    <mergeCell ref="G9:K9"/>
    <mergeCell ref="B34:B38"/>
    <mergeCell ref="C34:C37"/>
    <mergeCell ref="G34:K37"/>
    <mergeCell ref="G38:K38"/>
    <mergeCell ref="B41:K41"/>
    <mergeCell ref="B42:B43"/>
    <mergeCell ref="C42:C43"/>
    <mergeCell ref="D42:D43"/>
    <mergeCell ref="G42:K43"/>
    <mergeCell ref="B79:B80"/>
    <mergeCell ref="G79:K79"/>
    <mergeCell ref="G80:K80"/>
    <mergeCell ref="B81:K81"/>
    <mergeCell ref="B83:K83"/>
    <mergeCell ref="B84:B85"/>
    <mergeCell ref="B105:B113"/>
    <mergeCell ref="C105:C113"/>
    <mergeCell ref="G105:K113"/>
    <mergeCell ref="B114:K114"/>
    <mergeCell ref="B116:K116"/>
    <mergeCell ref="C117:C118"/>
    <mergeCell ref="G117:K118"/>
    <mergeCell ref="B117:B118"/>
    <mergeCell ref="D117:D118"/>
    <mergeCell ref="G119:K119"/>
    <mergeCell ref="B120:B138"/>
    <mergeCell ref="C120:C121"/>
    <mergeCell ref="G120:K121"/>
    <mergeCell ref="C153:C154"/>
    <mergeCell ref="G153:K154"/>
    <mergeCell ref="B181:B183"/>
    <mergeCell ref="G181:K181"/>
    <mergeCell ref="G182:K182"/>
    <mergeCell ref="G183:K183"/>
    <mergeCell ref="B184:K184"/>
    <mergeCell ref="B186:K186"/>
    <mergeCell ref="B187:B188"/>
    <mergeCell ref="C187:C188"/>
    <mergeCell ref="D187:D188"/>
    <mergeCell ref="G187:K188"/>
    <mergeCell ref="G189:K189"/>
    <mergeCell ref="B190:B207"/>
    <mergeCell ref="C190:C197"/>
    <mergeCell ref="G190:K197"/>
    <mergeCell ref="C198:C202"/>
    <mergeCell ref="G198:K202"/>
    <mergeCell ref="C203:C206"/>
    <mergeCell ref="G203:K206"/>
    <mergeCell ref="G207:K207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94"/>
  <sheetViews>
    <sheetView workbookViewId="0">
      <selection activeCell="M25" sqref="M25"/>
    </sheetView>
  </sheetViews>
  <sheetFormatPr defaultColWidth="9" defaultRowHeight="17.399999999999999" x14ac:dyDescent="0.4"/>
  <cols>
    <col min="1" max="1" width="4.8984375" style="262" customWidth="1"/>
    <col min="2" max="2" width="9" style="263"/>
    <col min="3" max="3" width="18.59765625" style="263" customWidth="1"/>
    <col min="4" max="11" width="11.59765625" style="263" customWidth="1"/>
    <col min="12" max="16384" width="9" style="262"/>
  </cols>
  <sheetData>
    <row r="1" spans="2:11" ht="18" thickBot="1" x14ac:dyDescent="0.45"/>
    <row r="2" spans="2:11" ht="18" customHeight="1" thickTop="1" thickBot="1" x14ac:dyDescent="0.45">
      <c r="C2" s="264" t="s">
        <v>0</v>
      </c>
      <c r="D2" s="264" t="s">
        <v>1</v>
      </c>
      <c r="E2" s="265"/>
      <c r="F2" s="266" t="s">
        <v>113</v>
      </c>
      <c r="G2" s="266"/>
      <c r="H2" s="266"/>
      <c r="I2" s="266"/>
      <c r="J2" s="266"/>
      <c r="K2" s="266"/>
    </row>
    <row r="3" spans="2:11" ht="34.5" customHeight="1" thickTop="1" x14ac:dyDescent="0.4">
      <c r="B3" s="267" t="s">
        <v>114</v>
      </c>
      <c r="C3" s="267"/>
      <c r="D3" s="267"/>
      <c r="E3" s="267"/>
      <c r="F3" s="267"/>
      <c r="G3" s="267"/>
      <c r="H3" s="267"/>
      <c r="I3" s="267"/>
      <c r="J3" s="267"/>
      <c r="K3" s="267"/>
    </row>
    <row r="4" spans="2:11" ht="16.5" customHeight="1" x14ac:dyDescent="0.4">
      <c r="B4" s="267"/>
      <c r="C4" s="267"/>
      <c r="D4" s="267"/>
      <c r="E4" s="267"/>
      <c r="F4" s="267"/>
      <c r="G4" s="267"/>
      <c r="H4" s="267"/>
      <c r="I4" s="267"/>
      <c r="J4" s="267"/>
      <c r="K4" s="267"/>
    </row>
    <row r="5" spans="2:11" ht="16.5" customHeight="1" thickBot="1" x14ac:dyDescent="0.45">
      <c r="B5" s="268"/>
      <c r="C5" s="268"/>
      <c r="D5" s="268"/>
      <c r="E5" s="268"/>
      <c r="F5" s="268"/>
      <c r="G5" s="268"/>
      <c r="H5" s="268"/>
      <c r="I5" s="268"/>
      <c r="J5" s="268"/>
      <c r="K5" s="268"/>
    </row>
    <row r="6" spans="2:11" ht="21" customHeight="1" thickTop="1" x14ac:dyDescent="0.4">
      <c r="B6" s="269" t="s">
        <v>315</v>
      </c>
      <c r="C6" s="270"/>
      <c r="D6" s="270"/>
      <c r="E6" s="270"/>
      <c r="F6" s="270"/>
      <c r="G6" s="270"/>
      <c r="H6" s="270"/>
      <c r="I6" s="270"/>
      <c r="J6" s="270"/>
      <c r="K6" s="271"/>
    </row>
    <row r="7" spans="2:11" ht="18" customHeight="1" x14ac:dyDescent="0.4">
      <c r="B7" s="272" t="s">
        <v>2</v>
      </c>
      <c r="C7" s="273" t="s">
        <v>3</v>
      </c>
      <c r="D7" s="273" t="s">
        <v>4</v>
      </c>
      <c r="E7" s="274" t="s">
        <v>5</v>
      </c>
      <c r="F7" s="274" t="s">
        <v>6</v>
      </c>
      <c r="G7" s="273" t="s">
        <v>7</v>
      </c>
      <c r="H7" s="273"/>
      <c r="I7" s="273"/>
      <c r="J7" s="273"/>
      <c r="K7" s="275"/>
    </row>
    <row r="8" spans="2:11" ht="18" customHeight="1" x14ac:dyDescent="0.4">
      <c r="B8" s="272"/>
      <c r="C8" s="273"/>
      <c r="D8" s="273"/>
      <c r="E8" s="274" t="s">
        <v>1</v>
      </c>
      <c r="F8" s="276" t="s">
        <v>1</v>
      </c>
      <c r="G8" s="273"/>
      <c r="H8" s="273"/>
      <c r="I8" s="273"/>
      <c r="J8" s="273"/>
      <c r="K8" s="275"/>
    </row>
    <row r="9" spans="2:11" ht="18" customHeight="1" x14ac:dyDescent="0.4">
      <c r="B9" s="277" t="s">
        <v>8</v>
      </c>
      <c r="C9" s="457" t="s">
        <v>203</v>
      </c>
      <c r="D9" s="457" t="s">
        <v>203</v>
      </c>
      <c r="E9" s="282">
        <v>32.5</v>
      </c>
      <c r="F9" s="278">
        <f t="shared" ref="F9:F38" si="0">E9*E$2</f>
        <v>0</v>
      </c>
      <c r="G9" s="215" t="s">
        <v>316</v>
      </c>
      <c r="H9" s="216"/>
      <c r="I9" s="216"/>
      <c r="J9" s="216"/>
      <c r="K9" s="217"/>
    </row>
    <row r="10" spans="2:11" ht="18" customHeight="1" x14ac:dyDescent="0.4">
      <c r="B10" s="397" t="s">
        <v>149</v>
      </c>
      <c r="C10" s="342" t="s">
        <v>37</v>
      </c>
      <c r="D10" s="500" t="s">
        <v>11</v>
      </c>
      <c r="E10" s="278">
        <v>35</v>
      </c>
      <c r="F10" s="278">
        <f t="shared" si="0"/>
        <v>0</v>
      </c>
      <c r="G10" s="151" t="s">
        <v>38</v>
      </c>
      <c r="H10" s="152"/>
      <c r="I10" s="152"/>
      <c r="J10" s="152"/>
      <c r="K10" s="153"/>
    </row>
    <row r="11" spans="2:11" ht="18" customHeight="1" x14ac:dyDescent="0.4">
      <c r="B11" s="337"/>
      <c r="C11" s="342"/>
      <c r="D11" s="500" t="s">
        <v>39</v>
      </c>
      <c r="E11" s="278">
        <v>3.5</v>
      </c>
      <c r="F11" s="278">
        <f t="shared" si="0"/>
        <v>0</v>
      </c>
      <c r="G11" s="157"/>
      <c r="H11" s="158"/>
      <c r="I11" s="158"/>
      <c r="J11" s="158"/>
      <c r="K11" s="159"/>
    </row>
    <row r="12" spans="2:11" ht="18" customHeight="1" x14ac:dyDescent="0.4">
      <c r="B12" s="337"/>
      <c r="C12" s="180" t="s">
        <v>317</v>
      </c>
      <c r="D12" s="281" t="s">
        <v>64</v>
      </c>
      <c r="E12" s="278">
        <v>1.3</v>
      </c>
      <c r="F12" s="278">
        <f t="shared" si="0"/>
        <v>0</v>
      </c>
      <c r="G12" s="151" t="s">
        <v>318</v>
      </c>
      <c r="H12" s="152"/>
      <c r="I12" s="152"/>
      <c r="J12" s="152"/>
      <c r="K12" s="153"/>
    </row>
    <row r="13" spans="2:11" ht="18" customHeight="1" x14ac:dyDescent="0.4">
      <c r="B13" s="337"/>
      <c r="C13" s="180"/>
      <c r="D13" s="281" t="s">
        <v>126</v>
      </c>
      <c r="E13" s="308">
        <v>0.32500000000000001</v>
      </c>
      <c r="F13" s="278">
        <f t="shared" si="0"/>
        <v>0</v>
      </c>
      <c r="G13" s="154"/>
      <c r="H13" s="155"/>
      <c r="I13" s="155"/>
      <c r="J13" s="155"/>
      <c r="K13" s="156"/>
    </row>
    <row r="14" spans="2:11" ht="18" customHeight="1" x14ac:dyDescent="0.4">
      <c r="B14" s="337"/>
      <c r="C14" s="180"/>
      <c r="D14" s="281" t="s">
        <v>18</v>
      </c>
      <c r="E14" s="308">
        <v>0.65</v>
      </c>
      <c r="F14" s="278">
        <f t="shared" si="0"/>
        <v>0</v>
      </c>
      <c r="G14" s="154"/>
      <c r="H14" s="155"/>
      <c r="I14" s="155"/>
      <c r="J14" s="155"/>
      <c r="K14" s="156"/>
    </row>
    <row r="15" spans="2:11" ht="18" customHeight="1" x14ac:dyDescent="0.4">
      <c r="B15" s="337"/>
      <c r="C15" s="180"/>
      <c r="D15" s="281" t="s">
        <v>28</v>
      </c>
      <c r="E15" s="308">
        <v>0.32500000000000001</v>
      </c>
      <c r="F15" s="278">
        <f t="shared" si="0"/>
        <v>0</v>
      </c>
      <c r="G15" s="154"/>
      <c r="H15" s="155"/>
      <c r="I15" s="155"/>
      <c r="J15" s="155"/>
      <c r="K15" s="156"/>
    </row>
    <row r="16" spans="2:11" ht="18" customHeight="1" x14ac:dyDescent="0.4">
      <c r="B16" s="337"/>
      <c r="C16" s="180"/>
      <c r="D16" s="281" t="s">
        <v>19</v>
      </c>
      <c r="E16" s="308">
        <v>0.65</v>
      </c>
      <c r="F16" s="278">
        <f t="shared" si="0"/>
        <v>0</v>
      </c>
      <c r="G16" s="157"/>
      <c r="H16" s="158"/>
      <c r="I16" s="158"/>
      <c r="J16" s="158"/>
      <c r="K16" s="159"/>
    </row>
    <row r="17" spans="2:11" ht="18" customHeight="1" x14ac:dyDescent="0.4">
      <c r="B17" s="337"/>
      <c r="C17" s="345" t="s">
        <v>319</v>
      </c>
      <c r="D17" s="281" t="s">
        <v>100</v>
      </c>
      <c r="E17" s="278">
        <v>26</v>
      </c>
      <c r="F17" s="278">
        <f t="shared" si="0"/>
        <v>0</v>
      </c>
      <c r="G17" s="220" t="s">
        <v>320</v>
      </c>
      <c r="H17" s="221"/>
      <c r="I17" s="221"/>
      <c r="J17" s="221"/>
      <c r="K17" s="222"/>
    </row>
    <row r="18" spans="2:11" ht="18" customHeight="1" x14ac:dyDescent="0.4">
      <c r="B18" s="337"/>
      <c r="C18" s="346"/>
      <c r="D18" s="281" t="s">
        <v>14</v>
      </c>
      <c r="E18" s="278">
        <v>6.5</v>
      </c>
      <c r="F18" s="278">
        <f t="shared" si="0"/>
        <v>0</v>
      </c>
      <c r="G18" s="223"/>
      <c r="H18" s="224"/>
      <c r="I18" s="224"/>
      <c r="J18" s="224"/>
      <c r="K18" s="225"/>
    </row>
    <row r="19" spans="2:11" ht="18" customHeight="1" x14ac:dyDescent="0.4">
      <c r="B19" s="337"/>
      <c r="C19" s="346"/>
      <c r="D19" s="281" t="s">
        <v>22</v>
      </c>
      <c r="E19" s="279">
        <v>3.25</v>
      </c>
      <c r="F19" s="278">
        <f t="shared" si="0"/>
        <v>0</v>
      </c>
      <c r="G19" s="223"/>
      <c r="H19" s="224"/>
      <c r="I19" s="224"/>
      <c r="J19" s="224"/>
      <c r="K19" s="225"/>
    </row>
    <row r="20" spans="2:11" ht="18" customHeight="1" x14ac:dyDescent="0.4">
      <c r="B20" s="337"/>
      <c r="C20" s="346"/>
      <c r="D20" s="281" t="s">
        <v>20</v>
      </c>
      <c r="E20" s="288">
        <v>1.9500000000000002</v>
      </c>
      <c r="F20" s="278">
        <f t="shared" si="0"/>
        <v>0</v>
      </c>
      <c r="G20" s="223"/>
      <c r="H20" s="224"/>
      <c r="I20" s="224"/>
      <c r="J20" s="224"/>
      <c r="K20" s="225"/>
    </row>
    <row r="21" spans="2:11" ht="18" customHeight="1" x14ac:dyDescent="0.4">
      <c r="B21" s="337"/>
      <c r="C21" s="346"/>
      <c r="D21" s="281" t="s">
        <v>126</v>
      </c>
      <c r="E21" s="279">
        <v>0.32500000000000001</v>
      </c>
      <c r="F21" s="278">
        <f t="shared" si="0"/>
        <v>0</v>
      </c>
      <c r="G21" s="223"/>
      <c r="H21" s="224"/>
      <c r="I21" s="224"/>
      <c r="J21" s="224"/>
      <c r="K21" s="225"/>
    </row>
    <row r="22" spans="2:11" ht="18" customHeight="1" x14ac:dyDescent="0.4">
      <c r="B22" s="337"/>
      <c r="C22" s="346"/>
      <c r="D22" s="281" t="s">
        <v>18</v>
      </c>
      <c r="E22" s="279">
        <v>3.25</v>
      </c>
      <c r="F22" s="278">
        <f t="shared" si="0"/>
        <v>0</v>
      </c>
      <c r="G22" s="223"/>
      <c r="H22" s="224"/>
      <c r="I22" s="224"/>
      <c r="J22" s="224"/>
      <c r="K22" s="225"/>
    </row>
    <row r="23" spans="2:11" ht="18" customHeight="1" x14ac:dyDescent="0.4">
      <c r="B23" s="337"/>
      <c r="C23" s="346"/>
      <c r="D23" s="281" t="s">
        <v>35</v>
      </c>
      <c r="E23" s="278">
        <v>1.3</v>
      </c>
      <c r="F23" s="278">
        <f t="shared" si="0"/>
        <v>0</v>
      </c>
      <c r="G23" s="223"/>
      <c r="H23" s="224"/>
      <c r="I23" s="224"/>
      <c r="J23" s="224"/>
      <c r="K23" s="225"/>
    </row>
    <row r="24" spans="2:11" ht="18" customHeight="1" x14ac:dyDescent="0.4">
      <c r="B24" s="337"/>
      <c r="C24" s="346"/>
      <c r="D24" s="281" t="s">
        <v>19</v>
      </c>
      <c r="E24" s="279">
        <v>0.65</v>
      </c>
      <c r="F24" s="278">
        <f t="shared" si="0"/>
        <v>0</v>
      </c>
      <c r="G24" s="223"/>
      <c r="H24" s="224"/>
      <c r="I24" s="224"/>
      <c r="J24" s="224"/>
      <c r="K24" s="225"/>
    </row>
    <row r="25" spans="2:11" ht="18" customHeight="1" x14ac:dyDescent="0.4">
      <c r="B25" s="337"/>
      <c r="C25" s="346"/>
      <c r="D25" s="281" t="s">
        <v>29</v>
      </c>
      <c r="E25" s="279">
        <v>0.13</v>
      </c>
      <c r="F25" s="278">
        <f t="shared" si="0"/>
        <v>0</v>
      </c>
      <c r="G25" s="412"/>
      <c r="H25" s="413"/>
      <c r="I25" s="413"/>
      <c r="J25" s="413"/>
      <c r="K25" s="414"/>
    </row>
    <row r="26" spans="2:11" ht="18" customHeight="1" x14ac:dyDescent="0.4">
      <c r="B26" s="337"/>
      <c r="C26" s="432" t="s">
        <v>321</v>
      </c>
      <c r="D26" s="281" t="s">
        <v>27</v>
      </c>
      <c r="E26" s="278">
        <v>19.5</v>
      </c>
      <c r="F26" s="278">
        <f t="shared" si="0"/>
        <v>0</v>
      </c>
      <c r="G26" s="220" t="s">
        <v>322</v>
      </c>
      <c r="H26" s="221"/>
      <c r="I26" s="221"/>
      <c r="J26" s="221"/>
      <c r="K26" s="222"/>
    </row>
    <row r="27" spans="2:11" ht="18" customHeight="1" x14ac:dyDescent="0.4">
      <c r="B27" s="337"/>
      <c r="C27" s="436"/>
      <c r="D27" s="281" t="s">
        <v>126</v>
      </c>
      <c r="E27" s="308">
        <v>0.32500000000000001</v>
      </c>
      <c r="F27" s="278">
        <f t="shared" si="0"/>
        <v>0</v>
      </c>
      <c r="G27" s="223"/>
      <c r="H27" s="224"/>
      <c r="I27" s="224"/>
      <c r="J27" s="224"/>
      <c r="K27" s="225"/>
    </row>
    <row r="28" spans="2:11" ht="18" customHeight="1" x14ac:dyDescent="0.4">
      <c r="B28" s="337"/>
      <c r="C28" s="441"/>
      <c r="D28" s="281" t="s">
        <v>28</v>
      </c>
      <c r="E28" s="308">
        <v>0.32500000000000001</v>
      </c>
      <c r="F28" s="278">
        <f t="shared" si="0"/>
        <v>0</v>
      </c>
      <c r="G28" s="223"/>
      <c r="H28" s="224"/>
      <c r="I28" s="224"/>
      <c r="J28" s="224"/>
      <c r="K28" s="225"/>
    </row>
    <row r="29" spans="2:11" ht="18" customHeight="1" x14ac:dyDescent="0.4">
      <c r="B29" s="337"/>
      <c r="C29" s="441"/>
      <c r="D29" s="281" t="s">
        <v>26</v>
      </c>
      <c r="E29" s="308">
        <v>0.65</v>
      </c>
      <c r="F29" s="278">
        <f t="shared" si="0"/>
        <v>0</v>
      </c>
      <c r="G29" s="223"/>
      <c r="H29" s="224"/>
      <c r="I29" s="224"/>
      <c r="J29" s="224"/>
      <c r="K29" s="225"/>
    </row>
    <row r="30" spans="2:11" ht="18" customHeight="1" x14ac:dyDescent="0.4">
      <c r="B30" s="337"/>
      <c r="C30" s="441"/>
      <c r="D30" s="281" t="s">
        <v>29</v>
      </c>
      <c r="E30" s="308">
        <v>0.13</v>
      </c>
      <c r="F30" s="278">
        <f t="shared" si="0"/>
        <v>0</v>
      </c>
      <c r="G30" s="412"/>
      <c r="H30" s="413"/>
      <c r="I30" s="413"/>
      <c r="J30" s="413"/>
      <c r="K30" s="414"/>
    </row>
    <row r="31" spans="2:11" ht="18" customHeight="1" x14ac:dyDescent="0.4">
      <c r="B31" s="337"/>
      <c r="C31" s="287" t="s">
        <v>134</v>
      </c>
      <c r="D31" s="469" t="s">
        <v>135</v>
      </c>
      <c r="E31" s="300">
        <v>13</v>
      </c>
      <c r="F31" s="278">
        <f t="shared" si="0"/>
        <v>0</v>
      </c>
      <c r="G31" s="187" t="s">
        <v>32</v>
      </c>
      <c r="H31" s="188"/>
      <c r="I31" s="188"/>
      <c r="J31" s="188"/>
      <c r="K31" s="189"/>
    </row>
    <row r="32" spans="2:11" ht="18" customHeight="1" x14ac:dyDescent="0.4">
      <c r="B32" s="318" t="s">
        <v>9</v>
      </c>
      <c r="C32" s="501" t="s">
        <v>323</v>
      </c>
      <c r="D32" s="281" t="s">
        <v>324</v>
      </c>
      <c r="E32" s="282">
        <v>6.5</v>
      </c>
      <c r="F32" s="278">
        <f t="shared" si="0"/>
        <v>0</v>
      </c>
      <c r="G32" s="149" t="s">
        <v>325</v>
      </c>
      <c r="H32" s="149"/>
      <c r="I32" s="149"/>
      <c r="J32" s="149"/>
      <c r="K32" s="150"/>
    </row>
    <row r="33" spans="2:11" ht="18" customHeight="1" x14ac:dyDescent="0.4">
      <c r="B33" s="322"/>
      <c r="C33" s="501"/>
      <c r="D33" s="281" t="s">
        <v>141</v>
      </c>
      <c r="E33" s="282">
        <v>6.5</v>
      </c>
      <c r="F33" s="278">
        <f t="shared" si="0"/>
        <v>0</v>
      </c>
      <c r="G33" s="149"/>
      <c r="H33" s="149"/>
      <c r="I33" s="149"/>
      <c r="J33" s="149"/>
      <c r="K33" s="150"/>
    </row>
    <row r="34" spans="2:11" ht="18" customHeight="1" x14ac:dyDescent="0.4">
      <c r="B34" s="322"/>
      <c r="C34" s="501"/>
      <c r="D34" s="281" t="s">
        <v>22</v>
      </c>
      <c r="E34" s="282">
        <v>3.25</v>
      </c>
      <c r="F34" s="278">
        <f t="shared" si="0"/>
        <v>0</v>
      </c>
      <c r="G34" s="149"/>
      <c r="H34" s="149"/>
      <c r="I34" s="149"/>
      <c r="J34" s="149"/>
      <c r="K34" s="150"/>
    </row>
    <row r="35" spans="2:11" ht="18" customHeight="1" x14ac:dyDescent="0.4">
      <c r="B35" s="322"/>
      <c r="C35" s="501"/>
      <c r="D35" s="281" t="s">
        <v>14</v>
      </c>
      <c r="E35" s="282">
        <v>3.25</v>
      </c>
      <c r="F35" s="278">
        <f t="shared" si="0"/>
        <v>0</v>
      </c>
      <c r="G35" s="149"/>
      <c r="H35" s="149"/>
      <c r="I35" s="149"/>
      <c r="J35" s="149"/>
      <c r="K35" s="150"/>
    </row>
    <row r="36" spans="2:11" ht="18" customHeight="1" x14ac:dyDescent="0.4">
      <c r="B36" s="322"/>
      <c r="C36" s="501"/>
      <c r="D36" s="281" t="s">
        <v>326</v>
      </c>
      <c r="E36" s="282">
        <v>6.5</v>
      </c>
      <c r="F36" s="278">
        <f t="shared" si="0"/>
        <v>0</v>
      </c>
      <c r="G36" s="149"/>
      <c r="H36" s="149"/>
      <c r="I36" s="149"/>
      <c r="J36" s="149"/>
      <c r="K36" s="150"/>
    </row>
    <row r="37" spans="2:11" ht="18" customHeight="1" x14ac:dyDescent="0.4">
      <c r="B37" s="322"/>
      <c r="C37" s="501"/>
      <c r="D37" s="281" t="s">
        <v>28</v>
      </c>
      <c r="E37" s="282">
        <v>0.32500000000000001</v>
      </c>
      <c r="F37" s="278">
        <f t="shared" si="0"/>
        <v>0</v>
      </c>
      <c r="G37" s="149"/>
      <c r="H37" s="149"/>
      <c r="I37" s="149"/>
      <c r="J37" s="149"/>
      <c r="K37" s="150"/>
    </row>
    <row r="38" spans="2:11" ht="18" customHeight="1" thickBot="1" x14ac:dyDescent="0.45">
      <c r="B38" s="323"/>
      <c r="C38" s="502"/>
      <c r="D38" s="451" t="s">
        <v>26</v>
      </c>
      <c r="E38" s="474">
        <v>1.9500000000000002</v>
      </c>
      <c r="F38" s="375">
        <f t="shared" si="0"/>
        <v>0</v>
      </c>
      <c r="G38" s="503"/>
      <c r="H38" s="503"/>
      <c r="I38" s="503"/>
      <c r="J38" s="503"/>
      <c r="K38" s="504"/>
    </row>
    <row r="39" spans="2:11" ht="80.099999999999994" customHeight="1" thickTop="1" x14ac:dyDescent="0.4">
      <c r="B39" s="90"/>
      <c r="C39" s="90"/>
      <c r="D39" s="90"/>
      <c r="E39" s="90"/>
      <c r="F39" s="90"/>
      <c r="G39" s="90"/>
      <c r="H39" s="90"/>
      <c r="I39" s="90"/>
      <c r="J39" s="90"/>
      <c r="K39" s="90"/>
    </row>
    <row r="40" spans="2:11" ht="18" thickBot="1" x14ac:dyDescent="0.45">
      <c r="B40" s="139"/>
      <c r="C40" s="139"/>
      <c r="D40" s="139"/>
      <c r="E40" s="139"/>
      <c r="F40" s="139"/>
      <c r="G40" s="139"/>
      <c r="H40" s="139"/>
      <c r="I40" s="139"/>
      <c r="J40" s="139"/>
      <c r="K40" s="139"/>
    </row>
    <row r="41" spans="2:11" ht="21" customHeight="1" thickTop="1" x14ac:dyDescent="0.4">
      <c r="B41" s="269" t="s">
        <v>327</v>
      </c>
      <c r="C41" s="270"/>
      <c r="D41" s="270"/>
      <c r="E41" s="270"/>
      <c r="F41" s="270"/>
      <c r="G41" s="270"/>
      <c r="H41" s="270"/>
      <c r="I41" s="270"/>
      <c r="J41" s="270"/>
      <c r="K41" s="271"/>
    </row>
    <row r="42" spans="2:11" ht="18" customHeight="1" x14ac:dyDescent="0.4">
      <c r="B42" s="272" t="s">
        <v>2</v>
      </c>
      <c r="C42" s="273" t="s">
        <v>3</v>
      </c>
      <c r="D42" s="273" t="s">
        <v>4</v>
      </c>
      <c r="E42" s="274" t="s">
        <v>5</v>
      </c>
      <c r="F42" s="274" t="s">
        <v>6</v>
      </c>
      <c r="G42" s="273" t="s">
        <v>7</v>
      </c>
      <c r="H42" s="273"/>
      <c r="I42" s="273"/>
      <c r="J42" s="273"/>
      <c r="K42" s="275"/>
    </row>
    <row r="43" spans="2:11" ht="18" customHeight="1" x14ac:dyDescent="0.4">
      <c r="B43" s="272"/>
      <c r="C43" s="273"/>
      <c r="D43" s="273"/>
      <c r="E43" s="274" t="s">
        <v>1</v>
      </c>
      <c r="F43" s="276" t="s">
        <v>1</v>
      </c>
      <c r="G43" s="273"/>
      <c r="H43" s="273"/>
      <c r="I43" s="273"/>
      <c r="J43" s="273"/>
      <c r="K43" s="275"/>
    </row>
    <row r="44" spans="2:11" ht="18" customHeight="1" x14ac:dyDescent="0.4">
      <c r="B44" s="505" t="s">
        <v>8</v>
      </c>
      <c r="C44" s="281" t="s">
        <v>328</v>
      </c>
      <c r="D44" s="281" t="s">
        <v>329</v>
      </c>
      <c r="E44" s="278">
        <v>39</v>
      </c>
      <c r="F44" s="278">
        <f t="shared" ref="F44:F72" si="1">E44*E$2</f>
        <v>0</v>
      </c>
      <c r="G44" s="187" t="s">
        <v>330</v>
      </c>
      <c r="H44" s="188"/>
      <c r="I44" s="188"/>
      <c r="J44" s="188"/>
      <c r="K44" s="189"/>
    </row>
    <row r="45" spans="2:11" ht="18" customHeight="1" x14ac:dyDescent="0.4">
      <c r="B45" s="505"/>
      <c r="C45" s="278" t="s">
        <v>148</v>
      </c>
      <c r="D45" s="506" t="s">
        <v>49</v>
      </c>
      <c r="E45" s="288">
        <v>100</v>
      </c>
      <c r="F45" s="278">
        <f t="shared" si="1"/>
        <v>0</v>
      </c>
      <c r="G45" s="485"/>
      <c r="H45" s="486"/>
      <c r="I45" s="486"/>
      <c r="J45" s="486"/>
      <c r="K45" s="487"/>
    </row>
    <row r="46" spans="2:11" ht="18" customHeight="1" x14ac:dyDescent="0.4">
      <c r="B46" s="280" t="s">
        <v>149</v>
      </c>
      <c r="C46" s="402" t="s">
        <v>204</v>
      </c>
      <c r="D46" s="339" t="s">
        <v>11</v>
      </c>
      <c r="E46" s="340">
        <v>32.5</v>
      </c>
      <c r="F46" s="347">
        <f t="shared" si="1"/>
        <v>0</v>
      </c>
      <c r="G46" s="283" t="s">
        <v>50</v>
      </c>
      <c r="H46" s="283"/>
      <c r="I46" s="283"/>
      <c r="J46" s="283"/>
      <c r="K46" s="341"/>
    </row>
    <row r="47" spans="2:11" ht="18" customHeight="1" x14ac:dyDescent="0.4">
      <c r="B47" s="280"/>
      <c r="C47" s="338"/>
      <c r="D47" s="281" t="s">
        <v>51</v>
      </c>
      <c r="E47" s="282">
        <v>1.625</v>
      </c>
      <c r="F47" s="278">
        <f t="shared" si="1"/>
        <v>0</v>
      </c>
      <c r="G47" s="343"/>
      <c r="H47" s="343"/>
      <c r="I47" s="343"/>
      <c r="J47" s="343"/>
      <c r="K47" s="344"/>
    </row>
    <row r="48" spans="2:11" ht="18" customHeight="1" x14ac:dyDescent="0.4">
      <c r="B48" s="280"/>
      <c r="C48" s="180" t="s">
        <v>331</v>
      </c>
      <c r="D48" s="287" t="s">
        <v>332</v>
      </c>
      <c r="E48" s="279">
        <v>9.75</v>
      </c>
      <c r="F48" s="278">
        <f t="shared" si="1"/>
        <v>0</v>
      </c>
      <c r="G48" s="315" t="s">
        <v>333</v>
      </c>
      <c r="H48" s="315"/>
      <c r="I48" s="315"/>
      <c r="J48" s="315"/>
      <c r="K48" s="316"/>
    </row>
    <row r="49" spans="2:11" ht="18" customHeight="1" x14ac:dyDescent="0.4">
      <c r="B49" s="280"/>
      <c r="C49" s="180"/>
      <c r="D49" s="287" t="s">
        <v>15</v>
      </c>
      <c r="E49" s="279">
        <v>1.3</v>
      </c>
      <c r="F49" s="278">
        <f t="shared" si="1"/>
        <v>0</v>
      </c>
      <c r="G49" s="315"/>
      <c r="H49" s="315"/>
      <c r="I49" s="315"/>
      <c r="J49" s="315"/>
      <c r="K49" s="316"/>
    </row>
    <row r="50" spans="2:11" ht="18" customHeight="1" x14ac:dyDescent="0.4">
      <c r="B50" s="280"/>
      <c r="C50" s="180"/>
      <c r="D50" s="287" t="s">
        <v>179</v>
      </c>
      <c r="E50" s="279">
        <v>1.3</v>
      </c>
      <c r="F50" s="278">
        <f t="shared" si="1"/>
        <v>0</v>
      </c>
      <c r="G50" s="315"/>
      <c r="H50" s="315"/>
      <c r="I50" s="315"/>
      <c r="J50" s="315"/>
      <c r="K50" s="316"/>
    </row>
    <row r="51" spans="2:11" ht="18" customHeight="1" x14ac:dyDescent="0.4">
      <c r="B51" s="280"/>
      <c r="C51" s="180"/>
      <c r="D51" s="287" t="s">
        <v>41</v>
      </c>
      <c r="E51" s="279">
        <v>3.25</v>
      </c>
      <c r="F51" s="278">
        <f t="shared" si="1"/>
        <v>0</v>
      </c>
      <c r="G51" s="315"/>
      <c r="H51" s="315"/>
      <c r="I51" s="315"/>
      <c r="J51" s="315"/>
      <c r="K51" s="316"/>
    </row>
    <row r="52" spans="2:11" ht="18" customHeight="1" x14ac:dyDescent="0.4">
      <c r="B52" s="280"/>
      <c r="C52" s="180"/>
      <c r="D52" s="287" t="s">
        <v>126</v>
      </c>
      <c r="E52" s="279">
        <v>0.19500000000000001</v>
      </c>
      <c r="F52" s="278">
        <f t="shared" si="1"/>
        <v>0</v>
      </c>
      <c r="G52" s="315"/>
      <c r="H52" s="315"/>
      <c r="I52" s="315"/>
      <c r="J52" s="315"/>
      <c r="K52" s="316"/>
    </row>
    <row r="53" spans="2:11" ht="18" customHeight="1" x14ac:dyDescent="0.4">
      <c r="B53" s="280"/>
      <c r="C53" s="180"/>
      <c r="D53" s="287" t="s">
        <v>20</v>
      </c>
      <c r="E53" s="279">
        <v>1.3</v>
      </c>
      <c r="F53" s="278">
        <f t="shared" si="1"/>
        <v>0</v>
      </c>
      <c r="G53" s="315"/>
      <c r="H53" s="315"/>
      <c r="I53" s="315"/>
      <c r="J53" s="315"/>
      <c r="K53" s="316"/>
    </row>
    <row r="54" spans="2:11" ht="18" customHeight="1" x14ac:dyDescent="0.4">
      <c r="B54" s="280"/>
      <c r="C54" s="432" t="s">
        <v>334</v>
      </c>
      <c r="D54" s="281" t="s">
        <v>43</v>
      </c>
      <c r="E54" s="288">
        <v>26</v>
      </c>
      <c r="F54" s="278">
        <f t="shared" si="1"/>
        <v>0</v>
      </c>
      <c r="G54" s="232" t="s">
        <v>335</v>
      </c>
      <c r="H54" s="233"/>
      <c r="I54" s="233"/>
      <c r="J54" s="233"/>
      <c r="K54" s="234"/>
    </row>
    <row r="55" spans="2:11" ht="18" customHeight="1" x14ac:dyDescent="0.4">
      <c r="B55" s="280"/>
      <c r="C55" s="436"/>
      <c r="D55" s="281" t="s">
        <v>228</v>
      </c>
      <c r="E55" s="279">
        <v>6.5</v>
      </c>
      <c r="F55" s="278">
        <f t="shared" si="1"/>
        <v>0</v>
      </c>
      <c r="G55" s="236"/>
      <c r="H55" s="237"/>
      <c r="I55" s="237"/>
      <c r="J55" s="237"/>
      <c r="K55" s="238"/>
    </row>
    <row r="56" spans="2:11" ht="18" customHeight="1" x14ac:dyDescent="0.4">
      <c r="B56" s="280"/>
      <c r="C56" s="436"/>
      <c r="D56" s="281" t="s">
        <v>28</v>
      </c>
      <c r="E56" s="279">
        <v>0.32500000000000001</v>
      </c>
      <c r="F56" s="278">
        <f t="shared" si="1"/>
        <v>0</v>
      </c>
      <c r="G56" s="236"/>
      <c r="H56" s="237"/>
      <c r="I56" s="237"/>
      <c r="J56" s="237"/>
      <c r="K56" s="238"/>
    </row>
    <row r="57" spans="2:11" ht="18" customHeight="1" x14ac:dyDescent="0.4">
      <c r="B57" s="280"/>
      <c r="C57" s="436"/>
      <c r="D57" s="281" t="s">
        <v>26</v>
      </c>
      <c r="E57" s="279">
        <v>0.32500000000000001</v>
      </c>
      <c r="F57" s="278">
        <f t="shared" si="1"/>
        <v>0</v>
      </c>
      <c r="G57" s="236"/>
      <c r="H57" s="237"/>
      <c r="I57" s="237"/>
      <c r="J57" s="237"/>
      <c r="K57" s="238"/>
    </row>
    <row r="58" spans="2:11" ht="18" customHeight="1" x14ac:dyDescent="0.4">
      <c r="B58" s="280"/>
      <c r="C58" s="358" t="s">
        <v>336</v>
      </c>
      <c r="D58" s="281" t="s">
        <v>52</v>
      </c>
      <c r="E58" s="279">
        <v>19.5</v>
      </c>
      <c r="F58" s="278">
        <f t="shared" si="1"/>
        <v>0</v>
      </c>
      <c r="G58" s="220" t="s">
        <v>337</v>
      </c>
      <c r="H58" s="221"/>
      <c r="I58" s="221"/>
      <c r="J58" s="221"/>
      <c r="K58" s="222"/>
    </row>
    <row r="59" spans="2:11" ht="18" customHeight="1" x14ac:dyDescent="0.4">
      <c r="B59" s="280"/>
      <c r="C59" s="362"/>
      <c r="D59" s="281" t="s">
        <v>126</v>
      </c>
      <c r="E59" s="279">
        <v>0.19500000000000001</v>
      </c>
      <c r="F59" s="278">
        <f t="shared" si="1"/>
        <v>0</v>
      </c>
      <c r="G59" s="223"/>
      <c r="H59" s="224"/>
      <c r="I59" s="224"/>
      <c r="J59" s="224"/>
      <c r="K59" s="225"/>
    </row>
    <row r="60" spans="2:11" ht="18" customHeight="1" x14ac:dyDescent="0.4">
      <c r="B60" s="280"/>
      <c r="C60" s="362"/>
      <c r="D60" s="281" t="s">
        <v>20</v>
      </c>
      <c r="E60" s="279">
        <v>0.13</v>
      </c>
      <c r="F60" s="278">
        <f t="shared" si="1"/>
        <v>0</v>
      </c>
      <c r="G60" s="223"/>
      <c r="H60" s="224"/>
      <c r="I60" s="224"/>
      <c r="J60" s="224"/>
      <c r="K60" s="225"/>
    </row>
    <row r="61" spans="2:11" ht="18" customHeight="1" x14ac:dyDescent="0.4">
      <c r="B61" s="280"/>
      <c r="C61" s="362"/>
      <c r="D61" s="281" t="s">
        <v>28</v>
      </c>
      <c r="E61" s="279">
        <v>6.5000000000000002E-2</v>
      </c>
      <c r="F61" s="278">
        <f t="shared" si="1"/>
        <v>0</v>
      </c>
      <c r="G61" s="223"/>
      <c r="H61" s="224"/>
      <c r="I61" s="224"/>
      <c r="J61" s="224"/>
      <c r="K61" s="225"/>
    </row>
    <row r="62" spans="2:11" ht="18" customHeight="1" x14ac:dyDescent="0.4">
      <c r="B62" s="280"/>
      <c r="C62" s="362"/>
      <c r="D62" s="281" t="s">
        <v>19</v>
      </c>
      <c r="E62" s="279">
        <v>0.13</v>
      </c>
      <c r="F62" s="278">
        <f t="shared" si="1"/>
        <v>0</v>
      </c>
      <c r="G62" s="223"/>
      <c r="H62" s="224"/>
      <c r="I62" s="224"/>
      <c r="J62" s="224"/>
      <c r="K62" s="225"/>
    </row>
    <row r="63" spans="2:11" ht="18" customHeight="1" x14ac:dyDescent="0.4">
      <c r="B63" s="280"/>
      <c r="C63" s="428"/>
      <c r="D63" s="281" t="s">
        <v>29</v>
      </c>
      <c r="E63" s="279">
        <v>0.13</v>
      </c>
      <c r="F63" s="278">
        <f t="shared" si="1"/>
        <v>0</v>
      </c>
      <c r="G63" s="412"/>
      <c r="H63" s="413"/>
      <c r="I63" s="413"/>
      <c r="J63" s="413"/>
      <c r="K63" s="414"/>
    </row>
    <row r="64" spans="2:11" ht="18" customHeight="1" x14ac:dyDescent="0.4">
      <c r="B64" s="280"/>
      <c r="C64" s="287" t="s">
        <v>338</v>
      </c>
      <c r="D64" s="287" t="s">
        <v>339</v>
      </c>
      <c r="E64" s="288">
        <v>13</v>
      </c>
      <c r="F64" s="278">
        <f t="shared" si="1"/>
        <v>0</v>
      </c>
      <c r="G64" s="507" t="s">
        <v>56</v>
      </c>
      <c r="H64" s="507"/>
      <c r="I64" s="507"/>
      <c r="J64" s="507"/>
      <c r="K64" s="508"/>
    </row>
    <row r="65" spans="2:11" ht="18" customHeight="1" x14ac:dyDescent="0.4">
      <c r="B65" s="509" t="s">
        <v>137</v>
      </c>
      <c r="C65" s="346" t="s">
        <v>138</v>
      </c>
      <c r="D65" s="339" t="s">
        <v>139</v>
      </c>
      <c r="E65" s="347">
        <v>26</v>
      </c>
      <c r="F65" s="347">
        <f t="shared" si="1"/>
        <v>0</v>
      </c>
      <c r="G65" s="74" t="s">
        <v>140</v>
      </c>
      <c r="H65" s="75"/>
      <c r="I65" s="75"/>
      <c r="J65" s="75"/>
      <c r="K65" s="76"/>
    </row>
    <row r="66" spans="2:11" ht="18" customHeight="1" x14ac:dyDescent="0.4">
      <c r="B66" s="510"/>
      <c r="C66" s="346"/>
      <c r="D66" s="281" t="s">
        <v>14</v>
      </c>
      <c r="E66" s="308">
        <v>3.25</v>
      </c>
      <c r="F66" s="278">
        <f t="shared" si="1"/>
        <v>0</v>
      </c>
      <c r="G66" s="79"/>
      <c r="H66" s="80"/>
      <c r="I66" s="80"/>
      <c r="J66" s="80"/>
      <c r="K66" s="81"/>
    </row>
    <row r="67" spans="2:11" ht="18" customHeight="1" x14ac:dyDescent="0.4">
      <c r="B67" s="510"/>
      <c r="C67" s="346"/>
      <c r="D67" s="281" t="s">
        <v>22</v>
      </c>
      <c r="E67" s="308">
        <v>3.25</v>
      </c>
      <c r="F67" s="278">
        <f t="shared" si="1"/>
        <v>0</v>
      </c>
      <c r="G67" s="79"/>
      <c r="H67" s="80"/>
      <c r="I67" s="80"/>
      <c r="J67" s="80"/>
      <c r="K67" s="81"/>
    </row>
    <row r="68" spans="2:11" ht="18" customHeight="1" x14ac:dyDescent="0.4">
      <c r="B68" s="510"/>
      <c r="C68" s="346"/>
      <c r="D68" s="281" t="s">
        <v>141</v>
      </c>
      <c r="E68" s="308">
        <v>3.25</v>
      </c>
      <c r="F68" s="278">
        <f t="shared" si="1"/>
        <v>0</v>
      </c>
      <c r="G68" s="79"/>
      <c r="H68" s="80"/>
      <c r="I68" s="80"/>
      <c r="J68" s="80"/>
      <c r="K68" s="81"/>
    </row>
    <row r="69" spans="2:11" ht="18" customHeight="1" x14ac:dyDescent="0.4">
      <c r="B69" s="510"/>
      <c r="C69" s="346"/>
      <c r="D69" s="281" t="s">
        <v>15</v>
      </c>
      <c r="E69" s="278">
        <v>1.3</v>
      </c>
      <c r="F69" s="278">
        <f t="shared" si="1"/>
        <v>0</v>
      </c>
      <c r="G69" s="79"/>
      <c r="H69" s="80"/>
      <c r="I69" s="80"/>
      <c r="J69" s="80"/>
      <c r="K69" s="81"/>
    </row>
    <row r="70" spans="2:11" ht="18" customHeight="1" x14ac:dyDescent="0.4">
      <c r="B70" s="510"/>
      <c r="C70" s="346"/>
      <c r="D70" s="281" t="s">
        <v>17</v>
      </c>
      <c r="E70" s="278">
        <v>1.3</v>
      </c>
      <c r="F70" s="278">
        <f t="shared" si="1"/>
        <v>0</v>
      </c>
      <c r="G70" s="79"/>
      <c r="H70" s="80"/>
      <c r="I70" s="80"/>
      <c r="J70" s="80"/>
      <c r="K70" s="81"/>
    </row>
    <row r="71" spans="2:11" ht="18" customHeight="1" x14ac:dyDescent="0.4">
      <c r="B71" s="510"/>
      <c r="C71" s="346"/>
      <c r="D71" s="281" t="s">
        <v>18</v>
      </c>
      <c r="E71" s="309">
        <v>0.97500000000000009</v>
      </c>
      <c r="F71" s="278">
        <f t="shared" si="1"/>
        <v>0</v>
      </c>
      <c r="G71" s="79"/>
      <c r="H71" s="80"/>
      <c r="I71" s="80"/>
      <c r="J71" s="80"/>
      <c r="K71" s="81"/>
    </row>
    <row r="72" spans="2:11" ht="18" customHeight="1" thickBot="1" x14ac:dyDescent="0.45">
      <c r="B72" s="511"/>
      <c r="C72" s="512"/>
      <c r="D72" s="451" t="s">
        <v>26</v>
      </c>
      <c r="E72" s="513">
        <v>0.65</v>
      </c>
      <c r="F72" s="326">
        <f t="shared" si="1"/>
        <v>0</v>
      </c>
      <c r="G72" s="87"/>
      <c r="H72" s="88"/>
      <c r="I72" s="88"/>
      <c r="J72" s="88"/>
      <c r="K72" s="89"/>
    </row>
    <row r="73" spans="2:11" ht="79.5" customHeight="1" thickTop="1" x14ac:dyDescent="0.4">
      <c r="B73" s="138"/>
      <c r="C73" s="138"/>
      <c r="D73" s="138"/>
      <c r="E73" s="138"/>
      <c r="F73" s="138"/>
      <c r="G73" s="138"/>
      <c r="H73" s="138"/>
      <c r="I73" s="138"/>
      <c r="J73" s="138"/>
      <c r="K73" s="138"/>
    </row>
    <row r="74" spans="2:11" ht="18" thickBot="1" x14ac:dyDescent="0.45">
      <c r="B74" s="380"/>
      <c r="C74" s="381"/>
      <c r="D74" s="381"/>
      <c r="E74" s="382"/>
      <c r="F74" s="382"/>
      <c r="G74" s="383"/>
      <c r="H74" s="383"/>
      <c r="I74" s="383"/>
      <c r="J74" s="383"/>
      <c r="K74" s="383"/>
    </row>
    <row r="75" spans="2:11" ht="21" customHeight="1" thickTop="1" x14ac:dyDescent="0.4">
      <c r="B75" s="384" t="s">
        <v>340</v>
      </c>
      <c r="C75" s="385"/>
      <c r="D75" s="385"/>
      <c r="E75" s="385"/>
      <c r="F75" s="385"/>
      <c r="G75" s="385"/>
      <c r="H75" s="385"/>
      <c r="I75" s="385"/>
      <c r="J75" s="385"/>
      <c r="K75" s="386"/>
    </row>
    <row r="76" spans="2:11" ht="18" customHeight="1" x14ac:dyDescent="0.4">
      <c r="B76" s="272" t="s">
        <v>2</v>
      </c>
      <c r="C76" s="273" t="s">
        <v>3</v>
      </c>
      <c r="D76" s="273" t="s">
        <v>4</v>
      </c>
      <c r="E76" s="274" t="s">
        <v>5</v>
      </c>
      <c r="F76" s="274" t="s">
        <v>6</v>
      </c>
      <c r="G76" s="387" t="s">
        <v>7</v>
      </c>
      <c r="H76" s="388"/>
      <c r="I76" s="388"/>
      <c r="J76" s="388"/>
      <c r="K76" s="389"/>
    </row>
    <row r="77" spans="2:11" ht="18" customHeight="1" x14ac:dyDescent="0.4">
      <c r="B77" s="272"/>
      <c r="C77" s="273"/>
      <c r="D77" s="273"/>
      <c r="E77" s="274" t="s">
        <v>1</v>
      </c>
      <c r="F77" s="276" t="s">
        <v>1</v>
      </c>
      <c r="G77" s="390"/>
      <c r="H77" s="391"/>
      <c r="I77" s="391"/>
      <c r="J77" s="391"/>
      <c r="K77" s="392"/>
    </row>
    <row r="78" spans="2:11" ht="18" customHeight="1" x14ac:dyDescent="0.4">
      <c r="B78" s="393" t="s">
        <v>8</v>
      </c>
      <c r="C78" s="278" t="s">
        <v>341</v>
      </c>
      <c r="D78" s="278" t="s">
        <v>341</v>
      </c>
      <c r="E78" s="278">
        <v>32.5</v>
      </c>
      <c r="F78" s="278">
        <f t="shared" ref="F78:F105" si="2">E78*E$2</f>
        <v>0</v>
      </c>
      <c r="G78" s="215" t="s">
        <v>342</v>
      </c>
      <c r="H78" s="216"/>
      <c r="I78" s="216"/>
      <c r="J78" s="216"/>
      <c r="K78" s="217"/>
    </row>
    <row r="79" spans="2:11" ht="18" customHeight="1" x14ac:dyDescent="0.4">
      <c r="B79" s="397" t="s">
        <v>10</v>
      </c>
      <c r="C79" s="514" t="s">
        <v>343</v>
      </c>
      <c r="D79" s="170" t="s">
        <v>122</v>
      </c>
      <c r="E79" s="282">
        <v>32.5</v>
      </c>
      <c r="F79" s="278">
        <f t="shared" si="2"/>
        <v>0</v>
      </c>
      <c r="G79" s="515" t="s">
        <v>344</v>
      </c>
      <c r="H79" s="516"/>
      <c r="I79" s="516"/>
      <c r="J79" s="516"/>
      <c r="K79" s="517"/>
    </row>
    <row r="80" spans="2:11" ht="18" customHeight="1" x14ac:dyDescent="0.4">
      <c r="B80" s="337"/>
      <c r="C80" s="416"/>
      <c r="D80" s="170" t="s">
        <v>345</v>
      </c>
      <c r="E80" s="300">
        <v>13</v>
      </c>
      <c r="F80" s="278">
        <f t="shared" si="2"/>
        <v>0</v>
      </c>
      <c r="G80" s="518"/>
      <c r="H80" s="519"/>
      <c r="I80" s="519"/>
      <c r="J80" s="519"/>
      <c r="K80" s="520"/>
    </row>
    <row r="81" spans="2:11" ht="18" customHeight="1" x14ac:dyDescent="0.4">
      <c r="B81" s="337"/>
      <c r="C81" s="416"/>
      <c r="D81" s="170" t="s">
        <v>163</v>
      </c>
      <c r="E81" s="282">
        <v>6.5</v>
      </c>
      <c r="F81" s="278">
        <f t="shared" si="2"/>
        <v>0</v>
      </c>
      <c r="G81" s="518"/>
      <c r="H81" s="519"/>
      <c r="I81" s="519"/>
      <c r="J81" s="519"/>
      <c r="K81" s="520"/>
    </row>
    <row r="82" spans="2:11" ht="18" customHeight="1" x14ac:dyDescent="0.4">
      <c r="B82" s="337"/>
      <c r="C82" s="416"/>
      <c r="D82" s="170" t="s">
        <v>346</v>
      </c>
      <c r="E82" s="282">
        <v>6.5</v>
      </c>
      <c r="F82" s="278">
        <f t="shared" si="2"/>
        <v>0</v>
      </c>
      <c r="G82" s="518"/>
      <c r="H82" s="519"/>
      <c r="I82" s="519"/>
      <c r="J82" s="519"/>
      <c r="K82" s="520"/>
    </row>
    <row r="83" spans="2:11" ht="18" customHeight="1" x14ac:dyDescent="0.4">
      <c r="B83" s="337"/>
      <c r="C83" s="416"/>
      <c r="D83" s="170" t="s">
        <v>141</v>
      </c>
      <c r="E83" s="282">
        <v>6.5</v>
      </c>
      <c r="F83" s="278">
        <f t="shared" si="2"/>
        <v>0</v>
      </c>
      <c r="G83" s="518"/>
      <c r="H83" s="519"/>
      <c r="I83" s="519"/>
      <c r="J83" s="519"/>
      <c r="K83" s="520"/>
    </row>
    <row r="84" spans="2:11" ht="18" customHeight="1" x14ac:dyDescent="0.4">
      <c r="B84" s="337"/>
      <c r="C84" s="416"/>
      <c r="D84" s="170" t="s">
        <v>132</v>
      </c>
      <c r="E84" s="282">
        <v>3.25</v>
      </c>
      <c r="F84" s="278">
        <f t="shared" si="2"/>
        <v>0</v>
      </c>
      <c r="G84" s="518"/>
      <c r="H84" s="519"/>
      <c r="I84" s="519"/>
      <c r="J84" s="519"/>
      <c r="K84" s="520"/>
    </row>
    <row r="85" spans="2:11" ht="18" customHeight="1" x14ac:dyDescent="0.4">
      <c r="B85" s="337"/>
      <c r="C85" s="416"/>
      <c r="D85" s="170" t="s">
        <v>186</v>
      </c>
      <c r="E85" s="300">
        <v>1.9500000000000002</v>
      </c>
      <c r="F85" s="278">
        <f t="shared" si="2"/>
        <v>0</v>
      </c>
      <c r="G85" s="518"/>
      <c r="H85" s="519"/>
      <c r="I85" s="519"/>
      <c r="J85" s="519"/>
      <c r="K85" s="520"/>
    </row>
    <row r="86" spans="2:11" ht="18" customHeight="1" x14ac:dyDescent="0.4">
      <c r="B86" s="337"/>
      <c r="C86" s="416"/>
      <c r="D86" s="170" t="s">
        <v>159</v>
      </c>
      <c r="E86" s="282">
        <v>0.65</v>
      </c>
      <c r="F86" s="278">
        <f t="shared" si="2"/>
        <v>0</v>
      </c>
      <c r="G86" s="518"/>
      <c r="H86" s="519"/>
      <c r="I86" s="519"/>
      <c r="J86" s="519"/>
      <c r="K86" s="520"/>
    </row>
    <row r="87" spans="2:11" ht="18" customHeight="1" x14ac:dyDescent="0.4">
      <c r="B87" s="337"/>
      <c r="C87" s="416"/>
      <c r="D87" s="170" t="s">
        <v>133</v>
      </c>
      <c r="E87" s="282">
        <v>0.13</v>
      </c>
      <c r="F87" s="278">
        <f t="shared" si="2"/>
        <v>0</v>
      </c>
      <c r="G87" s="518"/>
      <c r="H87" s="519"/>
      <c r="I87" s="519"/>
      <c r="J87" s="519"/>
      <c r="K87" s="520"/>
    </row>
    <row r="88" spans="2:11" ht="18" customHeight="1" x14ac:dyDescent="0.4">
      <c r="B88" s="337"/>
      <c r="C88" s="521"/>
      <c r="D88" s="170" t="s">
        <v>160</v>
      </c>
      <c r="E88" s="282">
        <v>0.13</v>
      </c>
      <c r="F88" s="278">
        <f t="shared" si="2"/>
        <v>0</v>
      </c>
      <c r="G88" s="522"/>
      <c r="H88" s="523"/>
      <c r="I88" s="523"/>
      <c r="J88" s="523"/>
      <c r="K88" s="524"/>
    </row>
    <row r="89" spans="2:11" ht="18" customHeight="1" x14ac:dyDescent="0.4">
      <c r="B89" s="337"/>
      <c r="C89" s="358" t="s">
        <v>347</v>
      </c>
      <c r="D89" s="287" t="s">
        <v>348</v>
      </c>
      <c r="E89" s="288">
        <v>13</v>
      </c>
      <c r="F89" s="278">
        <f t="shared" si="2"/>
        <v>0</v>
      </c>
      <c r="G89" s="525" t="s">
        <v>349</v>
      </c>
      <c r="H89" s="526"/>
      <c r="I89" s="526"/>
      <c r="J89" s="526"/>
      <c r="K89" s="527"/>
    </row>
    <row r="90" spans="2:11" ht="18" customHeight="1" x14ac:dyDescent="0.4">
      <c r="B90" s="337"/>
      <c r="C90" s="362"/>
      <c r="D90" s="287" t="s">
        <v>157</v>
      </c>
      <c r="E90" s="279">
        <v>6.5</v>
      </c>
      <c r="F90" s="278">
        <f t="shared" si="2"/>
        <v>0</v>
      </c>
      <c r="G90" s="528"/>
      <c r="H90" s="529"/>
      <c r="I90" s="529"/>
      <c r="J90" s="529"/>
      <c r="K90" s="530"/>
    </row>
    <row r="91" spans="2:11" ht="18" customHeight="1" x14ac:dyDescent="0.4">
      <c r="B91" s="337"/>
      <c r="C91" s="362"/>
      <c r="D91" s="287" t="s">
        <v>158</v>
      </c>
      <c r="E91" s="279">
        <v>3.25</v>
      </c>
      <c r="F91" s="278">
        <f t="shared" si="2"/>
        <v>0</v>
      </c>
      <c r="G91" s="528"/>
      <c r="H91" s="529"/>
      <c r="I91" s="529"/>
      <c r="J91" s="529"/>
      <c r="K91" s="530"/>
    </row>
    <row r="92" spans="2:11" ht="18" customHeight="1" x14ac:dyDescent="0.4">
      <c r="B92" s="337"/>
      <c r="C92" s="362"/>
      <c r="D92" s="287" t="s">
        <v>126</v>
      </c>
      <c r="E92" s="279">
        <v>0.32500000000000001</v>
      </c>
      <c r="F92" s="278">
        <f t="shared" si="2"/>
        <v>0</v>
      </c>
      <c r="G92" s="528"/>
      <c r="H92" s="529"/>
      <c r="I92" s="529"/>
      <c r="J92" s="529"/>
      <c r="K92" s="530"/>
    </row>
    <row r="93" spans="2:11" ht="18" customHeight="1" x14ac:dyDescent="0.4">
      <c r="B93" s="337"/>
      <c r="C93" s="362"/>
      <c r="D93" s="287" t="s">
        <v>132</v>
      </c>
      <c r="E93" s="279">
        <v>1.3</v>
      </c>
      <c r="F93" s="278">
        <f t="shared" si="2"/>
        <v>0</v>
      </c>
      <c r="G93" s="528"/>
      <c r="H93" s="529"/>
      <c r="I93" s="529"/>
      <c r="J93" s="529"/>
      <c r="K93" s="530"/>
    </row>
    <row r="94" spans="2:11" ht="18" customHeight="1" x14ac:dyDescent="0.4">
      <c r="B94" s="337"/>
      <c r="C94" s="362"/>
      <c r="D94" s="287" t="s">
        <v>179</v>
      </c>
      <c r="E94" s="279">
        <v>1.3</v>
      </c>
      <c r="F94" s="278">
        <f t="shared" si="2"/>
        <v>0</v>
      </c>
      <c r="G94" s="528"/>
      <c r="H94" s="529"/>
      <c r="I94" s="529"/>
      <c r="J94" s="529"/>
      <c r="K94" s="530"/>
    </row>
    <row r="95" spans="2:11" ht="18" customHeight="1" x14ac:dyDescent="0.4">
      <c r="B95" s="337"/>
      <c r="C95" s="428"/>
      <c r="D95" s="287" t="s">
        <v>178</v>
      </c>
      <c r="E95" s="279">
        <v>1.3</v>
      </c>
      <c r="F95" s="278">
        <f t="shared" si="2"/>
        <v>0</v>
      </c>
      <c r="G95" s="528"/>
      <c r="H95" s="529"/>
      <c r="I95" s="529"/>
      <c r="J95" s="529"/>
      <c r="K95" s="530"/>
    </row>
    <row r="96" spans="2:11" ht="18" customHeight="1" x14ac:dyDescent="0.4">
      <c r="B96" s="337"/>
      <c r="C96" s="299" t="s">
        <v>350</v>
      </c>
      <c r="D96" s="281" t="s">
        <v>44</v>
      </c>
      <c r="E96" s="300">
        <v>13</v>
      </c>
      <c r="F96" s="278">
        <f t="shared" si="2"/>
        <v>0</v>
      </c>
      <c r="G96" s="220" t="s">
        <v>351</v>
      </c>
      <c r="H96" s="221"/>
      <c r="I96" s="221"/>
      <c r="J96" s="221"/>
      <c r="K96" s="222"/>
    </row>
    <row r="97" spans="2:11" ht="18" customHeight="1" x14ac:dyDescent="0.4">
      <c r="B97" s="337"/>
      <c r="C97" s="304"/>
      <c r="D97" s="281" t="s">
        <v>18</v>
      </c>
      <c r="E97" s="300">
        <v>1.9500000000000002</v>
      </c>
      <c r="F97" s="278">
        <f t="shared" si="2"/>
        <v>0</v>
      </c>
      <c r="G97" s="223"/>
      <c r="H97" s="224"/>
      <c r="I97" s="224"/>
      <c r="J97" s="224"/>
      <c r="K97" s="225"/>
    </row>
    <row r="98" spans="2:11" ht="18" customHeight="1" x14ac:dyDescent="0.4">
      <c r="B98" s="337"/>
      <c r="C98" s="304"/>
      <c r="D98" s="281" t="s">
        <v>24</v>
      </c>
      <c r="E98" s="300">
        <v>1.9500000000000002</v>
      </c>
      <c r="F98" s="278">
        <f t="shared" si="2"/>
        <v>0</v>
      </c>
      <c r="G98" s="223"/>
      <c r="H98" s="224"/>
      <c r="I98" s="224"/>
      <c r="J98" s="224"/>
      <c r="K98" s="225"/>
    </row>
    <row r="99" spans="2:11" ht="18" customHeight="1" x14ac:dyDescent="0.4">
      <c r="B99" s="337"/>
      <c r="C99" s="310"/>
      <c r="D99" s="281" t="s">
        <v>126</v>
      </c>
      <c r="E99" s="282">
        <v>0.32500000000000001</v>
      </c>
      <c r="F99" s="278">
        <f t="shared" si="2"/>
        <v>0</v>
      </c>
      <c r="G99" s="412"/>
      <c r="H99" s="413"/>
      <c r="I99" s="413"/>
      <c r="J99" s="413"/>
      <c r="K99" s="414"/>
    </row>
    <row r="100" spans="2:11" ht="18" customHeight="1" x14ac:dyDescent="0.4">
      <c r="B100" s="337"/>
      <c r="C100" s="287" t="s">
        <v>134</v>
      </c>
      <c r="D100" s="469" t="s">
        <v>135</v>
      </c>
      <c r="E100" s="300">
        <v>13</v>
      </c>
      <c r="F100" s="278">
        <f t="shared" si="2"/>
        <v>0</v>
      </c>
      <c r="G100" s="187" t="s">
        <v>32</v>
      </c>
      <c r="H100" s="188"/>
      <c r="I100" s="188"/>
      <c r="J100" s="188"/>
      <c r="K100" s="189"/>
    </row>
    <row r="101" spans="2:11" ht="18" customHeight="1" x14ac:dyDescent="0.4">
      <c r="B101" s="318" t="s">
        <v>137</v>
      </c>
      <c r="C101" s="531" t="s">
        <v>352</v>
      </c>
      <c r="D101" s="281" t="s">
        <v>11</v>
      </c>
      <c r="E101" s="288">
        <v>26</v>
      </c>
      <c r="F101" s="278">
        <f t="shared" si="2"/>
        <v>0</v>
      </c>
      <c r="G101" s="220" t="s">
        <v>353</v>
      </c>
      <c r="H101" s="221"/>
      <c r="I101" s="221"/>
      <c r="J101" s="221"/>
      <c r="K101" s="222"/>
    </row>
    <row r="102" spans="2:11" ht="18" customHeight="1" x14ac:dyDescent="0.4">
      <c r="B102" s="318"/>
      <c r="C102" s="532"/>
      <c r="D102" s="281" t="s">
        <v>22</v>
      </c>
      <c r="E102" s="279">
        <v>6.5</v>
      </c>
      <c r="F102" s="278">
        <f t="shared" si="2"/>
        <v>0</v>
      </c>
      <c r="G102" s="223"/>
      <c r="H102" s="224"/>
      <c r="I102" s="224"/>
      <c r="J102" s="224"/>
      <c r="K102" s="225"/>
    </row>
    <row r="103" spans="2:11" ht="18" customHeight="1" x14ac:dyDescent="0.4">
      <c r="B103" s="318"/>
      <c r="C103" s="532"/>
      <c r="D103" s="281" t="s">
        <v>29</v>
      </c>
      <c r="E103" s="279">
        <v>0.32500000000000001</v>
      </c>
      <c r="F103" s="278">
        <f t="shared" si="2"/>
        <v>0</v>
      </c>
      <c r="G103" s="223"/>
      <c r="H103" s="224"/>
      <c r="I103" s="224"/>
      <c r="J103" s="224"/>
      <c r="K103" s="225"/>
    </row>
    <row r="104" spans="2:11" ht="18" customHeight="1" x14ac:dyDescent="0.4">
      <c r="B104" s="318"/>
      <c r="C104" s="532"/>
      <c r="D104" s="281" t="s">
        <v>28</v>
      </c>
      <c r="E104" s="279">
        <v>0.13</v>
      </c>
      <c r="F104" s="278">
        <f t="shared" si="2"/>
        <v>0</v>
      </c>
      <c r="G104" s="223"/>
      <c r="H104" s="224"/>
      <c r="I104" s="224"/>
      <c r="J104" s="224"/>
      <c r="K104" s="225"/>
    </row>
    <row r="105" spans="2:11" ht="18" customHeight="1" thickBot="1" x14ac:dyDescent="0.45">
      <c r="B105" s="318"/>
      <c r="C105" s="533"/>
      <c r="D105" s="451" t="s">
        <v>26</v>
      </c>
      <c r="E105" s="452">
        <v>1.3</v>
      </c>
      <c r="F105" s="375">
        <f t="shared" si="2"/>
        <v>0</v>
      </c>
      <c r="G105" s="534"/>
      <c r="H105" s="535"/>
      <c r="I105" s="535"/>
      <c r="J105" s="535"/>
      <c r="K105" s="536"/>
    </row>
    <row r="106" spans="2:11" ht="80.099999999999994" customHeight="1" thickTop="1" x14ac:dyDescent="0.4"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</row>
    <row r="107" spans="2:11" ht="18" thickBot="1" x14ac:dyDescent="0.45"/>
    <row r="108" spans="2:11" ht="21" customHeight="1" thickTop="1" x14ac:dyDescent="0.4">
      <c r="B108" s="384" t="s">
        <v>354</v>
      </c>
      <c r="C108" s="385"/>
      <c r="D108" s="385"/>
      <c r="E108" s="385"/>
      <c r="F108" s="385"/>
      <c r="G108" s="385"/>
      <c r="H108" s="385"/>
      <c r="I108" s="385"/>
      <c r="J108" s="385"/>
      <c r="K108" s="386"/>
    </row>
    <row r="109" spans="2:11" ht="18" customHeight="1" x14ac:dyDescent="0.4">
      <c r="B109" s="272" t="s">
        <v>2</v>
      </c>
      <c r="C109" s="273" t="s">
        <v>3</v>
      </c>
      <c r="D109" s="273" t="s">
        <v>4</v>
      </c>
      <c r="E109" s="274" t="s">
        <v>5</v>
      </c>
      <c r="F109" s="274" t="s">
        <v>6</v>
      </c>
      <c r="G109" s="387" t="s">
        <v>7</v>
      </c>
      <c r="H109" s="388"/>
      <c r="I109" s="388"/>
      <c r="J109" s="388"/>
      <c r="K109" s="389"/>
    </row>
    <row r="110" spans="2:11" ht="18" customHeight="1" x14ac:dyDescent="0.4">
      <c r="B110" s="272"/>
      <c r="C110" s="273"/>
      <c r="D110" s="273"/>
      <c r="E110" s="274" t="s">
        <v>1</v>
      </c>
      <c r="F110" s="276" t="s">
        <v>1</v>
      </c>
      <c r="G110" s="390"/>
      <c r="H110" s="391"/>
      <c r="I110" s="391"/>
      <c r="J110" s="391"/>
      <c r="K110" s="392"/>
    </row>
    <row r="111" spans="2:11" ht="18" customHeight="1" x14ac:dyDescent="0.4">
      <c r="B111" s="277" t="s">
        <v>8</v>
      </c>
      <c r="C111" s="278" t="s">
        <v>355</v>
      </c>
      <c r="D111" s="537" t="s">
        <v>356</v>
      </c>
      <c r="E111" s="300">
        <v>26</v>
      </c>
      <c r="F111" s="278">
        <f t="shared" ref="F111:F133" si="3">E111*E$2</f>
        <v>0</v>
      </c>
      <c r="G111" s="215" t="s">
        <v>99</v>
      </c>
      <c r="H111" s="216"/>
      <c r="I111" s="216"/>
      <c r="J111" s="216"/>
      <c r="K111" s="217"/>
    </row>
    <row r="112" spans="2:11" ht="18" customHeight="1" x14ac:dyDescent="0.4">
      <c r="B112" s="280" t="s">
        <v>10</v>
      </c>
      <c r="C112" s="342" t="s">
        <v>37</v>
      </c>
      <c r="D112" s="500" t="s">
        <v>11</v>
      </c>
      <c r="E112" s="278">
        <v>35</v>
      </c>
      <c r="F112" s="278">
        <f t="shared" si="3"/>
        <v>0</v>
      </c>
      <c r="G112" s="151" t="s">
        <v>38</v>
      </c>
      <c r="H112" s="152"/>
      <c r="I112" s="152"/>
      <c r="J112" s="152"/>
      <c r="K112" s="153"/>
    </row>
    <row r="113" spans="2:11" ht="18" customHeight="1" x14ac:dyDescent="0.4">
      <c r="B113" s="280"/>
      <c r="C113" s="342"/>
      <c r="D113" s="500" t="s">
        <v>39</v>
      </c>
      <c r="E113" s="278">
        <v>3.5</v>
      </c>
      <c r="F113" s="278">
        <f t="shared" si="3"/>
        <v>0</v>
      </c>
      <c r="G113" s="157"/>
      <c r="H113" s="158"/>
      <c r="I113" s="158"/>
      <c r="J113" s="158"/>
      <c r="K113" s="159"/>
    </row>
    <row r="114" spans="2:11" ht="18" customHeight="1" x14ac:dyDescent="0.4">
      <c r="B114" s="280"/>
      <c r="C114" s="398" t="s">
        <v>357</v>
      </c>
      <c r="D114" s="281" t="s">
        <v>13</v>
      </c>
      <c r="E114" s="288">
        <v>26</v>
      </c>
      <c r="F114" s="278">
        <f t="shared" si="3"/>
        <v>0</v>
      </c>
      <c r="G114" s="538" t="s">
        <v>358</v>
      </c>
      <c r="H114" s="539"/>
      <c r="I114" s="539"/>
      <c r="J114" s="539"/>
      <c r="K114" s="540"/>
    </row>
    <row r="115" spans="2:11" ht="18" customHeight="1" x14ac:dyDescent="0.4">
      <c r="B115" s="280"/>
      <c r="C115" s="541"/>
      <c r="D115" s="281" t="s">
        <v>14</v>
      </c>
      <c r="E115" s="279">
        <v>6.5</v>
      </c>
      <c r="F115" s="278">
        <f t="shared" si="3"/>
        <v>0</v>
      </c>
      <c r="G115" s="542"/>
      <c r="H115" s="543"/>
      <c r="I115" s="543"/>
      <c r="J115" s="543"/>
      <c r="K115" s="544"/>
    </row>
    <row r="116" spans="2:11" ht="18" customHeight="1" x14ac:dyDescent="0.4">
      <c r="B116" s="280"/>
      <c r="C116" s="541"/>
      <c r="D116" s="281" t="s">
        <v>15</v>
      </c>
      <c r="E116" s="279">
        <v>1.3</v>
      </c>
      <c r="F116" s="278">
        <f t="shared" si="3"/>
        <v>0</v>
      </c>
      <c r="G116" s="542"/>
      <c r="H116" s="543"/>
      <c r="I116" s="543"/>
      <c r="J116" s="543"/>
      <c r="K116" s="544"/>
    </row>
    <row r="117" spans="2:11" ht="18" customHeight="1" x14ac:dyDescent="0.4">
      <c r="B117" s="280"/>
      <c r="C117" s="541"/>
      <c r="D117" s="281" t="s">
        <v>126</v>
      </c>
      <c r="E117" s="279">
        <v>0.32500000000000001</v>
      </c>
      <c r="F117" s="278">
        <f t="shared" si="3"/>
        <v>0</v>
      </c>
      <c r="G117" s="542"/>
      <c r="H117" s="543"/>
      <c r="I117" s="543"/>
      <c r="J117" s="543"/>
      <c r="K117" s="544"/>
    </row>
    <row r="118" spans="2:11" ht="18" customHeight="1" x14ac:dyDescent="0.4">
      <c r="B118" s="280"/>
      <c r="C118" s="541"/>
      <c r="D118" s="281" t="s">
        <v>17</v>
      </c>
      <c r="E118" s="279">
        <v>1.3</v>
      </c>
      <c r="F118" s="278">
        <f t="shared" si="3"/>
        <v>0</v>
      </c>
      <c r="G118" s="542"/>
      <c r="H118" s="543"/>
      <c r="I118" s="543"/>
      <c r="J118" s="543"/>
      <c r="K118" s="544"/>
    </row>
    <row r="119" spans="2:11" ht="18" customHeight="1" x14ac:dyDescent="0.4">
      <c r="B119" s="280"/>
      <c r="C119" s="541"/>
      <c r="D119" s="281" t="s">
        <v>18</v>
      </c>
      <c r="E119" s="279">
        <v>0.32500000000000001</v>
      </c>
      <c r="F119" s="278">
        <f t="shared" si="3"/>
        <v>0</v>
      </c>
      <c r="G119" s="542"/>
      <c r="H119" s="543"/>
      <c r="I119" s="543"/>
      <c r="J119" s="543"/>
      <c r="K119" s="544"/>
    </row>
    <row r="120" spans="2:11" ht="18" customHeight="1" x14ac:dyDescent="0.4">
      <c r="B120" s="280"/>
      <c r="C120" s="541"/>
      <c r="D120" s="281" t="s">
        <v>19</v>
      </c>
      <c r="E120" s="279">
        <v>0.13</v>
      </c>
      <c r="F120" s="278">
        <f t="shared" si="3"/>
        <v>0</v>
      </c>
      <c r="G120" s="542"/>
      <c r="H120" s="543"/>
      <c r="I120" s="543"/>
      <c r="J120" s="543"/>
      <c r="K120" s="544"/>
    </row>
    <row r="121" spans="2:11" ht="18" customHeight="1" x14ac:dyDescent="0.4">
      <c r="B121" s="280"/>
      <c r="C121" s="545"/>
      <c r="D121" s="281" t="s">
        <v>20</v>
      </c>
      <c r="E121" s="279">
        <v>0.65</v>
      </c>
      <c r="F121" s="278">
        <f t="shared" si="3"/>
        <v>0</v>
      </c>
      <c r="G121" s="546"/>
      <c r="H121" s="547"/>
      <c r="I121" s="547"/>
      <c r="J121" s="547"/>
      <c r="K121" s="548"/>
    </row>
    <row r="122" spans="2:11" ht="18" customHeight="1" x14ac:dyDescent="0.4">
      <c r="B122" s="280"/>
      <c r="C122" s="432" t="s">
        <v>359</v>
      </c>
      <c r="D122" s="281" t="s">
        <v>63</v>
      </c>
      <c r="E122" s="278">
        <v>26</v>
      </c>
      <c r="F122" s="278">
        <f t="shared" si="3"/>
        <v>0</v>
      </c>
      <c r="G122" s="220" t="s">
        <v>360</v>
      </c>
      <c r="H122" s="221"/>
      <c r="I122" s="221"/>
      <c r="J122" s="221"/>
      <c r="K122" s="222"/>
    </row>
    <row r="123" spans="2:11" ht="18" customHeight="1" x14ac:dyDescent="0.4">
      <c r="B123" s="280"/>
      <c r="C123" s="549"/>
      <c r="D123" s="281" t="s">
        <v>191</v>
      </c>
      <c r="E123" s="309">
        <v>13</v>
      </c>
      <c r="F123" s="278">
        <f t="shared" si="3"/>
        <v>0</v>
      </c>
      <c r="G123" s="223"/>
      <c r="H123" s="224"/>
      <c r="I123" s="224"/>
      <c r="J123" s="224"/>
      <c r="K123" s="225"/>
    </row>
    <row r="124" spans="2:11" ht="18" customHeight="1" x14ac:dyDescent="0.4">
      <c r="B124" s="280"/>
      <c r="C124" s="436"/>
      <c r="D124" s="281" t="s">
        <v>28</v>
      </c>
      <c r="E124" s="308">
        <v>0.32500000000000001</v>
      </c>
      <c r="F124" s="278">
        <f t="shared" si="3"/>
        <v>0</v>
      </c>
      <c r="G124" s="223"/>
      <c r="H124" s="224"/>
      <c r="I124" s="224"/>
      <c r="J124" s="224"/>
      <c r="K124" s="225"/>
    </row>
    <row r="125" spans="2:11" ht="18" customHeight="1" x14ac:dyDescent="0.4">
      <c r="B125" s="280"/>
      <c r="C125" s="436"/>
      <c r="D125" s="281" t="s">
        <v>26</v>
      </c>
      <c r="E125" s="308">
        <v>0.13</v>
      </c>
      <c r="F125" s="278">
        <f t="shared" si="3"/>
        <v>0</v>
      </c>
      <c r="G125" s="412"/>
      <c r="H125" s="413"/>
      <c r="I125" s="413"/>
      <c r="J125" s="413"/>
      <c r="K125" s="414"/>
    </row>
    <row r="126" spans="2:11" ht="18" customHeight="1" x14ac:dyDescent="0.4">
      <c r="B126" s="280"/>
      <c r="C126" s="440" t="s">
        <v>361</v>
      </c>
      <c r="D126" s="281" t="s">
        <v>71</v>
      </c>
      <c r="E126" s="279">
        <v>3.25</v>
      </c>
      <c r="F126" s="278">
        <f t="shared" si="3"/>
        <v>0</v>
      </c>
      <c r="G126" s="220" t="s">
        <v>362</v>
      </c>
      <c r="H126" s="221"/>
      <c r="I126" s="221"/>
      <c r="J126" s="221"/>
      <c r="K126" s="222"/>
    </row>
    <row r="127" spans="2:11" ht="18" customHeight="1" x14ac:dyDescent="0.4">
      <c r="B127" s="280"/>
      <c r="C127" s="441"/>
      <c r="D127" s="281" t="s">
        <v>28</v>
      </c>
      <c r="E127" s="279">
        <v>0.13</v>
      </c>
      <c r="F127" s="278">
        <f t="shared" si="3"/>
        <v>0</v>
      </c>
      <c r="G127" s="223"/>
      <c r="H127" s="224"/>
      <c r="I127" s="224"/>
      <c r="J127" s="224"/>
      <c r="K127" s="225"/>
    </row>
    <row r="128" spans="2:11" ht="18" customHeight="1" x14ac:dyDescent="0.4">
      <c r="B128" s="280"/>
      <c r="C128" s="441"/>
      <c r="D128" s="281" t="s">
        <v>35</v>
      </c>
      <c r="E128" s="279">
        <v>0.13</v>
      </c>
      <c r="F128" s="278">
        <f t="shared" si="3"/>
        <v>0</v>
      </c>
      <c r="G128" s="223"/>
      <c r="H128" s="224"/>
      <c r="I128" s="224"/>
      <c r="J128" s="224"/>
      <c r="K128" s="225"/>
    </row>
    <row r="129" spans="2:11" ht="18" customHeight="1" x14ac:dyDescent="0.4">
      <c r="B129" s="280"/>
      <c r="C129" s="441"/>
      <c r="D129" s="281" t="s">
        <v>19</v>
      </c>
      <c r="E129" s="279">
        <v>0.65</v>
      </c>
      <c r="F129" s="278">
        <f t="shared" si="3"/>
        <v>0</v>
      </c>
      <c r="G129" s="223"/>
      <c r="H129" s="224"/>
      <c r="I129" s="224"/>
      <c r="J129" s="224"/>
      <c r="K129" s="225"/>
    </row>
    <row r="130" spans="2:11" ht="18" customHeight="1" x14ac:dyDescent="0.4">
      <c r="B130" s="280"/>
      <c r="C130" s="441"/>
      <c r="D130" s="281" t="s">
        <v>29</v>
      </c>
      <c r="E130" s="279">
        <v>0.13</v>
      </c>
      <c r="F130" s="278">
        <f t="shared" si="3"/>
        <v>0</v>
      </c>
      <c r="G130" s="412"/>
      <c r="H130" s="413"/>
      <c r="I130" s="413"/>
      <c r="J130" s="413"/>
      <c r="K130" s="414"/>
    </row>
    <row r="131" spans="2:11" ht="18" customHeight="1" x14ac:dyDescent="0.4">
      <c r="B131" s="280"/>
      <c r="C131" s="317" t="s">
        <v>134</v>
      </c>
      <c r="D131" s="317" t="s">
        <v>31</v>
      </c>
      <c r="E131" s="300">
        <v>13</v>
      </c>
      <c r="F131" s="334">
        <f t="shared" si="3"/>
        <v>0</v>
      </c>
      <c r="G131" s="97" t="s">
        <v>136</v>
      </c>
      <c r="H131" s="98"/>
      <c r="I131" s="98"/>
      <c r="J131" s="98"/>
      <c r="K131" s="99"/>
    </row>
    <row r="132" spans="2:11" ht="18" customHeight="1" x14ac:dyDescent="0.4">
      <c r="B132" s="318" t="s">
        <v>137</v>
      </c>
      <c r="C132" s="550" t="s">
        <v>363</v>
      </c>
      <c r="D132" s="281" t="s">
        <v>66</v>
      </c>
      <c r="E132" s="309">
        <v>26</v>
      </c>
      <c r="F132" s="278">
        <f t="shared" si="3"/>
        <v>0</v>
      </c>
      <c r="G132" s="551" t="s">
        <v>67</v>
      </c>
      <c r="H132" s="552"/>
      <c r="I132" s="552"/>
      <c r="J132" s="552"/>
      <c r="K132" s="553"/>
    </row>
    <row r="133" spans="2:11" ht="18" customHeight="1" thickBot="1" x14ac:dyDescent="0.45">
      <c r="B133" s="323"/>
      <c r="C133" s="554" t="s">
        <v>148</v>
      </c>
      <c r="D133" s="451" t="s">
        <v>189</v>
      </c>
      <c r="E133" s="376">
        <v>100</v>
      </c>
      <c r="F133" s="375">
        <f t="shared" si="3"/>
        <v>0</v>
      </c>
      <c r="G133" s="555"/>
      <c r="H133" s="556"/>
      <c r="I133" s="556"/>
      <c r="J133" s="556"/>
      <c r="K133" s="557"/>
    </row>
    <row r="134" spans="2:11" ht="80.099999999999994" customHeight="1" thickTop="1" x14ac:dyDescent="0.4"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</row>
    <row r="135" spans="2:11" ht="17.25" customHeight="1" thickBot="1" x14ac:dyDescent="0.45"/>
    <row r="136" spans="2:11" ht="21" customHeight="1" thickTop="1" x14ac:dyDescent="0.4">
      <c r="B136" s="384" t="s">
        <v>364</v>
      </c>
      <c r="C136" s="385"/>
      <c r="D136" s="385"/>
      <c r="E136" s="385"/>
      <c r="F136" s="385"/>
      <c r="G136" s="385"/>
      <c r="H136" s="385"/>
      <c r="I136" s="385"/>
      <c r="J136" s="385"/>
      <c r="K136" s="386"/>
    </row>
    <row r="137" spans="2:11" ht="18" customHeight="1" x14ac:dyDescent="0.4">
      <c r="B137" s="272" t="s">
        <v>2</v>
      </c>
      <c r="C137" s="273" t="s">
        <v>3</v>
      </c>
      <c r="D137" s="273" t="s">
        <v>4</v>
      </c>
      <c r="E137" s="274" t="s">
        <v>5</v>
      </c>
      <c r="F137" s="274" t="s">
        <v>6</v>
      </c>
      <c r="G137" s="387" t="s">
        <v>7</v>
      </c>
      <c r="H137" s="388"/>
      <c r="I137" s="388"/>
      <c r="J137" s="388"/>
      <c r="K137" s="389"/>
    </row>
    <row r="138" spans="2:11" ht="18" customHeight="1" x14ac:dyDescent="0.4">
      <c r="B138" s="272"/>
      <c r="C138" s="273"/>
      <c r="D138" s="273"/>
      <c r="E138" s="274" t="s">
        <v>1</v>
      </c>
      <c r="F138" s="276" t="s">
        <v>1</v>
      </c>
      <c r="G138" s="390"/>
      <c r="H138" s="391"/>
      <c r="I138" s="391"/>
      <c r="J138" s="391"/>
      <c r="K138" s="392"/>
    </row>
    <row r="139" spans="2:11" ht="18" customHeight="1" x14ac:dyDescent="0.4">
      <c r="B139" s="277" t="s">
        <v>8</v>
      </c>
      <c r="C139" s="278" t="s">
        <v>365</v>
      </c>
      <c r="D139" s="334" t="s">
        <v>365</v>
      </c>
      <c r="E139" s="282">
        <v>32.5</v>
      </c>
      <c r="F139" s="278">
        <f t="shared" ref="F139:F163" si="4">E139*E$2</f>
        <v>0</v>
      </c>
      <c r="G139" s="215" t="s">
        <v>366</v>
      </c>
      <c r="H139" s="216"/>
      <c r="I139" s="216"/>
      <c r="J139" s="216"/>
      <c r="K139" s="217"/>
    </row>
    <row r="140" spans="2:11" ht="18" customHeight="1" x14ac:dyDescent="0.4">
      <c r="B140" s="280" t="s">
        <v>10</v>
      </c>
      <c r="C140" s="402" t="s">
        <v>150</v>
      </c>
      <c r="D140" s="281" t="s">
        <v>122</v>
      </c>
      <c r="E140" s="279">
        <v>32.5</v>
      </c>
      <c r="F140" s="347">
        <f t="shared" si="4"/>
        <v>0</v>
      </c>
      <c r="G140" s="151" t="s">
        <v>12</v>
      </c>
      <c r="H140" s="152"/>
      <c r="I140" s="152"/>
      <c r="J140" s="152"/>
      <c r="K140" s="153"/>
    </row>
    <row r="141" spans="2:11" ht="18" customHeight="1" x14ac:dyDescent="0.4">
      <c r="B141" s="280"/>
      <c r="C141" s="338"/>
      <c r="D141" s="281" t="s">
        <v>151</v>
      </c>
      <c r="E141" s="279">
        <v>1.625</v>
      </c>
      <c r="F141" s="278">
        <f t="shared" si="4"/>
        <v>0</v>
      </c>
      <c r="G141" s="157"/>
      <c r="H141" s="158"/>
      <c r="I141" s="158"/>
      <c r="J141" s="158"/>
      <c r="K141" s="159"/>
    </row>
    <row r="142" spans="2:11" ht="18" customHeight="1" x14ac:dyDescent="0.4">
      <c r="B142" s="280"/>
      <c r="C142" s="345" t="s">
        <v>367</v>
      </c>
      <c r="D142" s="287" t="s">
        <v>368</v>
      </c>
      <c r="E142" s="278">
        <v>13</v>
      </c>
      <c r="F142" s="278">
        <f t="shared" si="4"/>
        <v>0</v>
      </c>
      <c r="G142" s="558" t="s">
        <v>369</v>
      </c>
      <c r="H142" s="559"/>
      <c r="I142" s="559"/>
      <c r="J142" s="559"/>
      <c r="K142" s="560"/>
    </row>
    <row r="143" spans="2:11" ht="18" customHeight="1" x14ac:dyDescent="0.4">
      <c r="B143" s="280"/>
      <c r="C143" s="346"/>
      <c r="D143" s="287" t="s">
        <v>41</v>
      </c>
      <c r="E143" s="308">
        <v>3.25</v>
      </c>
      <c r="F143" s="278">
        <f t="shared" si="4"/>
        <v>0</v>
      </c>
      <c r="G143" s="561"/>
      <c r="H143" s="562"/>
      <c r="I143" s="562"/>
      <c r="J143" s="562"/>
      <c r="K143" s="563"/>
    </row>
    <row r="144" spans="2:11" ht="18" customHeight="1" x14ac:dyDescent="0.4">
      <c r="B144" s="280"/>
      <c r="C144" s="346"/>
      <c r="D144" s="287" t="s">
        <v>15</v>
      </c>
      <c r="E144" s="278">
        <v>1.3</v>
      </c>
      <c r="F144" s="278">
        <f t="shared" si="4"/>
        <v>0</v>
      </c>
      <c r="G144" s="561"/>
      <c r="H144" s="562"/>
      <c r="I144" s="562"/>
      <c r="J144" s="562"/>
      <c r="K144" s="563"/>
    </row>
    <row r="145" spans="2:11" ht="18" customHeight="1" x14ac:dyDescent="0.4">
      <c r="B145" s="280"/>
      <c r="C145" s="346"/>
      <c r="D145" s="287" t="s">
        <v>17</v>
      </c>
      <c r="E145" s="278">
        <v>1.3</v>
      </c>
      <c r="F145" s="278">
        <f t="shared" si="4"/>
        <v>0</v>
      </c>
      <c r="G145" s="561"/>
      <c r="H145" s="562"/>
      <c r="I145" s="562"/>
      <c r="J145" s="562"/>
      <c r="K145" s="563"/>
    </row>
    <row r="146" spans="2:11" ht="18" customHeight="1" x14ac:dyDescent="0.4">
      <c r="B146" s="280"/>
      <c r="C146" s="346"/>
      <c r="D146" s="287" t="s">
        <v>126</v>
      </c>
      <c r="E146" s="308">
        <v>0.32500000000000001</v>
      </c>
      <c r="F146" s="278">
        <f t="shared" si="4"/>
        <v>0</v>
      </c>
      <c r="G146" s="561"/>
      <c r="H146" s="562"/>
      <c r="I146" s="562"/>
      <c r="J146" s="562"/>
      <c r="K146" s="563"/>
    </row>
    <row r="147" spans="2:11" ht="18" customHeight="1" x14ac:dyDescent="0.4">
      <c r="B147" s="280"/>
      <c r="C147" s="346"/>
      <c r="D147" s="287" t="s">
        <v>20</v>
      </c>
      <c r="E147" s="278">
        <v>1.3</v>
      </c>
      <c r="F147" s="278">
        <f t="shared" si="4"/>
        <v>0</v>
      </c>
      <c r="G147" s="561"/>
      <c r="H147" s="562"/>
      <c r="I147" s="562"/>
      <c r="J147" s="562"/>
      <c r="K147" s="563"/>
    </row>
    <row r="148" spans="2:11" ht="18" customHeight="1" x14ac:dyDescent="0.4">
      <c r="B148" s="280"/>
      <c r="C148" s="345" t="s">
        <v>370</v>
      </c>
      <c r="D148" s="281" t="s">
        <v>226</v>
      </c>
      <c r="E148" s="300">
        <v>26</v>
      </c>
      <c r="F148" s="278">
        <f t="shared" si="4"/>
        <v>0</v>
      </c>
      <c r="G148" s="220" t="s">
        <v>371</v>
      </c>
      <c r="H148" s="221"/>
      <c r="I148" s="221"/>
      <c r="J148" s="221"/>
      <c r="K148" s="222"/>
    </row>
    <row r="149" spans="2:11" ht="18" customHeight="1" x14ac:dyDescent="0.4">
      <c r="B149" s="280"/>
      <c r="C149" s="346"/>
      <c r="D149" s="281" t="s">
        <v>14</v>
      </c>
      <c r="E149" s="279">
        <v>6.5</v>
      </c>
      <c r="F149" s="278">
        <f t="shared" si="4"/>
        <v>0</v>
      </c>
      <c r="G149" s="223"/>
      <c r="H149" s="224"/>
      <c r="I149" s="224"/>
      <c r="J149" s="224"/>
      <c r="K149" s="225"/>
    </row>
    <row r="150" spans="2:11" ht="18" customHeight="1" x14ac:dyDescent="0.4">
      <c r="B150" s="280"/>
      <c r="C150" s="346"/>
      <c r="D150" s="281" t="s">
        <v>26</v>
      </c>
      <c r="E150" s="279">
        <v>1.3</v>
      </c>
      <c r="F150" s="278">
        <f t="shared" si="4"/>
        <v>0</v>
      </c>
      <c r="G150" s="223"/>
      <c r="H150" s="224"/>
      <c r="I150" s="224"/>
      <c r="J150" s="224"/>
      <c r="K150" s="225"/>
    </row>
    <row r="151" spans="2:11" ht="18" customHeight="1" x14ac:dyDescent="0.4">
      <c r="B151" s="280"/>
      <c r="C151" s="346"/>
      <c r="D151" s="446" t="s">
        <v>372</v>
      </c>
      <c r="E151" s="279">
        <v>3.25</v>
      </c>
      <c r="F151" s="278">
        <f t="shared" si="4"/>
        <v>0</v>
      </c>
      <c r="G151" s="223"/>
      <c r="H151" s="224"/>
      <c r="I151" s="224"/>
      <c r="J151" s="224"/>
      <c r="K151" s="225"/>
    </row>
    <row r="152" spans="2:11" ht="18" customHeight="1" x14ac:dyDescent="0.4">
      <c r="B152" s="280"/>
      <c r="C152" s="346"/>
      <c r="D152" s="446" t="s">
        <v>373</v>
      </c>
      <c r="E152" s="279">
        <v>0.32500000000000001</v>
      </c>
      <c r="F152" s="278">
        <f t="shared" si="4"/>
        <v>0</v>
      </c>
      <c r="G152" s="223"/>
      <c r="H152" s="224"/>
      <c r="I152" s="224"/>
      <c r="J152" s="224"/>
      <c r="K152" s="225"/>
    </row>
    <row r="153" spans="2:11" ht="18" customHeight="1" x14ac:dyDescent="0.4">
      <c r="B153" s="280"/>
      <c r="C153" s="460"/>
      <c r="D153" s="281" t="s">
        <v>160</v>
      </c>
      <c r="E153" s="279">
        <v>0.19500000000000001</v>
      </c>
      <c r="F153" s="278">
        <f t="shared" si="4"/>
        <v>0</v>
      </c>
      <c r="G153" s="412"/>
      <c r="H153" s="413"/>
      <c r="I153" s="413"/>
      <c r="J153" s="413"/>
      <c r="K153" s="414"/>
    </row>
    <row r="154" spans="2:11" s="263" customFormat="1" ht="18" customHeight="1" x14ac:dyDescent="0.4">
      <c r="B154" s="280"/>
      <c r="C154" s="345" t="s">
        <v>374</v>
      </c>
      <c r="D154" s="339" t="s">
        <v>80</v>
      </c>
      <c r="E154" s="279">
        <v>19.5</v>
      </c>
      <c r="F154" s="278">
        <f t="shared" si="4"/>
        <v>0</v>
      </c>
      <c r="G154" s="564" t="s">
        <v>375</v>
      </c>
      <c r="H154" s="565"/>
      <c r="I154" s="565"/>
      <c r="J154" s="565"/>
      <c r="K154" s="566"/>
    </row>
    <row r="155" spans="2:11" s="263" customFormat="1" ht="18" customHeight="1" x14ac:dyDescent="0.4">
      <c r="B155" s="280"/>
      <c r="C155" s="346"/>
      <c r="D155" s="281" t="s">
        <v>20</v>
      </c>
      <c r="E155" s="279">
        <v>0.65</v>
      </c>
      <c r="F155" s="278">
        <f t="shared" si="4"/>
        <v>0</v>
      </c>
      <c r="G155" s="567"/>
      <c r="H155" s="568"/>
      <c r="I155" s="568"/>
      <c r="J155" s="568"/>
      <c r="K155" s="569"/>
    </row>
    <row r="156" spans="2:11" s="263" customFormat="1" ht="18" customHeight="1" x14ac:dyDescent="0.4">
      <c r="B156" s="280"/>
      <c r="C156" s="346"/>
      <c r="D156" s="281" t="s">
        <v>126</v>
      </c>
      <c r="E156" s="279">
        <v>0.13</v>
      </c>
      <c r="F156" s="278">
        <f t="shared" si="4"/>
        <v>0</v>
      </c>
      <c r="G156" s="567"/>
      <c r="H156" s="568"/>
      <c r="I156" s="568"/>
      <c r="J156" s="568"/>
      <c r="K156" s="569"/>
    </row>
    <row r="157" spans="2:11" s="263" customFormat="1" ht="18" customHeight="1" x14ac:dyDescent="0.4">
      <c r="B157" s="280"/>
      <c r="C157" s="346"/>
      <c r="D157" s="281" t="s">
        <v>132</v>
      </c>
      <c r="E157" s="279">
        <v>0.32500000000000001</v>
      </c>
      <c r="F157" s="278">
        <f t="shared" si="4"/>
        <v>0</v>
      </c>
      <c r="G157" s="567"/>
      <c r="H157" s="568"/>
      <c r="I157" s="568"/>
      <c r="J157" s="568"/>
      <c r="K157" s="569"/>
    </row>
    <row r="158" spans="2:11" s="263" customFormat="1" ht="18" customHeight="1" x14ac:dyDescent="0.4">
      <c r="B158" s="280"/>
      <c r="C158" s="346"/>
      <c r="D158" s="281" t="s">
        <v>376</v>
      </c>
      <c r="E158" s="279">
        <v>1.3</v>
      </c>
      <c r="F158" s="278">
        <f t="shared" si="4"/>
        <v>0</v>
      </c>
      <c r="G158" s="567"/>
      <c r="H158" s="568"/>
      <c r="I158" s="568"/>
      <c r="J158" s="568"/>
      <c r="K158" s="569"/>
    </row>
    <row r="159" spans="2:11" s="263" customFormat="1" ht="18" customHeight="1" x14ac:dyDescent="0.4">
      <c r="B159" s="280"/>
      <c r="C159" s="346"/>
      <c r="D159" s="281" t="s">
        <v>19</v>
      </c>
      <c r="E159" s="279">
        <v>0.65</v>
      </c>
      <c r="F159" s="278">
        <f t="shared" si="4"/>
        <v>0</v>
      </c>
      <c r="G159" s="567"/>
      <c r="H159" s="568"/>
      <c r="I159" s="568"/>
      <c r="J159" s="568"/>
      <c r="K159" s="569"/>
    </row>
    <row r="160" spans="2:11" s="263" customFormat="1" ht="18" customHeight="1" x14ac:dyDescent="0.4">
      <c r="B160" s="280"/>
      <c r="C160" s="346"/>
      <c r="D160" s="281" t="s">
        <v>29</v>
      </c>
      <c r="E160" s="279">
        <v>0.13</v>
      </c>
      <c r="F160" s="278">
        <f t="shared" si="4"/>
        <v>0</v>
      </c>
      <c r="G160" s="570"/>
      <c r="H160" s="571"/>
      <c r="I160" s="571"/>
      <c r="J160" s="571"/>
      <c r="K160" s="572"/>
    </row>
    <row r="161" spans="2:11" ht="18" customHeight="1" x14ac:dyDescent="0.4">
      <c r="B161" s="280"/>
      <c r="C161" s="317" t="s">
        <v>338</v>
      </c>
      <c r="D161" s="573" t="s">
        <v>339</v>
      </c>
      <c r="E161" s="300">
        <v>13</v>
      </c>
      <c r="F161" s="347">
        <f t="shared" si="4"/>
        <v>0</v>
      </c>
      <c r="G161" s="507" t="s">
        <v>56</v>
      </c>
      <c r="H161" s="507"/>
      <c r="I161" s="507"/>
      <c r="J161" s="507"/>
      <c r="K161" s="508"/>
    </row>
    <row r="162" spans="2:11" ht="34.5" customHeight="1" x14ac:dyDescent="0.4">
      <c r="B162" s="467" t="s">
        <v>137</v>
      </c>
      <c r="C162" s="287" t="s">
        <v>377</v>
      </c>
      <c r="D162" s="278" t="s">
        <v>378</v>
      </c>
      <c r="E162" s="309">
        <v>52</v>
      </c>
      <c r="F162" s="278">
        <f t="shared" si="4"/>
        <v>0</v>
      </c>
      <c r="G162" s="574" t="s">
        <v>379</v>
      </c>
      <c r="H162" s="575"/>
      <c r="I162" s="575"/>
      <c r="J162" s="575"/>
      <c r="K162" s="576"/>
    </row>
    <row r="163" spans="2:11" ht="18" customHeight="1" thickBot="1" x14ac:dyDescent="0.45">
      <c r="B163" s="472"/>
      <c r="C163" s="577" t="s">
        <v>380</v>
      </c>
      <c r="D163" s="496" t="s">
        <v>380</v>
      </c>
      <c r="E163" s="578">
        <v>65</v>
      </c>
      <c r="F163" s="375">
        <f t="shared" si="4"/>
        <v>0</v>
      </c>
      <c r="G163" s="555"/>
      <c r="H163" s="556"/>
      <c r="I163" s="556"/>
      <c r="J163" s="556"/>
      <c r="K163" s="557"/>
    </row>
    <row r="164" spans="2:11" ht="80.099999999999994" customHeight="1" thickTop="1" x14ac:dyDescent="0.4">
      <c r="B164" s="90"/>
      <c r="C164" s="90"/>
      <c r="D164" s="90"/>
      <c r="E164" s="90"/>
      <c r="F164" s="90"/>
      <c r="G164" s="90"/>
      <c r="H164" s="90"/>
      <c r="I164" s="90"/>
      <c r="J164" s="90"/>
      <c r="K164" s="90"/>
    </row>
    <row r="165" spans="2:11" ht="18" thickBot="1" x14ac:dyDescent="0.45"/>
    <row r="166" spans="2:11" ht="21" customHeight="1" thickTop="1" x14ac:dyDescent="0.4">
      <c r="B166" s="384" t="s">
        <v>381</v>
      </c>
      <c r="C166" s="385"/>
      <c r="D166" s="385"/>
      <c r="E166" s="385"/>
      <c r="F166" s="385"/>
      <c r="G166" s="385"/>
      <c r="H166" s="385"/>
      <c r="I166" s="385"/>
      <c r="J166" s="385"/>
      <c r="K166" s="386"/>
    </row>
    <row r="167" spans="2:11" ht="18" customHeight="1" x14ac:dyDescent="0.4">
      <c r="B167" s="272" t="s">
        <v>2</v>
      </c>
      <c r="C167" s="273" t="s">
        <v>3</v>
      </c>
      <c r="D167" s="273" t="s">
        <v>4</v>
      </c>
      <c r="E167" s="274" t="s">
        <v>5</v>
      </c>
      <c r="F167" s="274" t="s">
        <v>6</v>
      </c>
      <c r="G167" s="387" t="s">
        <v>7</v>
      </c>
      <c r="H167" s="388"/>
      <c r="I167" s="388"/>
      <c r="J167" s="388"/>
      <c r="K167" s="389"/>
    </row>
    <row r="168" spans="2:11" ht="18" customHeight="1" x14ac:dyDescent="0.4">
      <c r="B168" s="272"/>
      <c r="C168" s="273"/>
      <c r="D168" s="273"/>
      <c r="E168" s="274" t="s">
        <v>1</v>
      </c>
      <c r="F168" s="276" t="s">
        <v>1</v>
      </c>
      <c r="G168" s="390"/>
      <c r="H168" s="391"/>
      <c r="I168" s="391"/>
      <c r="J168" s="391"/>
      <c r="K168" s="392"/>
    </row>
    <row r="169" spans="2:11" ht="18" customHeight="1" x14ac:dyDescent="0.4">
      <c r="B169" s="277" t="s">
        <v>8</v>
      </c>
      <c r="C169" s="278" t="s">
        <v>220</v>
      </c>
      <c r="D169" s="281" t="s">
        <v>221</v>
      </c>
      <c r="E169" s="278">
        <v>200</v>
      </c>
      <c r="F169" s="278">
        <f t="shared" ref="F169:F193" si="5">E169*E$2</f>
        <v>0</v>
      </c>
      <c r="G169" s="468"/>
      <c r="H169" s="216"/>
      <c r="I169" s="216"/>
      <c r="J169" s="216"/>
      <c r="K169" s="217"/>
    </row>
    <row r="170" spans="2:11" ht="18" customHeight="1" x14ac:dyDescent="0.4">
      <c r="B170" s="397" t="s">
        <v>10</v>
      </c>
      <c r="C170" s="345" t="s">
        <v>382</v>
      </c>
      <c r="D170" s="170" t="s">
        <v>83</v>
      </c>
      <c r="E170" s="288">
        <v>26</v>
      </c>
      <c r="F170" s="415">
        <f t="shared" si="5"/>
        <v>0</v>
      </c>
      <c r="G170" s="171" t="s">
        <v>383</v>
      </c>
      <c r="H170" s="172"/>
      <c r="I170" s="172"/>
      <c r="J170" s="172"/>
      <c r="K170" s="173"/>
    </row>
    <row r="171" spans="2:11" ht="18" customHeight="1" x14ac:dyDescent="0.4">
      <c r="B171" s="337"/>
      <c r="C171" s="346"/>
      <c r="D171" s="170" t="s">
        <v>84</v>
      </c>
      <c r="E171" s="288">
        <v>65</v>
      </c>
      <c r="F171" s="415">
        <f t="shared" si="5"/>
        <v>0</v>
      </c>
      <c r="G171" s="174"/>
      <c r="H171" s="175"/>
      <c r="I171" s="175"/>
      <c r="J171" s="175"/>
      <c r="K171" s="176"/>
    </row>
    <row r="172" spans="2:11" ht="18" customHeight="1" x14ac:dyDescent="0.4">
      <c r="B172" s="337"/>
      <c r="C172" s="346"/>
      <c r="D172" s="170" t="s">
        <v>85</v>
      </c>
      <c r="E172" s="279">
        <v>6.5</v>
      </c>
      <c r="F172" s="415">
        <f t="shared" si="5"/>
        <v>0</v>
      </c>
      <c r="G172" s="174"/>
      <c r="H172" s="175"/>
      <c r="I172" s="175"/>
      <c r="J172" s="175"/>
      <c r="K172" s="176"/>
    </row>
    <row r="173" spans="2:11" ht="18" customHeight="1" x14ac:dyDescent="0.4">
      <c r="B173" s="337"/>
      <c r="C173" s="346"/>
      <c r="D173" s="170" t="s">
        <v>345</v>
      </c>
      <c r="E173" s="279">
        <v>9.75</v>
      </c>
      <c r="F173" s="415">
        <f t="shared" si="5"/>
        <v>0</v>
      </c>
      <c r="G173" s="174"/>
      <c r="H173" s="175"/>
      <c r="I173" s="175"/>
      <c r="J173" s="175"/>
      <c r="K173" s="176"/>
    </row>
    <row r="174" spans="2:11" ht="18" customHeight="1" x14ac:dyDescent="0.4">
      <c r="B174" s="337"/>
      <c r="C174" s="346"/>
      <c r="D174" s="170" t="s">
        <v>126</v>
      </c>
      <c r="E174" s="288">
        <v>1.9500000000000002</v>
      </c>
      <c r="F174" s="415">
        <f t="shared" si="5"/>
        <v>0</v>
      </c>
      <c r="G174" s="174"/>
      <c r="H174" s="175"/>
      <c r="I174" s="175"/>
      <c r="J174" s="175"/>
      <c r="K174" s="176"/>
    </row>
    <row r="175" spans="2:11" ht="18" customHeight="1" x14ac:dyDescent="0.4">
      <c r="B175" s="337"/>
      <c r="C175" s="346"/>
      <c r="D175" s="170" t="s">
        <v>14</v>
      </c>
      <c r="E175" s="279">
        <v>3.25</v>
      </c>
      <c r="F175" s="415">
        <f t="shared" si="5"/>
        <v>0</v>
      </c>
      <c r="G175" s="174"/>
      <c r="H175" s="175"/>
      <c r="I175" s="175"/>
      <c r="J175" s="175"/>
      <c r="K175" s="176"/>
    </row>
    <row r="176" spans="2:11" ht="18" customHeight="1" x14ac:dyDescent="0.4">
      <c r="B176" s="337"/>
      <c r="C176" s="346"/>
      <c r="D176" s="170" t="s">
        <v>86</v>
      </c>
      <c r="E176" s="279">
        <v>6.5</v>
      </c>
      <c r="F176" s="415">
        <f t="shared" si="5"/>
        <v>0</v>
      </c>
      <c r="G176" s="174"/>
      <c r="H176" s="175"/>
      <c r="I176" s="175"/>
      <c r="J176" s="175"/>
      <c r="K176" s="176"/>
    </row>
    <row r="177" spans="2:11" ht="18" customHeight="1" x14ac:dyDescent="0.4">
      <c r="B177" s="337"/>
      <c r="C177" s="346"/>
      <c r="D177" s="170" t="s">
        <v>35</v>
      </c>
      <c r="E177" s="279">
        <v>1.3</v>
      </c>
      <c r="F177" s="278">
        <f t="shared" si="5"/>
        <v>0</v>
      </c>
      <c r="G177" s="174"/>
      <c r="H177" s="175"/>
      <c r="I177" s="175"/>
      <c r="J177" s="175"/>
      <c r="K177" s="176"/>
    </row>
    <row r="178" spans="2:11" ht="18" customHeight="1" x14ac:dyDescent="0.4">
      <c r="B178" s="337"/>
      <c r="C178" s="346"/>
      <c r="D178" s="170" t="s">
        <v>28</v>
      </c>
      <c r="E178" s="279">
        <v>0.65</v>
      </c>
      <c r="F178" s="278">
        <f t="shared" si="5"/>
        <v>0</v>
      </c>
      <c r="G178" s="174"/>
      <c r="H178" s="175"/>
      <c r="I178" s="175"/>
      <c r="J178" s="175"/>
      <c r="K178" s="176"/>
    </row>
    <row r="179" spans="2:11" ht="18" customHeight="1" x14ac:dyDescent="0.4">
      <c r="B179" s="337"/>
      <c r="C179" s="460"/>
      <c r="D179" s="170" t="s">
        <v>87</v>
      </c>
      <c r="E179" s="288">
        <v>1.9500000000000002</v>
      </c>
      <c r="F179" s="278">
        <f t="shared" si="5"/>
        <v>0</v>
      </c>
      <c r="G179" s="177"/>
      <c r="H179" s="178"/>
      <c r="I179" s="178"/>
      <c r="J179" s="178"/>
      <c r="K179" s="179"/>
    </row>
    <row r="180" spans="2:11" ht="18" customHeight="1" x14ac:dyDescent="0.4">
      <c r="B180" s="337"/>
      <c r="C180" s="362" t="s">
        <v>384</v>
      </c>
      <c r="D180" s="579" t="s">
        <v>79</v>
      </c>
      <c r="E180" s="347">
        <v>6.5</v>
      </c>
      <c r="F180" s="347">
        <f t="shared" si="5"/>
        <v>0</v>
      </c>
      <c r="G180" s="223" t="s">
        <v>385</v>
      </c>
      <c r="H180" s="224"/>
      <c r="I180" s="224"/>
      <c r="J180" s="224"/>
      <c r="K180" s="225"/>
    </row>
    <row r="181" spans="2:11" ht="18" customHeight="1" x14ac:dyDescent="0.4">
      <c r="B181" s="337"/>
      <c r="C181" s="362"/>
      <c r="D181" s="494" t="s">
        <v>386</v>
      </c>
      <c r="E181" s="308">
        <v>3.25</v>
      </c>
      <c r="F181" s="278">
        <f t="shared" si="5"/>
        <v>0</v>
      </c>
      <c r="G181" s="223"/>
      <c r="H181" s="224"/>
      <c r="I181" s="224"/>
      <c r="J181" s="224"/>
      <c r="K181" s="225"/>
    </row>
    <row r="182" spans="2:11" ht="18" customHeight="1" x14ac:dyDescent="0.4">
      <c r="B182" s="337"/>
      <c r="C182" s="362"/>
      <c r="D182" s="494" t="s">
        <v>49</v>
      </c>
      <c r="E182" s="278">
        <v>32.5</v>
      </c>
      <c r="F182" s="278">
        <f t="shared" si="5"/>
        <v>0</v>
      </c>
      <c r="G182" s="223"/>
      <c r="H182" s="224"/>
      <c r="I182" s="224"/>
      <c r="J182" s="224"/>
      <c r="K182" s="225"/>
    </row>
    <row r="183" spans="2:11" ht="18" customHeight="1" x14ac:dyDescent="0.4">
      <c r="B183" s="337"/>
      <c r="C183" s="362"/>
      <c r="D183" s="494" t="s">
        <v>28</v>
      </c>
      <c r="E183" s="308">
        <v>0.65</v>
      </c>
      <c r="F183" s="278">
        <f t="shared" si="5"/>
        <v>0</v>
      </c>
      <c r="G183" s="223"/>
      <c r="H183" s="224"/>
      <c r="I183" s="224"/>
      <c r="J183" s="224"/>
      <c r="K183" s="225"/>
    </row>
    <row r="184" spans="2:11" ht="18" customHeight="1" x14ac:dyDescent="0.4">
      <c r="B184" s="337"/>
      <c r="C184" s="428"/>
      <c r="D184" s="579" t="s">
        <v>25</v>
      </c>
      <c r="E184" s="308">
        <v>0.32500000000000001</v>
      </c>
      <c r="F184" s="278">
        <f t="shared" si="5"/>
        <v>0</v>
      </c>
      <c r="G184" s="412"/>
      <c r="H184" s="413"/>
      <c r="I184" s="413"/>
      <c r="J184" s="413"/>
      <c r="K184" s="414"/>
    </row>
    <row r="185" spans="2:11" ht="18" customHeight="1" x14ac:dyDescent="0.4">
      <c r="B185" s="337"/>
      <c r="C185" s="432" t="s">
        <v>387</v>
      </c>
      <c r="D185" s="281" t="s">
        <v>183</v>
      </c>
      <c r="E185" s="282">
        <v>9.75</v>
      </c>
      <c r="F185" s="278">
        <f t="shared" si="5"/>
        <v>0</v>
      </c>
      <c r="G185" s="220" t="s">
        <v>388</v>
      </c>
      <c r="H185" s="221"/>
      <c r="I185" s="221"/>
      <c r="J185" s="221"/>
      <c r="K185" s="222"/>
    </row>
    <row r="186" spans="2:11" ht="18" customHeight="1" x14ac:dyDescent="0.4">
      <c r="B186" s="337"/>
      <c r="C186" s="436"/>
      <c r="D186" s="281" t="s">
        <v>117</v>
      </c>
      <c r="E186" s="282">
        <v>3.25</v>
      </c>
      <c r="F186" s="278">
        <f t="shared" si="5"/>
        <v>0</v>
      </c>
      <c r="G186" s="223"/>
      <c r="H186" s="224"/>
      <c r="I186" s="224"/>
      <c r="J186" s="224"/>
      <c r="K186" s="225"/>
    </row>
    <row r="187" spans="2:11" ht="18" customHeight="1" x14ac:dyDescent="0.4">
      <c r="B187" s="337"/>
      <c r="C187" s="436"/>
      <c r="D187" s="281" t="s">
        <v>157</v>
      </c>
      <c r="E187" s="282">
        <v>3.25</v>
      </c>
      <c r="F187" s="278">
        <f t="shared" si="5"/>
        <v>0</v>
      </c>
      <c r="G187" s="223"/>
      <c r="H187" s="224"/>
      <c r="I187" s="224"/>
      <c r="J187" s="224"/>
      <c r="K187" s="225"/>
    </row>
    <row r="188" spans="2:11" ht="18" customHeight="1" x14ac:dyDescent="0.4">
      <c r="B188" s="337"/>
      <c r="C188" s="436"/>
      <c r="D188" s="281" t="s">
        <v>158</v>
      </c>
      <c r="E188" s="282">
        <v>3.25</v>
      </c>
      <c r="F188" s="278">
        <f t="shared" si="5"/>
        <v>0</v>
      </c>
      <c r="G188" s="223"/>
      <c r="H188" s="224"/>
      <c r="I188" s="224"/>
      <c r="J188" s="224"/>
      <c r="K188" s="225"/>
    </row>
    <row r="189" spans="2:11" ht="18" customHeight="1" x14ac:dyDescent="0.4">
      <c r="B189" s="337"/>
      <c r="C189" s="436"/>
      <c r="D189" s="281" t="s">
        <v>161</v>
      </c>
      <c r="E189" s="282">
        <v>1.625</v>
      </c>
      <c r="F189" s="278">
        <f t="shared" si="5"/>
        <v>0</v>
      </c>
      <c r="G189" s="223"/>
      <c r="H189" s="224"/>
      <c r="I189" s="224"/>
      <c r="J189" s="224"/>
      <c r="K189" s="225"/>
    </row>
    <row r="190" spans="2:11" ht="18" customHeight="1" x14ac:dyDescent="0.4">
      <c r="B190" s="337"/>
      <c r="C190" s="436"/>
      <c r="D190" s="281" t="s">
        <v>132</v>
      </c>
      <c r="E190" s="300">
        <v>0.97500000000000009</v>
      </c>
      <c r="F190" s="278">
        <f t="shared" si="5"/>
        <v>0</v>
      </c>
      <c r="G190" s="223"/>
      <c r="H190" s="224"/>
      <c r="I190" s="224"/>
      <c r="J190" s="224"/>
      <c r="K190" s="225"/>
    </row>
    <row r="191" spans="2:11" ht="18" customHeight="1" x14ac:dyDescent="0.4">
      <c r="B191" s="337"/>
      <c r="C191" s="436"/>
      <c r="D191" s="281" t="s">
        <v>126</v>
      </c>
      <c r="E191" s="282">
        <v>0.65</v>
      </c>
      <c r="F191" s="278">
        <f t="shared" si="5"/>
        <v>0</v>
      </c>
      <c r="G191" s="223"/>
      <c r="H191" s="224"/>
      <c r="I191" s="224"/>
      <c r="J191" s="224"/>
      <c r="K191" s="225"/>
    </row>
    <row r="192" spans="2:11" ht="18" customHeight="1" x14ac:dyDescent="0.4">
      <c r="B192" s="337"/>
      <c r="C192" s="436"/>
      <c r="D192" s="281" t="s">
        <v>186</v>
      </c>
      <c r="E192" s="282">
        <v>0.13</v>
      </c>
      <c r="F192" s="278">
        <f t="shared" si="5"/>
        <v>0</v>
      </c>
      <c r="G192" s="412"/>
      <c r="H192" s="413"/>
      <c r="I192" s="413"/>
      <c r="J192" s="413"/>
      <c r="K192" s="414"/>
    </row>
    <row r="193" spans="2:11" ht="18" customHeight="1" thickBot="1" x14ac:dyDescent="0.45">
      <c r="B193" s="337"/>
      <c r="C193" s="317" t="s">
        <v>134</v>
      </c>
      <c r="D193" s="369" t="s">
        <v>135</v>
      </c>
      <c r="E193" s="370">
        <v>13</v>
      </c>
      <c r="F193" s="371">
        <f t="shared" si="5"/>
        <v>0</v>
      </c>
      <c r="G193" s="187" t="s">
        <v>32</v>
      </c>
      <c r="H193" s="188"/>
      <c r="I193" s="188"/>
      <c r="J193" s="188"/>
      <c r="K193" s="189"/>
    </row>
    <row r="194" spans="2:11" ht="80.099999999999994" customHeight="1" thickTop="1" x14ac:dyDescent="0.4">
      <c r="B194" s="580"/>
      <c r="C194" s="580"/>
      <c r="D194" s="580"/>
      <c r="E194" s="580"/>
      <c r="F194" s="580"/>
      <c r="G194" s="580"/>
      <c r="H194" s="580"/>
      <c r="I194" s="580"/>
      <c r="J194" s="580"/>
      <c r="K194" s="580"/>
    </row>
  </sheetData>
  <mergeCells count="117">
    <mergeCell ref="F2:K2"/>
    <mergeCell ref="B3:K5"/>
    <mergeCell ref="B10:B31"/>
    <mergeCell ref="C12:C16"/>
    <mergeCell ref="G12:K16"/>
    <mergeCell ref="C17:C25"/>
    <mergeCell ref="G17:K25"/>
    <mergeCell ref="C26:C30"/>
    <mergeCell ref="G26:K30"/>
    <mergeCell ref="G31:K31"/>
    <mergeCell ref="B6:K6"/>
    <mergeCell ref="B7:B8"/>
    <mergeCell ref="C7:C8"/>
    <mergeCell ref="D7:D8"/>
    <mergeCell ref="G7:K8"/>
    <mergeCell ref="G9:K9"/>
    <mergeCell ref="C10:C11"/>
    <mergeCell ref="G10:K11"/>
    <mergeCell ref="B32:B38"/>
    <mergeCell ref="C32:C38"/>
    <mergeCell ref="G32:K38"/>
    <mergeCell ref="B39:K39"/>
    <mergeCell ref="C42:C43"/>
    <mergeCell ref="G42:K43"/>
    <mergeCell ref="B41:K41"/>
    <mergeCell ref="B42:B43"/>
    <mergeCell ref="D42:D43"/>
    <mergeCell ref="B44:B45"/>
    <mergeCell ref="G44:K44"/>
    <mergeCell ref="G45:K45"/>
    <mergeCell ref="B46:B64"/>
    <mergeCell ref="C46:C47"/>
    <mergeCell ref="G46:K47"/>
    <mergeCell ref="C48:C53"/>
    <mergeCell ref="G48:K53"/>
    <mergeCell ref="C54:C57"/>
    <mergeCell ref="G54:K57"/>
    <mergeCell ref="C58:C63"/>
    <mergeCell ref="G58:K63"/>
    <mergeCell ref="G64:K64"/>
    <mergeCell ref="B65:B72"/>
    <mergeCell ref="C65:C72"/>
    <mergeCell ref="G65:K72"/>
    <mergeCell ref="B73:K73"/>
    <mergeCell ref="B75:K75"/>
    <mergeCell ref="B76:B77"/>
    <mergeCell ref="C76:C77"/>
    <mergeCell ref="D76:D77"/>
    <mergeCell ref="G76:K77"/>
    <mergeCell ref="G78:K78"/>
    <mergeCell ref="B79:B100"/>
    <mergeCell ref="C79:C88"/>
    <mergeCell ref="G79:K88"/>
    <mergeCell ref="C89:C95"/>
    <mergeCell ref="G89:K95"/>
    <mergeCell ref="C96:C99"/>
    <mergeCell ref="G96:K99"/>
    <mergeCell ref="G100:K100"/>
    <mergeCell ref="B101:B105"/>
    <mergeCell ref="C101:C105"/>
    <mergeCell ref="G101:K105"/>
    <mergeCell ref="B106:K106"/>
    <mergeCell ref="C109:C110"/>
    <mergeCell ref="G109:K110"/>
    <mergeCell ref="B108:K108"/>
    <mergeCell ref="B109:B110"/>
    <mergeCell ref="D109:D110"/>
    <mergeCell ref="G111:K111"/>
    <mergeCell ref="B112:B131"/>
    <mergeCell ref="C112:C113"/>
    <mergeCell ref="G112:K113"/>
    <mergeCell ref="C114:C121"/>
    <mergeCell ref="G114:K121"/>
    <mergeCell ref="C122:C125"/>
    <mergeCell ref="G122:K125"/>
    <mergeCell ref="C126:C130"/>
    <mergeCell ref="G126:K130"/>
    <mergeCell ref="G131:K131"/>
    <mergeCell ref="B132:B133"/>
    <mergeCell ref="G132:K132"/>
    <mergeCell ref="G133:K133"/>
    <mergeCell ref="B134:K134"/>
    <mergeCell ref="B136:K136"/>
    <mergeCell ref="B137:B138"/>
    <mergeCell ref="C137:C138"/>
    <mergeCell ref="D137:D138"/>
    <mergeCell ref="G137:K138"/>
    <mergeCell ref="G139:K139"/>
    <mergeCell ref="B140:B161"/>
    <mergeCell ref="C140:C141"/>
    <mergeCell ref="G140:K141"/>
    <mergeCell ref="C142:C147"/>
    <mergeCell ref="G169:K169"/>
    <mergeCell ref="G142:K147"/>
    <mergeCell ref="C148:C153"/>
    <mergeCell ref="G148:K153"/>
    <mergeCell ref="C154:C160"/>
    <mergeCell ref="G154:K160"/>
    <mergeCell ref="G161:K161"/>
    <mergeCell ref="G162:K162"/>
    <mergeCell ref="G163:K163"/>
    <mergeCell ref="B164:K164"/>
    <mergeCell ref="B166:K166"/>
    <mergeCell ref="B167:B168"/>
    <mergeCell ref="C167:C168"/>
    <mergeCell ref="D167:D168"/>
    <mergeCell ref="G167:K168"/>
    <mergeCell ref="B170:B193"/>
    <mergeCell ref="B162:B163"/>
    <mergeCell ref="C170:C179"/>
    <mergeCell ref="G170:K179"/>
    <mergeCell ref="C180:C184"/>
    <mergeCell ref="G180:K184"/>
    <mergeCell ref="C185:C192"/>
    <mergeCell ref="G185:K192"/>
    <mergeCell ref="G193:K193"/>
    <mergeCell ref="B194:K194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164"/>
  <sheetViews>
    <sheetView workbookViewId="0">
      <selection activeCell="L24" sqref="A1:XFD1048576"/>
    </sheetView>
  </sheetViews>
  <sheetFormatPr defaultColWidth="9" defaultRowHeight="17.399999999999999" x14ac:dyDescent="0.4"/>
  <cols>
    <col min="1" max="1" width="4.8984375" style="262" customWidth="1"/>
    <col min="2" max="2" width="9" style="263"/>
    <col min="3" max="3" width="18.59765625" style="263" customWidth="1"/>
    <col min="4" max="11" width="11.59765625" style="263" customWidth="1"/>
    <col min="12" max="16384" width="9" style="262"/>
  </cols>
  <sheetData>
    <row r="1" spans="2:11" ht="18" thickBot="1" x14ac:dyDescent="0.45"/>
    <row r="2" spans="2:11" ht="18" customHeight="1" thickTop="1" thickBot="1" x14ac:dyDescent="0.45">
      <c r="C2" s="264" t="s">
        <v>0</v>
      </c>
      <c r="D2" s="264" t="s">
        <v>1</v>
      </c>
      <c r="E2" s="265"/>
      <c r="F2" s="266" t="s">
        <v>113</v>
      </c>
      <c r="G2" s="266"/>
      <c r="H2" s="266"/>
      <c r="I2" s="266"/>
      <c r="J2" s="266"/>
      <c r="K2" s="266"/>
    </row>
    <row r="3" spans="2:11" ht="34.5" customHeight="1" thickTop="1" x14ac:dyDescent="0.4">
      <c r="B3" s="267" t="s">
        <v>114</v>
      </c>
      <c r="C3" s="267"/>
      <c r="D3" s="267"/>
      <c r="E3" s="267"/>
      <c r="F3" s="267"/>
      <c r="G3" s="267"/>
      <c r="H3" s="267"/>
      <c r="I3" s="267"/>
      <c r="J3" s="267"/>
      <c r="K3" s="267"/>
    </row>
    <row r="4" spans="2:11" ht="16.5" customHeight="1" x14ac:dyDescent="0.4">
      <c r="B4" s="267"/>
      <c r="C4" s="267"/>
      <c r="D4" s="267"/>
      <c r="E4" s="267"/>
      <c r="F4" s="267"/>
      <c r="G4" s="267"/>
      <c r="H4" s="267"/>
      <c r="I4" s="267"/>
      <c r="J4" s="267"/>
      <c r="K4" s="267"/>
    </row>
    <row r="5" spans="2:11" ht="16.5" customHeight="1" thickBot="1" x14ac:dyDescent="0.45">
      <c r="B5" s="268"/>
      <c r="C5" s="268"/>
      <c r="D5" s="268"/>
      <c r="E5" s="268"/>
      <c r="F5" s="268"/>
      <c r="G5" s="268"/>
      <c r="H5" s="268"/>
      <c r="I5" s="268"/>
      <c r="J5" s="268"/>
      <c r="K5" s="268"/>
    </row>
    <row r="6" spans="2:11" ht="21" customHeight="1" thickTop="1" x14ac:dyDescent="0.4">
      <c r="B6" s="269" t="s">
        <v>389</v>
      </c>
      <c r="C6" s="270"/>
      <c r="D6" s="270"/>
      <c r="E6" s="270"/>
      <c r="F6" s="270"/>
      <c r="G6" s="270"/>
      <c r="H6" s="270"/>
      <c r="I6" s="270"/>
      <c r="J6" s="270"/>
      <c r="K6" s="271"/>
    </row>
    <row r="7" spans="2:11" ht="18" customHeight="1" x14ac:dyDescent="0.4">
      <c r="B7" s="272" t="s">
        <v>2</v>
      </c>
      <c r="C7" s="273" t="s">
        <v>3</v>
      </c>
      <c r="D7" s="273" t="s">
        <v>4</v>
      </c>
      <c r="E7" s="274" t="s">
        <v>5</v>
      </c>
      <c r="F7" s="274" t="s">
        <v>6</v>
      </c>
      <c r="G7" s="273" t="s">
        <v>7</v>
      </c>
      <c r="H7" s="273"/>
      <c r="I7" s="273"/>
      <c r="J7" s="273"/>
      <c r="K7" s="275"/>
    </row>
    <row r="8" spans="2:11" ht="18" customHeight="1" x14ac:dyDescent="0.4">
      <c r="B8" s="272"/>
      <c r="C8" s="273"/>
      <c r="D8" s="273"/>
      <c r="E8" s="274" t="s">
        <v>1</v>
      </c>
      <c r="F8" s="276" t="s">
        <v>1</v>
      </c>
      <c r="G8" s="273"/>
      <c r="H8" s="273"/>
      <c r="I8" s="273"/>
      <c r="J8" s="273"/>
      <c r="K8" s="275"/>
    </row>
    <row r="9" spans="2:11" ht="18" customHeight="1" x14ac:dyDescent="0.4">
      <c r="B9" s="277" t="s">
        <v>8</v>
      </c>
      <c r="C9" s="457" t="s">
        <v>293</v>
      </c>
      <c r="D9" s="278" t="s">
        <v>293</v>
      </c>
      <c r="E9" s="279">
        <v>32.5</v>
      </c>
      <c r="F9" s="278">
        <f t="shared" ref="F9:F34" si="0">E9*E$2</f>
        <v>0</v>
      </c>
      <c r="G9" s="458" t="s">
        <v>294</v>
      </c>
      <c r="H9" s="458"/>
      <c r="I9" s="458"/>
      <c r="J9" s="458"/>
      <c r="K9" s="459"/>
    </row>
    <row r="10" spans="2:11" ht="18" customHeight="1" x14ac:dyDescent="0.4">
      <c r="B10" s="280" t="s">
        <v>10</v>
      </c>
      <c r="C10" s="281" t="s">
        <v>121</v>
      </c>
      <c r="D10" s="281" t="s">
        <v>122</v>
      </c>
      <c r="E10" s="282">
        <v>35.75</v>
      </c>
      <c r="F10" s="278">
        <f t="shared" si="0"/>
        <v>0</v>
      </c>
      <c r="G10" s="283" t="s">
        <v>123</v>
      </c>
      <c r="H10" s="284"/>
      <c r="I10" s="284"/>
      <c r="J10" s="284"/>
      <c r="K10" s="285"/>
    </row>
    <row r="11" spans="2:11" ht="18" customHeight="1" x14ac:dyDescent="0.4">
      <c r="B11" s="280"/>
      <c r="C11" s="345" t="s">
        <v>267</v>
      </c>
      <c r="D11" s="281" t="s">
        <v>70</v>
      </c>
      <c r="E11" s="300">
        <v>13</v>
      </c>
      <c r="F11" s="278">
        <f t="shared" si="0"/>
        <v>0</v>
      </c>
      <c r="G11" s="583" t="s">
        <v>390</v>
      </c>
      <c r="H11" s="583"/>
      <c r="I11" s="583"/>
      <c r="J11" s="583"/>
      <c r="K11" s="584"/>
    </row>
    <row r="12" spans="2:11" ht="18" customHeight="1" x14ac:dyDescent="0.4">
      <c r="B12" s="280"/>
      <c r="C12" s="346"/>
      <c r="D12" s="281" t="s">
        <v>75</v>
      </c>
      <c r="E12" s="282">
        <v>1.3</v>
      </c>
      <c r="F12" s="278">
        <f t="shared" si="0"/>
        <v>0</v>
      </c>
      <c r="G12" s="583"/>
      <c r="H12" s="583"/>
      <c r="I12" s="583"/>
      <c r="J12" s="583"/>
      <c r="K12" s="584"/>
    </row>
    <row r="13" spans="2:11" ht="18" customHeight="1" x14ac:dyDescent="0.4">
      <c r="B13" s="280"/>
      <c r="C13" s="346"/>
      <c r="D13" s="281" t="s">
        <v>15</v>
      </c>
      <c r="E13" s="300">
        <v>1.9500000000000002</v>
      </c>
      <c r="F13" s="278">
        <f t="shared" si="0"/>
        <v>0</v>
      </c>
      <c r="G13" s="583"/>
      <c r="H13" s="583"/>
      <c r="I13" s="583"/>
      <c r="J13" s="583"/>
      <c r="K13" s="584"/>
    </row>
    <row r="14" spans="2:11" ht="18" customHeight="1" x14ac:dyDescent="0.4">
      <c r="B14" s="280"/>
      <c r="C14" s="346"/>
      <c r="D14" s="281" t="s">
        <v>126</v>
      </c>
      <c r="E14" s="282">
        <v>0.32500000000000001</v>
      </c>
      <c r="F14" s="278">
        <f t="shared" si="0"/>
        <v>0</v>
      </c>
      <c r="G14" s="583"/>
      <c r="H14" s="583"/>
      <c r="I14" s="583"/>
      <c r="J14" s="583"/>
      <c r="K14" s="584"/>
    </row>
    <row r="15" spans="2:11" ht="18" customHeight="1" x14ac:dyDescent="0.4">
      <c r="B15" s="280"/>
      <c r="C15" s="460"/>
      <c r="D15" s="281" t="s">
        <v>18</v>
      </c>
      <c r="E15" s="282">
        <v>0.32500000000000001</v>
      </c>
      <c r="F15" s="278">
        <f t="shared" si="0"/>
        <v>0</v>
      </c>
      <c r="G15" s="583"/>
      <c r="H15" s="583"/>
      <c r="I15" s="583"/>
      <c r="J15" s="583"/>
      <c r="K15" s="584"/>
    </row>
    <row r="16" spans="2:11" ht="18" customHeight="1" x14ac:dyDescent="0.4">
      <c r="B16" s="280"/>
      <c r="C16" s="345" t="s">
        <v>391</v>
      </c>
      <c r="D16" s="281" t="s">
        <v>128</v>
      </c>
      <c r="E16" s="300">
        <v>26</v>
      </c>
      <c r="F16" s="278">
        <f t="shared" si="0"/>
        <v>0</v>
      </c>
      <c r="G16" s="220" t="s">
        <v>392</v>
      </c>
      <c r="H16" s="221"/>
      <c r="I16" s="221"/>
      <c r="J16" s="221"/>
      <c r="K16" s="222"/>
    </row>
    <row r="17" spans="2:11" ht="18" customHeight="1" x14ac:dyDescent="0.4">
      <c r="B17" s="280"/>
      <c r="C17" s="346"/>
      <c r="D17" s="281" t="s">
        <v>157</v>
      </c>
      <c r="E17" s="282">
        <v>6.5</v>
      </c>
      <c r="F17" s="278">
        <f t="shared" si="0"/>
        <v>0</v>
      </c>
      <c r="G17" s="223"/>
      <c r="H17" s="224"/>
      <c r="I17" s="224"/>
      <c r="J17" s="224"/>
      <c r="K17" s="225"/>
    </row>
    <row r="18" spans="2:11" ht="18" customHeight="1" x14ac:dyDescent="0.4">
      <c r="B18" s="280"/>
      <c r="C18" s="346"/>
      <c r="D18" s="287" t="s">
        <v>117</v>
      </c>
      <c r="E18" s="282">
        <v>6.5</v>
      </c>
      <c r="F18" s="278">
        <f t="shared" si="0"/>
        <v>0</v>
      </c>
      <c r="G18" s="223"/>
      <c r="H18" s="224"/>
      <c r="I18" s="224"/>
      <c r="J18" s="224"/>
      <c r="K18" s="225"/>
    </row>
    <row r="19" spans="2:11" ht="18" customHeight="1" x14ac:dyDescent="0.4">
      <c r="B19" s="280"/>
      <c r="C19" s="346"/>
      <c r="D19" s="287" t="s">
        <v>158</v>
      </c>
      <c r="E19" s="282">
        <v>3.25</v>
      </c>
      <c r="F19" s="278">
        <f t="shared" si="0"/>
        <v>0</v>
      </c>
      <c r="G19" s="223"/>
      <c r="H19" s="224"/>
      <c r="I19" s="224"/>
      <c r="J19" s="224"/>
      <c r="K19" s="225"/>
    </row>
    <row r="20" spans="2:11" ht="18" customHeight="1" x14ac:dyDescent="0.4">
      <c r="B20" s="280"/>
      <c r="C20" s="346"/>
      <c r="D20" s="287" t="s">
        <v>132</v>
      </c>
      <c r="E20" s="300">
        <v>1.9500000000000002</v>
      </c>
      <c r="F20" s="278">
        <f t="shared" si="0"/>
        <v>0</v>
      </c>
      <c r="G20" s="223"/>
      <c r="H20" s="224"/>
      <c r="I20" s="224"/>
      <c r="J20" s="224"/>
      <c r="K20" s="225"/>
    </row>
    <row r="21" spans="2:11" ht="18" customHeight="1" x14ac:dyDescent="0.4">
      <c r="B21" s="280"/>
      <c r="C21" s="346"/>
      <c r="D21" s="287" t="s">
        <v>161</v>
      </c>
      <c r="E21" s="282">
        <v>1.625</v>
      </c>
      <c r="F21" s="278">
        <f t="shared" si="0"/>
        <v>0</v>
      </c>
      <c r="G21" s="223"/>
      <c r="H21" s="224"/>
      <c r="I21" s="224"/>
      <c r="J21" s="224"/>
      <c r="K21" s="225"/>
    </row>
    <row r="22" spans="2:11" ht="18" customHeight="1" x14ac:dyDescent="0.4">
      <c r="B22" s="280"/>
      <c r="C22" s="346"/>
      <c r="D22" s="287" t="s">
        <v>126</v>
      </c>
      <c r="E22" s="282">
        <v>0.65</v>
      </c>
      <c r="F22" s="278">
        <f t="shared" si="0"/>
        <v>0</v>
      </c>
      <c r="G22" s="223"/>
      <c r="H22" s="224"/>
      <c r="I22" s="224"/>
      <c r="J22" s="224"/>
      <c r="K22" s="225"/>
    </row>
    <row r="23" spans="2:11" ht="18" customHeight="1" x14ac:dyDescent="0.4">
      <c r="B23" s="280"/>
      <c r="C23" s="346"/>
      <c r="D23" s="287" t="s">
        <v>186</v>
      </c>
      <c r="E23" s="282">
        <v>0.13</v>
      </c>
      <c r="F23" s="278">
        <f t="shared" si="0"/>
        <v>0</v>
      </c>
      <c r="G23" s="223"/>
      <c r="H23" s="224"/>
      <c r="I23" s="224"/>
      <c r="J23" s="224"/>
      <c r="K23" s="225"/>
    </row>
    <row r="24" spans="2:11" ht="18" customHeight="1" x14ac:dyDescent="0.4">
      <c r="B24" s="280"/>
      <c r="C24" s="346"/>
      <c r="D24" s="287" t="s">
        <v>133</v>
      </c>
      <c r="E24" s="282">
        <v>0.19500000000000001</v>
      </c>
      <c r="F24" s="278">
        <f t="shared" si="0"/>
        <v>0</v>
      </c>
      <c r="G24" s="223"/>
      <c r="H24" s="224"/>
      <c r="I24" s="224"/>
      <c r="J24" s="224"/>
      <c r="K24" s="225"/>
    </row>
    <row r="25" spans="2:11" ht="18" customHeight="1" x14ac:dyDescent="0.4">
      <c r="B25" s="280"/>
      <c r="C25" s="346"/>
      <c r="D25" s="287" t="s">
        <v>160</v>
      </c>
      <c r="E25" s="282">
        <v>6.5000000000000002E-2</v>
      </c>
      <c r="F25" s="278">
        <f t="shared" si="0"/>
        <v>0</v>
      </c>
      <c r="G25" s="223"/>
      <c r="H25" s="224"/>
      <c r="I25" s="224"/>
      <c r="J25" s="224"/>
      <c r="K25" s="225"/>
    </row>
    <row r="26" spans="2:11" ht="18" customHeight="1" x14ac:dyDescent="0.4">
      <c r="B26" s="280"/>
      <c r="C26" s="358" t="s">
        <v>393</v>
      </c>
      <c r="D26" s="281" t="s">
        <v>211</v>
      </c>
      <c r="E26" s="278">
        <v>19.5</v>
      </c>
      <c r="F26" s="278">
        <f t="shared" si="0"/>
        <v>0</v>
      </c>
      <c r="G26" s="585" t="s">
        <v>394</v>
      </c>
      <c r="H26" s="586"/>
      <c r="I26" s="586"/>
      <c r="J26" s="586"/>
      <c r="K26" s="587"/>
    </row>
    <row r="27" spans="2:11" ht="18" customHeight="1" x14ac:dyDescent="0.4">
      <c r="B27" s="280"/>
      <c r="C27" s="362"/>
      <c r="D27" s="281" t="s">
        <v>159</v>
      </c>
      <c r="E27" s="308">
        <v>0.65</v>
      </c>
      <c r="F27" s="278">
        <f t="shared" si="0"/>
        <v>0</v>
      </c>
      <c r="G27" s="588"/>
      <c r="H27" s="589"/>
      <c r="I27" s="589"/>
      <c r="J27" s="589"/>
      <c r="K27" s="590"/>
    </row>
    <row r="28" spans="2:11" ht="18" customHeight="1" x14ac:dyDescent="0.4">
      <c r="B28" s="280"/>
      <c r="C28" s="362"/>
      <c r="D28" s="281" t="s">
        <v>186</v>
      </c>
      <c r="E28" s="308">
        <v>0.65</v>
      </c>
      <c r="F28" s="278">
        <f t="shared" si="0"/>
        <v>0</v>
      </c>
      <c r="G28" s="588"/>
      <c r="H28" s="589"/>
      <c r="I28" s="589"/>
      <c r="J28" s="589"/>
      <c r="K28" s="590"/>
    </row>
    <row r="29" spans="2:11" ht="18" customHeight="1" x14ac:dyDescent="0.4">
      <c r="B29" s="280"/>
      <c r="C29" s="428"/>
      <c r="D29" s="281" t="s">
        <v>29</v>
      </c>
      <c r="E29" s="308">
        <v>0.19500000000000001</v>
      </c>
      <c r="F29" s="278">
        <f t="shared" si="0"/>
        <v>0</v>
      </c>
      <c r="G29" s="591"/>
      <c r="H29" s="592"/>
      <c r="I29" s="592"/>
      <c r="J29" s="592"/>
      <c r="K29" s="593"/>
    </row>
    <row r="30" spans="2:11" ht="18" customHeight="1" x14ac:dyDescent="0.4">
      <c r="B30" s="280"/>
      <c r="C30" s="287" t="s">
        <v>134</v>
      </c>
      <c r="D30" s="287" t="s">
        <v>135</v>
      </c>
      <c r="E30" s="278">
        <v>13</v>
      </c>
      <c r="F30" s="278">
        <f t="shared" si="0"/>
        <v>0</v>
      </c>
      <c r="G30" s="177" t="s">
        <v>32</v>
      </c>
      <c r="H30" s="178"/>
      <c r="I30" s="178"/>
      <c r="J30" s="178"/>
      <c r="K30" s="179"/>
    </row>
    <row r="31" spans="2:11" ht="18" customHeight="1" x14ac:dyDescent="0.4">
      <c r="B31" s="467" t="s">
        <v>9</v>
      </c>
      <c r="C31" s="358" t="s">
        <v>395</v>
      </c>
      <c r="D31" s="281" t="s">
        <v>396</v>
      </c>
      <c r="E31" s="288">
        <v>26</v>
      </c>
      <c r="F31" s="278">
        <f t="shared" si="0"/>
        <v>0</v>
      </c>
      <c r="G31" s="97" t="s">
        <v>397</v>
      </c>
      <c r="H31" s="98"/>
      <c r="I31" s="98"/>
      <c r="J31" s="98"/>
      <c r="K31" s="99"/>
    </row>
    <row r="32" spans="2:11" ht="18" customHeight="1" x14ac:dyDescent="0.4">
      <c r="B32" s="467"/>
      <c r="C32" s="362"/>
      <c r="D32" s="281" t="s">
        <v>398</v>
      </c>
      <c r="E32" s="279">
        <v>19.5</v>
      </c>
      <c r="F32" s="278">
        <f t="shared" si="0"/>
        <v>0</v>
      </c>
      <c r="G32" s="97"/>
      <c r="H32" s="98"/>
      <c r="I32" s="98"/>
      <c r="J32" s="98"/>
      <c r="K32" s="99"/>
    </row>
    <row r="33" spans="2:11" ht="18" customHeight="1" x14ac:dyDescent="0.4">
      <c r="B33" s="467"/>
      <c r="C33" s="362"/>
      <c r="D33" s="281" t="s">
        <v>28</v>
      </c>
      <c r="E33" s="288">
        <v>1.9500000000000002</v>
      </c>
      <c r="F33" s="278">
        <f t="shared" si="0"/>
        <v>0</v>
      </c>
      <c r="G33" s="97"/>
      <c r="H33" s="98"/>
      <c r="I33" s="98"/>
      <c r="J33" s="98"/>
      <c r="K33" s="99"/>
    </row>
    <row r="34" spans="2:11" ht="18" customHeight="1" thickBot="1" x14ac:dyDescent="0.45">
      <c r="B34" s="472"/>
      <c r="C34" s="594"/>
      <c r="D34" s="451" t="s">
        <v>35</v>
      </c>
      <c r="E34" s="452">
        <v>6.5</v>
      </c>
      <c r="F34" s="375">
        <f t="shared" si="0"/>
        <v>0</v>
      </c>
      <c r="G34" s="497"/>
      <c r="H34" s="498"/>
      <c r="I34" s="498"/>
      <c r="J34" s="498"/>
      <c r="K34" s="499"/>
    </row>
    <row r="35" spans="2:11" ht="80.099999999999994" customHeight="1" thickTop="1" x14ac:dyDescent="0.4">
      <c r="B35" s="90"/>
      <c r="C35" s="90"/>
      <c r="D35" s="90"/>
      <c r="E35" s="90"/>
      <c r="F35" s="90"/>
      <c r="G35" s="90"/>
      <c r="H35" s="90"/>
      <c r="I35" s="90"/>
      <c r="J35" s="90"/>
      <c r="K35" s="90"/>
    </row>
    <row r="36" spans="2:11" ht="18" thickBot="1" x14ac:dyDescent="0.45"/>
    <row r="37" spans="2:11" ht="21" customHeight="1" thickTop="1" x14ac:dyDescent="0.4">
      <c r="B37" s="269" t="s">
        <v>399</v>
      </c>
      <c r="C37" s="270"/>
      <c r="D37" s="270"/>
      <c r="E37" s="270"/>
      <c r="F37" s="270"/>
      <c r="G37" s="270"/>
      <c r="H37" s="270"/>
      <c r="I37" s="270"/>
      <c r="J37" s="270"/>
      <c r="K37" s="271"/>
    </row>
    <row r="38" spans="2:11" ht="18" customHeight="1" x14ac:dyDescent="0.4">
      <c r="B38" s="272" t="s">
        <v>2</v>
      </c>
      <c r="C38" s="273" t="s">
        <v>3</v>
      </c>
      <c r="D38" s="273" t="s">
        <v>4</v>
      </c>
      <c r="E38" s="274" t="s">
        <v>5</v>
      </c>
      <c r="F38" s="274" t="s">
        <v>6</v>
      </c>
      <c r="G38" s="273" t="s">
        <v>7</v>
      </c>
      <c r="H38" s="273"/>
      <c r="I38" s="273"/>
      <c r="J38" s="273"/>
      <c r="K38" s="275"/>
    </row>
    <row r="39" spans="2:11" ht="18" customHeight="1" x14ac:dyDescent="0.4">
      <c r="B39" s="272"/>
      <c r="C39" s="273"/>
      <c r="D39" s="273"/>
      <c r="E39" s="274" t="s">
        <v>1</v>
      </c>
      <c r="F39" s="276" t="s">
        <v>1</v>
      </c>
      <c r="G39" s="273"/>
      <c r="H39" s="273"/>
      <c r="I39" s="273"/>
      <c r="J39" s="273"/>
      <c r="K39" s="275"/>
    </row>
    <row r="40" spans="2:11" ht="18" customHeight="1" x14ac:dyDescent="0.4">
      <c r="B40" s="330" t="s">
        <v>8</v>
      </c>
      <c r="C40" s="531" t="s">
        <v>400</v>
      </c>
      <c r="D40" s="426" t="s">
        <v>122</v>
      </c>
      <c r="E40" s="282">
        <v>16.25</v>
      </c>
      <c r="F40" s="278">
        <f t="shared" ref="F40:F75" si="1">E40*E$2</f>
        <v>0</v>
      </c>
      <c r="G40" s="220" t="s">
        <v>401</v>
      </c>
      <c r="H40" s="221"/>
      <c r="I40" s="221"/>
      <c r="J40" s="221"/>
      <c r="K40" s="222"/>
    </row>
    <row r="41" spans="2:11" ht="18" customHeight="1" x14ac:dyDescent="0.4">
      <c r="B41" s="332"/>
      <c r="C41" s="532"/>
      <c r="D41" s="426" t="s">
        <v>378</v>
      </c>
      <c r="E41" s="300">
        <v>13</v>
      </c>
      <c r="F41" s="278">
        <f t="shared" si="1"/>
        <v>0</v>
      </c>
      <c r="G41" s="223"/>
      <c r="H41" s="224"/>
      <c r="I41" s="224"/>
      <c r="J41" s="224"/>
      <c r="K41" s="225"/>
    </row>
    <row r="42" spans="2:11" ht="18" customHeight="1" x14ac:dyDescent="0.4">
      <c r="B42" s="332"/>
      <c r="C42" s="532"/>
      <c r="D42" s="426" t="s">
        <v>186</v>
      </c>
      <c r="E42" s="282">
        <v>0.78</v>
      </c>
      <c r="F42" s="278">
        <f t="shared" si="1"/>
        <v>0</v>
      </c>
      <c r="G42" s="223"/>
      <c r="H42" s="224"/>
      <c r="I42" s="224"/>
      <c r="J42" s="224"/>
      <c r="K42" s="225"/>
    </row>
    <row r="43" spans="2:11" ht="18" customHeight="1" x14ac:dyDescent="0.4">
      <c r="B43" s="332"/>
      <c r="C43" s="532"/>
      <c r="D43" s="426" t="s">
        <v>159</v>
      </c>
      <c r="E43" s="282">
        <v>0.32500000000000001</v>
      </c>
      <c r="F43" s="278">
        <f t="shared" si="1"/>
        <v>0</v>
      </c>
      <c r="G43" s="223"/>
      <c r="H43" s="224"/>
      <c r="I43" s="224"/>
      <c r="J43" s="224"/>
      <c r="K43" s="225"/>
    </row>
    <row r="44" spans="2:11" ht="18" customHeight="1" x14ac:dyDescent="0.4">
      <c r="B44" s="595" t="s">
        <v>149</v>
      </c>
      <c r="C44" s="596" t="s">
        <v>150</v>
      </c>
      <c r="D44" s="281" t="s">
        <v>122</v>
      </c>
      <c r="E44" s="282">
        <v>32.5</v>
      </c>
      <c r="F44" s="278">
        <f t="shared" si="1"/>
        <v>0</v>
      </c>
      <c r="G44" s="151" t="s">
        <v>402</v>
      </c>
      <c r="H44" s="152"/>
      <c r="I44" s="152"/>
      <c r="J44" s="152"/>
      <c r="K44" s="153"/>
    </row>
    <row r="45" spans="2:11" ht="18" customHeight="1" x14ac:dyDescent="0.4">
      <c r="B45" s="597"/>
      <c r="C45" s="338"/>
      <c r="D45" s="281" t="s">
        <v>151</v>
      </c>
      <c r="E45" s="282">
        <v>1.625</v>
      </c>
      <c r="F45" s="278">
        <f t="shared" si="1"/>
        <v>0</v>
      </c>
      <c r="G45" s="157"/>
      <c r="H45" s="158"/>
      <c r="I45" s="158"/>
      <c r="J45" s="158"/>
      <c r="K45" s="159"/>
    </row>
    <row r="46" spans="2:11" ht="18" customHeight="1" x14ac:dyDescent="0.4">
      <c r="B46" s="597"/>
      <c r="C46" s="398" t="s">
        <v>403</v>
      </c>
      <c r="D46" s="287" t="s">
        <v>404</v>
      </c>
      <c r="E46" s="279">
        <v>19.5</v>
      </c>
      <c r="F46" s="278">
        <f t="shared" si="1"/>
        <v>0</v>
      </c>
      <c r="G46" s="564" t="s">
        <v>405</v>
      </c>
      <c r="H46" s="565"/>
      <c r="I46" s="565"/>
      <c r="J46" s="565"/>
      <c r="K46" s="566"/>
    </row>
    <row r="47" spans="2:11" ht="18" customHeight="1" x14ac:dyDescent="0.4">
      <c r="B47" s="597"/>
      <c r="C47" s="541"/>
      <c r="D47" s="287" t="s">
        <v>103</v>
      </c>
      <c r="E47" s="279">
        <v>6.5</v>
      </c>
      <c r="F47" s="278">
        <f t="shared" si="1"/>
        <v>0</v>
      </c>
      <c r="G47" s="567"/>
      <c r="H47" s="568"/>
      <c r="I47" s="568"/>
      <c r="J47" s="568"/>
      <c r="K47" s="569"/>
    </row>
    <row r="48" spans="2:11" ht="18" customHeight="1" x14ac:dyDescent="0.4">
      <c r="B48" s="597"/>
      <c r="C48" s="541"/>
      <c r="D48" s="287" t="s">
        <v>95</v>
      </c>
      <c r="E48" s="279">
        <v>6.5</v>
      </c>
      <c r="F48" s="278">
        <f t="shared" si="1"/>
        <v>0</v>
      </c>
      <c r="G48" s="567"/>
      <c r="H48" s="568"/>
      <c r="I48" s="568"/>
      <c r="J48" s="568"/>
      <c r="K48" s="569"/>
    </row>
    <row r="49" spans="2:11" ht="18" customHeight="1" x14ac:dyDescent="0.4">
      <c r="B49" s="597"/>
      <c r="C49" s="541"/>
      <c r="D49" s="287" t="s">
        <v>163</v>
      </c>
      <c r="E49" s="279">
        <v>3.25</v>
      </c>
      <c r="F49" s="278">
        <f t="shared" si="1"/>
        <v>0</v>
      </c>
      <c r="G49" s="567"/>
      <c r="H49" s="568"/>
      <c r="I49" s="568"/>
      <c r="J49" s="568"/>
      <c r="K49" s="569"/>
    </row>
    <row r="50" spans="2:11" ht="18" customHeight="1" x14ac:dyDescent="0.4">
      <c r="B50" s="597"/>
      <c r="C50" s="541"/>
      <c r="D50" s="287" t="s">
        <v>20</v>
      </c>
      <c r="E50" s="288">
        <v>1.9500000000000002</v>
      </c>
      <c r="F50" s="278">
        <f t="shared" si="1"/>
        <v>0</v>
      </c>
      <c r="G50" s="567"/>
      <c r="H50" s="568"/>
      <c r="I50" s="568"/>
      <c r="J50" s="568"/>
      <c r="K50" s="569"/>
    </row>
    <row r="51" spans="2:11" ht="18" customHeight="1" x14ac:dyDescent="0.4">
      <c r="B51" s="597"/>
      <c r="C51" s="541"/>
      <c r="D51" s="287" t="s">
        <v>406</v>
      </c>
      <c r="E51" s="279">
        <v>1.3</v>
      </c>
      <c r="F51" s="278">
        <f t="shared" si="1"/>
        <v>0</v>
      </c>
      <c r="G51" s="567"/>
      <c r="H51" s="568"/>
      <c r="I51" s="568"/>
      <c r="J51" s="568"/>
      <c r="K51" s="569"/>
    </row>
    <row r="52" spans="2:11" ht="18" customHeight="1" x14ac:dyDescent="0.4">
      <c r="B52" s="597"/>
      <c r="C52" s="541"/>
      <c r="D52" s="287" t="s">
        <v>19</v>
      </c>
      <c r="E52" s="279">
        <v>0.13</v>
      </c>
      <c r="F52" s="278">
        <f t="shared" si="1"/>
        <v>0</v>
      </c>
      <c r="G52" s="567"/>
      <c r="H52" s="568"/>
      <c r="I52" s="568"/>
      <c r="J52" s="568"/>
      <c r="K52" s="569"/>
    </row>
    <row r="53" spans="2:11" ht="18" customHeight="1" x14ac:dyDescent="0.4">
      <c r="B53" s="597"/>
      <c r="C53" s="541"/>
      <c r="D53" s="287" t="s">
        <v>18</v>
      </c>
      <c r="E53" s="279">
        <v>1.3</v>
      </c>
      <c r="F53" s="278">
        <f t="shared" si="1"/>
        <v>0</v>
      </c>
      <c r="G53" s="570"/>
      <c r="H53" s="571"/>
      <c r="I53" s="571"/>
      <c r="J53" s="571"/>
      <c r="K53" s="572"/>
    </row>
    <row r="54" spans="2:11" ht="18" customHeight="1" x14ac:dyDescent="0.4">
      <c r="B54" s="597"/>
      <c r="C54" s="299" t="s">
        <v>407</v>
      </c>
      <c r="D54" s="281" t="s">
        <v>68</v>
      </c>
      <c r="E54" s="288">
        <v>26</v>
      </c>
      <c r="F54" s="278">
        <f t="shared" si="1"/>
        <v>0</v>
      </c>
      <c r="G54" s="598" t="s">
        <v>408</v>
      </c>
      <c r="H54" s="598"/>
      <c r="I54" s="598"/>
      <c r="J54" s="598"/>
      <c r="K54" s="599"/>
    </row>
    <row r="55" spans="2:11" ht="18" customHeight="1" x14ac:dyDescent="0.4">
      <c r="B55" s="597"/>
      <c r="C55" s="304"/>
      <c r="D55" s="281" t="s">
        <v>28</v>
      </c>
      <c r="E55" s="279">
        <v>0.65</v>
      </c>
      <c r="F55" s="278">
        <f t="shared" si="1"/>
        <v>0</v>
      </c>
      <c r="G55" s="598"/>
      <c r="H55" s="598"/>
      <c r="I55" s="598"/>
      <c r="J55" s="598"/>
      <c r="K55" s="599"/>
    </row>
    <row r="56" spans="2:11" ht="18" customHeight="1" x14ac:dyDescent="0.4">
      <c r="B56" s="597"/>
      <c r="C56" s="304"/>
      <c r="D56" s="281" t="s">
        <v>26</v>
      </c>
      <c r="E56" s="288">
        <v>1.9500000000000002</v>
      </c>
      <c r="F56" s="278">
        <f t="shared" si="1"/>
        <v>0</v>
      </c>
      <c r="G56" s="598"/>
      <c r="H56" s="598"/>
      <c r="I56" s="598"/>
      <c r="J56" s="598"/>
      <c r="K56" s="599"/>
    </row>
    <row r="57" spans="2:11" ht="18" customHeight="1" x14ac:dyDescent="0.4">
      <c r="B57" s="597"/>
      <c r="C57" s="304"/>
      <c r="D57" s="281" t="s">
        <v>18</v>
      </c>
      <c r="E57" s="288">
        <v>1.9500000000000002</v>
      </c>
      <c r="F57" s="278">
        <f t="shared" si="1"/>
        <v>0</v>
      </c>
      <c r="G57" s="598"/>
      <c r="H57" s="598"/>
      <c r="I57" s="598"/>
      <c r="J57" s="598"/>
      <c r="K57" s="599"/>
    </row>
    <row r="58" spans="2:11" ht="18" customHeight="1" x14ac:dyDescent="0.4">
      <c r="B58" s="597"/>
      <c r="C58" s="304"/>
      <c r="D58" s="281" t="s">
        <v>19</v>
      </c>
      <c r="E58" s="279">
        <v>0.65</v>
      </c>
      <c r="F58" s="278">
        <f t="shared" si="1"/>
        <v>0</v>
      </c>
      <c r="G58" s="598"/>
      <c r="H58" s="598"/>
      <c r="I58" s="598"/>
      <c r="J58" s="598"/>
      <c r="K58" s="599"/>
    </row>
    <row r="59" spans="2:11" ht="18" customHeight="1" x14ac:dyDescent="0.4">
      <c r="B59" s="597"/>
      <c r="C59" s="304"/>
      <c r="D59" s="281" t="s">
        <v>29</v>
      </c>
      <c r="E59" s="279">
        <v>0.13</v>
      </c>
      <c r="F59" s="281">
        <f t="shared" si="1"/>
        <v>0</v>
      </c>
      <c r="G59" s="598"/>
      <c r="H59" s="598"/>
      <c r="I59" s="598"/>
      <c r="J59" s="598"/>
      <c r="K59" s="599"/>
    </row>
    <row r="60" spans="2:11" ht="18" customHeight="1" x14ac:dyDescent="0.4">
      <c r="B60" s="597"/>
      <c r="C60" s="358" t="s">
        <v>409</v>
      </c>
      <c r="D60" s="281" t="s">
        <v>54</v>
      </c>
      <c r="E60" s="288">
        <v>26</v>
      </c>
      <c r="F60" s="347">
        <f t="shared" si="1"/>
        <v>0</v>
      </c>
      <c r="G60" s="600" t="s">
        <v>410</v>
      </c>
      <c r="H60" s="601"/>
      <c r="I60" s="601"/>
      <c r="J60" s="601"/>
      <c r="K60" s="602"/>
    </row>
    <row r="61" spans="2:11" ht="18" customHeight="1" x14ac:dyDescent="0.4">
      <c r="B61" s="597"/>
      <c r="C61" s="362"/>
      <c r="D61" s="281" t="s">
        <v>55</v>
      </c>
      <c r="E61" s="279">
        <v>0.65</v>
      </c>
      <c r="F61" s="347">
        <f t="shared" si="1"/>
        <v>0</v>
      </c>
      <c r="G61" s="603"/>
      <c r="H61" s="604"/>
      <c r="I61" s="604"/>
      <c r="J61" s="604"/>
      <c r="K61" s="605"/>
    </row>
    <row r="62" spans="2:11" ht="18" customHeight="1" x14ac:dyDescent="0.4">
      <c r="B62" s="597"/>
      <c r="C62" s="362"/>
      <c r="D62" s="281" t="s">
        <v>126</v>
      </c>
      <c r="E62" s="279">
        <v>0.32500000000000001</v>
      </c>
      <c r="F62" s="347">
        <f t="shared" si="1"/>
        <v>0</v>
      </c>
      <c r="G62" s="603"/>
      <c r="H62" s="604"/>
      <c r="I62" s="604"/>
      <c r="J62" s="604"/>
      <c r="K62" s="605"/>
    </row>
    <row r="63" spans="2:11" ht="18" customHeight="1" x14ac:dyDescent="0.4">
      <c r="B63" s="597"/>
      <c r="C63" s="362"/>
      <c r="D63" s="281" t="s">
        <v>19</v>
      </c>
      <c r="E63" s="279">
        <v>0.32500000000000001</v>
      </c>
      <c r="F63" s="278">
        <f t="shared" si="1"/>
        <v>0</v>
      </c>
      <c r="G63" s="603"/>
      <c r="H63" s="604"/>
      <c r="I63" s="604"/>
      <c r="J63" s="604"/>
      <c r="K63" s="605"/>
    </row>
    <row r="64" spans="2:11" ht="18" customHeight="1" x14ac:dyDescent="0.4">
      <c r="B64" s="597"/>
      <c r="C64" s="362"/>
      <c r="D64" s="281" t="s">
        <v>28</v>
      </c>
      <c r="E64" s="279">
        <v>0.13</v>
      </c>
      <c r="F64" s="278">
        <f t="shared" si="1"/>
        <v>0</v>
      </c>
      <c r="G64" s="603"/>
      <c r="H64" s="604"/>
      <c r="I64" s="604"/>
      <c r="J64" s="604"/>
      <c r="K64" s="605"/>
    </row>
    <row r="65" spans="2:11" ht="18" customHeight="1" x14ac:dyDescent="0.4">
      <c r="B65" s="597"/>
      <c r="C65" s="428"/>
      <c r="D65" s="281" t="s">
        <v>29</v>
      </c>
      <c r="E65" s="279">
        <v>0.13</v>
      </c>
      <c r="F65" s="278">
        <f t="shared" si="1"/>
        <v>0</v>
      </c>
      <c r="G65" s="606"/>
      <c r="H65" s="607"/>
      <c r="I65" s="607"/>
      <c r="J65" s="607"/>
      <c r="K65" s="608"/>
    </row>
    <row r="66" spans="2:11" ht="18" customHeight="1" x14ac:dyDescent="0.4">
      <c r="B66" s="597"/>
      <c r="C66" s="582" t="s">
        <v>134</v>
      </c>
      <c r="D66" s="369" t="s">
        <v>135</v>
      </c>
      <c r="E66" s="309">
        <v>13</v>
      </c>
      <c r="F66" s="347">
        <f t="shared" si="1"/>
        <v>0</v>
      </c>
      <c r="G66" s="177" t="s">
        <v>32</v>
      </c>
      <c r="H66" s="178"/>
      <c r="I66" s="178"/>
      <c r="J66" s="178"/>
      <c r="K66" s="179"/>
    </row>
    <row r="67" spans="2:11" ht="18" customHeight="1" x14ac:dyDescent="0.4">
      <c r="B67" s="318" t="s">
        <v>137</v>
      </c>
      <c r="C67" s="398" t="s">
        <v>411</v>
      </c>
      <c r="D67" s="287" t="s">
        <v>45</v>
      </c>
      <c r="E67" s="309">
        <v>26</v>
      </c>
      <c r="F67" s="278">
        <f t="shared" si="1"/>
        <v>0</v>
      </c>
      <c r="G67" s="149" t="s">
        <v>412</v>
      </c>
      <c r="H67" s="149"/>
      <c r="I67" s="149"/>
      <c r="J67" s="149"/>
      <c r="K67" s="150"/>
    </row>
    <row r="68" spans="2:11" ht="18" customHeight="1" x14ac:dyDescent="0.4">
      <c r="B68" s="322"/>
      <c r="C68" s="541"/>
      <c r="D68" s="287" t="s">
        <v>17</v>
      </c>
      <c r="E68" s="308">
        <v>1.3</v>
      </c>
      <c r="F68" s="278">
        <f t="shared" si="1"/>
        <v>0</v>
      </c>
      <c r="G68" s="149"/>
      <c r="H68" s="149"/>
      <c r="I68" s="149"/>
      <c r="J68" s="149"/>
      <c r="K68" s="150"/>
    </row>
    <row r="69" spans="2:11" ht="18" customHeight="1" x14ac:dyDescent="0.4">
      <c r="B69" s="322"/>
      <c r="C69" s="541"/>
      <c r="D69" s="287" t="s">
        <v>15</v>
      </c>
      <c r="E69" s="308">
        <v>1.3</v>
      </c>
      <c r="F69" s="278">
        <f t="shared" si="1"/>
        <v>0</v>
      </c>
      <c r="G69" s="149"/>
      <c r="H69" s="149"/>
      <c r="I69" s="149"/>
      <c r="J69" s="149"/>
      <c r="K69" s="150"/>
    </row>
    <row r="70" spans="2:11" ht="18" customHeight="1" x14ac:dyDescent="0.4">
      <c r="B70" s="322"/>
      <c r="C70" s="541"/>
      <c r="D70" s="287" t="s">
        <v>413</v>
      </c>
      <c r="E70" s="308">
        <v>6.5</v>
      </c>
      <c r="F70" s="278">
        <f t="shared" si="1"/>
        <v>0</v>
      </c>
      <c r="G70" s="149"/>
      <c r="H70" s="149"/>
      <c r="I70" s="149"/>
      <c r="J70" s="149"/>
      <c r="K70" s="150"/>
    </row>
    <row r="71" spans="2:11" ht="18" customHeight="1" x14ac:dyDescent="0.4">
      <c r="B71" s="322"/>
      <c r="C71" s="541"/>
      <c r="D71" s="287" t="s">
        <v>33</v>
      </c>
      <c r="E71" s="308">
        <v>1.3</v>
      </c>
      <c r="F71" s="278">
        <f t="shared" si="1"/>
        <v>0</v>
      </c>
      <c r="G71" s="149"/>
      <c r="H71" s="149"/>
      <c r="I71" s="149"/>
      <c r="J71" s="149"/>
      <c r="K71" s="150"/>
    </row>
    <row r="72" spans="2:11" ht="18" customHeight="1" x14ac:dyDescent="0.4">
      <c r="B72" s="322"/>
      <c r="C72" s="541"/>
      <c r="D72" s="287" t="s">
        <v>132</v>
      </c>
      <c r="E72" s="309">
        <v>1.9500000000000002</v>
      </c>
      <c r="F72" s="278">
        <f t="shared" si="1"/>
        <v>0</v>
      </c>
      <c r="G72" s="149"/>
      <c r="H72" s="149"/>
      <c r="I72" s="149"/>
      <c r="J72" s="149"/>
      <c r="K72" s="150"/>
    </row>
    <row r="73" spans="2:11" ht="18" customHeight="1" x14ac:dyDescent="0.4">
      <c r="B73" s="322"/>
      <c r="C73" s="541"/>
      <c r="D73" s="287" t="s">
        <v>28</v>
      </c>
      <c r="E73" s="308">
        <v>0.65</v>
      </c>
      <c r="F73" s="278">
        <f t="shared" si="1"/>
        <v>0</v>
      </c>
      <c r="G73" s="149"/>
      <c r="H73" s="149"/>
      <c r="I73" s="149"/>
      <c r="J73" s="149"/>
      <c r="K73" s="150"/>
    </row>
    <row r="74" spans="2:11" ht="18" customHeight="1" x14ac:dyDescent="0.4">
      <c r="B74" s="322"/>
      <c r="C74" s="541"/>
      <c r="D74" s="317" t="s">
        <v>126</v>
      </c>
      <c r="E74" s="308">
        <v>0.65</v>
      </c>
      <c r="F74" s="278">
        <f t="shared" si="1"/>
        <v>0</v>
      </c>
      <c r="G74" s="609"/>
      <c r="H74" s="609"/>
      <c r="I74" s="609"/>
      <c r="J74" s="609"/>
      <c r="K74" s="610"/>
    </row>
    <row r="75" spans="2:11" ht="18" customHeight="1" thickBot="1" x14ac:dyDescent="0.45">
      <c r="B75" s="323"/>
      <c r="C75" s="611"/>
      <c r="D75" s="496" t="s">
        <v>20</v>
      </c>
      <c r="E75" s="513">
        <v>1.3</v>
      </c>
      <c r="F75" s="375">
        <f t="shared" si="1"/>
        <v>0</v>
      </c>
      <c r="G75" s="503"/>
      <c r="H75" s="503"/>
      <c r="I75" s="503"/>
      <c r="J75" s="503"/>
      <c r="K75" s="504"/>
    </row>
    <row r="76" spans="2:11" ht="80.099999999999994" customHeight="1" thickTop="1" x14ac:dyDescent="0.4">
      <c r="B76" s="90"/>
      <c r="C76" s="90"/>
      <c r="D76" s="90"/>
      <c r="E76" s="90"/>
      <c r="F76" s="90"/>
      <c r="G76" s="90"/>
      <c r="H76" s="90"/>
      <c r="I76" s="90"/>
      <c r="J76" s="90"/>
      <c r="K76" s="90"/>
    </row>
    <row r="77" spans="2:11" ht="18" thickBot="1" x14ac:dyDescent="0.45"/>
    <row r="78" spans="2:11" ht="21" customHeight="1" thickTop="1" x14ac:dyDescent="0.4">
      <c r="B78" s="269" t="s">
        <v>414</v>
      </c>
      <c r="C78" s="270"/>
      <c r="D78" s="270"/>
      <c r="E78" s="270"/>
      <c r="F78" s="270"/>
      <c r="G78" s="270"/>
      <c r="H78" s="270"/>
      <c r="I78" s="270"/>
      <c r="J78" s="270"/>
      <c r="K78" s="271"/>
    </row>
    <row r="79" spans="2:11" ht="18" customHeight="1" x14ac:dyDescent="0.4">
      <c r="B79" s="272" t="s">
        <v>2</v>
      </c>
      <c r="C79" s="273" t="s">
        <v>3</v>
      </c>
      <c r="D79" s="273" t="s">
        <v>4</v>
      </c>
      <c r="E79" s="274" t="s">
        <v>5</v>
      </c>
      <c r="F79" s="274" t="s">
        <v>6</v>
      </c>
      <c r="G79" s="273" t="s">
        <v>7</v>
      </c>
      <c r="H79" s="273"/>
      <c r="I79" s="273"/>
      <c r="J79" s="273"/>
      <c r="K79" s="275"/>
    </row>
    <row r="80" spans="2:11" ht="18" customHeight="1" x14ac:dyDescent="0.4">
      <c r="B80" s="272"/>
      <c r="C80" s="273"/>
      <c r="D80" s="273"/>
      <c r="E80" s="274" t="s">
        <v>1</v>
      </c>
      <c r="F80" s="276" t="s">
        <v>1</v>
      </c>
      <c r="G80" s="273"/>
      <c r="H80" s="273"/>
      <c r="I80" s="273"/>
      <c r="J80" s="273"/>
      <c r="K80" s="275"/>
    </row>
    <row r="81" spans="2:11" ht="18" customHeight="1" x14ac:dyDescent="0.4">
      <c r="B81" s="393" t="s">
        <v>8</v>
      </c>
      <c r="C81" s="457" t="s">
        <v>263</v>
      </c>
      <c r="D81" s="278" t="s">
        <v>263</v>
      </c>
      <c r="E81" s="278">
        <v>32.5</v>
      </c>
      <c r="F81" s="278">
        <f t="shared" ref="F81:F104" si="2">E81*E$2</f>
        <v>0</v>
      </c>
      <c r="G81" s="215" t="s">
        <v>264</v>
      </c>
      <c r="H81" s="216"/>
      <c r="I81" s="216"/>
      <c r="J81" s="216"/>
      <c r="K81" s="217"/>
    </row>
    <row r="82" spans="2:11" ht="18" customHeight="1" x14ac:dyDescent="0.4">
      <c r="B82" s="397" t="s">
        <v>149</v>
      </c>
      <c r="C82" s="398" t="s">
        <v>415</v>
      </c>
      <c r="D82" s="281" t="s">
        <v>53</v>
      </c>
      <c r="E82" s="300">
        <v>26</v>
      </c>
      <c r="F82" s="278">
        <f t="shared" si="2"/>
        <v>0</v>
      </c>
      <c r="G82" s="470" t="s">
        <v>416</v>
      </c>
      <c r="H82" s="470"/>
      <c r="I82" s="470"/>
      <c r="J82" s="470"/>
      <c r="K82" s="471"/>
    </row>
    <row r="83" spans="2:11" ht="18" customHeight="1" x14ac:dyDescent="0.4">
      <c r="B83" s="337"/>
      <c r="C83" s="541"/>
      <c r="D83" s="281" t="s">
        <v>79</v>
      </c>
      <c r="E83" s="282">
        <v>3.25</v>
      </c>
      <c r="F83" s="278">
        <f t="shared" si="2"/>
        <v>0</v>
      </c>
      <c r="G83" s="470"/>
      <c r="H83" s="470"/>
      <c r="I83" s="470"/>
      <c r="J83" s="470"/>
      <c r="K83" s="471"/>
    </row>
    <row r="84" spans="2:11" ht="18" customHeight="1" x14ac:dyDescent="0.4">
      <c r="B84" s="337"/>
      <c r="C84" s="541"/>
      <c r="D84" s="281" t="s">
        <v>63</v>
      </c>
      <c r="E84" s="282">
        <v>6.5</v>
      </c>
      <c r="F84" s="278">
        <f t="shared" si="2"/>
        <v>0</v>
      </c>
      <c r="G84" s="470"/>
      <c r="H84" s="470"/>
      <c r="I84" s="470"/>
      <c r="J84" s="470"/>
      <c r="K84" s="471"/>
    </row>
    <row r="85" spans="2:11" ht="18" customHeight="1" x14ac:dyDescent="0.4">
      <c r="B85" s="337"/>
      <c r="C85" s="541"/>
      <c r="D85" s="281" t="s">
        <v>109</v>
      </c>
      <c r="E85" s="282">
        <v>3.25</v>
      </c>
      <c r="F85" s="278">
        <f t="shared" si="2"/>
        <v>0</v>
      </c>
      <c r="G85" s="470"/>
      <c r="H85" s="470"/>
      <c r="I85" s="470"/>
      <c r="J85" s="470"/>
      <c r="K85" s="471"/>
    </row>
    <row r="86" spans="2:11" ht="18" customHeight="1" x14ac:dyDescent="0.4">
      <c r="B86" s="337"/>
      <c r="C86" s="541"/>
      <c r="D86" s="281" t="s">
        <v>28</v>
      </c>
      <c r="E86" s="282">
        <v>0.65</v>
      </c>
      <c r="F86" s="278">
        <f t="shared" si="2"/>
        <v>0</v>
      </c>
      <c r="G86" s="470"/>
      <c r="H86" s="470"/>
      <c r="I86" s="470"/>
      <c r="J86" s="470"/>
      <c r="K86" s="471"/>
    </row>
    <row r="87" spans="2:11" ht="18" customHeight="1" x14ac:dyDescent="0.4">
      <c r="B87" s="337"/>
      <c r="C87" s="541"/>
      <c r="D87" s="281" t="s">
        <v>25</v>
      </c>
      <c r="E87" s="282">
        <v>0.13</v>
      </c>
      <c r="F87" s="278">
        <f t="shared" si="2"/>
        <v>0</v>
      </c>
      <c r="G87" s="470"/>
      <c r="H87" s="470"/>
      <c r="I87" s="470"/>
      <c r="J87" s="470"/>
      <c r="K87" s="471"/>
    </row>
    <row r="88" spans="2:11" ht="18" customHeight="1" x14ac:dyDescent="0.4">
      <c r="B88" s="337"/>
      <c r="C88" s="541"/>
      <c r="D88" s="281" t="s">
        <v>26</v>
      </c>
      <c r="E88" s="282">
        <v>3.25</v>
      </c>
      <c r="F88" s="278">
        <f t="shared" si="2"/>
        <v>0</v>
      </c>
      <c r="G88" s="470"/>
      <c r="H88" s="470"/>
      <c r="I88" s="470"/>
      <c r="J88" s="470"/>
      <c r="K88" s="471"/>
    </row>
    <row r="89" spans="2:11" ht="18" customHeight="1" x14ac:dyDescent="0.4">
      <c r="B89" s="337"/>
      <c r="C89" s="545"/>
      <c r="D89" s="281" t="s">
        <v>110</v>
      </c>
      <c r="E89" s="282">
        <v>3.25</v>
      </c>
      <c r="F89" s="278">
        <f t="shared" si="2"/>
        <v>0</v>
      </c>
      <c r="G89" s="470"/>
      <c r="H89" s="470"/>
      <c r="I89" s="470"/>
      <c r="J89" s="470"/>
      <c r="K89" s="471"/>
    </row>
    <row r="90" spans="2:11" ht="18" customHeight="1" x14ac:dyDescent="0.4">
      <c r="B90" s="337"/>
      <c r="C90" s="550" t="s">
        <v>73</v>
      </c>
      <c r="D90" s="339" t="s">
        <v>11</v>
      </c>
      <c r="E90" s="282">
        <v>18.2</v>
      </c>
      <c r="F90" s="278">
        <f t="shared" si="2"/>
        <v>0</v>
      </c>
      <c r="G90" s="283" t="s">
        <v>74</v>
      </c>
      <c r="H90" s="283"/>
      <c r="I90" s="283"/>
      <c r="J90" s="283"/>
      <c r="K90" s="341"/>
    </row>
    <row r="91" spans="2:11" ht="18" customHeight="1" x14ac:dyDescent="0.4">
      <c r="B91" s="337"/>
      <c r="C91" s="432" t="s">
        <v>417</v>
      </c>
      <c r="D91" s="287" t="s">
        <v>17</v>
      </c>
      <c r="E91" s="282">
        <v>1.3</v>
      </c>
      <c r="F91" s="278">
        <f t="shared" si="2"/>
        <v>0</v>
      </c>
      <c r="G91" s="315" t="s">
        <v>418</v>
      </c>
      <c r="H91" s="315"/>
      <c r="I91" s="315"/>
      <c r="J91" s="315"/>
      <c r="K91" s="316"/>
    </row>
    <row r="92" spans="2:11" ht="18" customHeight="1" x14ac:dyDescent="0.4">
      <c r="B92" s="337"/>
      <c r="C92" s="436"/>
      <c r="D92" s="287" t="s">
        <v>15</v>
      </c>
      <c r="E92" s="282">
        <v>1.3</v>
      </c>
      <c r="F92" s="278">
        <f t="shared" si="2"/>
        <v>0</v>
      </c>
      <c r="G92" s="315"/>
      <c r="H92" s="315"/>
      <c r="I92" s="315"/>
      <c r="J92" s="315"/>
      <c r="K92" s="316"/>
    </row>
    <row r="93" spans="2:11" ht="18" customHeight="1" x14ac:dyDescent="0.4">
      <c r="B93" s="337"/>
      <c r="C93" s="436"/>
      <c r="D93" s="287" t="s">
        <v>33</v>
      </c>
      <c r="E93" s="282">
        <v>1.3</v>
      </c>
      <c r="F93" s="278">
        <f t="shared" si="2"/>
        <v>0</v>
      </c>
      <c r="G93" s="315"/>
      <c r="H93" s="315"/>
      <c r="I93" s="315"/>
      <c r="J93" s="315"/>
      <c r="K93" s="316"/>
    </row>
    <row r="94" spans="2:11" ht="18" customHeight="1" x14ac:dyDescent="0.4">
      <c r="B94" s="337"/>
      <c r="C94" s="436"/>
      <c r="D94" s="287" t="s">
        <v>34</v>
      </c>
      <c r="E94" s="282">
        <v>3.25</v>
      </c>
      <c r="F94" s="278">
        <f t="shared" si="2"/>
        <v>0</v>
      </c>
      <c r="G94" s="315"/>
      <c r="H94" s="315"/>
      <c r="I94" s="315"/>
      <c r="J94" s="315"/>
      <c r="K94" s="316"/>
    </row>
    <row r="95" spans="2:11" ht="18" customHeight="1" x14ac:dyDescent="0.4">
      <c r="B95" s="337"/>
      <c r="C95" s="436"/>
      <c r="D95" s="287" t="s">
        <v>18</v>
      </c>
      <c r="E95" s="300">
        <v>1.9500000000000002</v>
      </c>
      <c r="F95" s="278">
        <f t="shared" si="2"/>
        <v>0</v>
      </c>
      <c r="G95" s="315"/>
      <c r="H95" s="315"/>
      <c r="I95" s="315"/>
      <c r="J95" s="315"/>
      <c r="K95" s="316"/>
    </row>
    <row r="96" spans="2:11" ht="18" customHeight="1" x14ac:dyDescent="0.4">
      <c r="B96" s="337"/>
      <c r="C96" s="436"/>
      <c r="D96" s="317" t="s">
        <v>16</v>
      </c>
      <c r="E96" s="282">
        <v>0.65</v>
      </c>
      <c r="F96" s="278">
        <f t="shared" si="2"/>
        <v>0</v>
      </c>
      <c r="G96" s="612"/>
      <c r="H96" s="612"/>
      <c r="I96" s="612"/>
      <c r="J96" s="612"/>
      <c r="K96" s="613"/>
    </row>
    <row r="97" spans="2:11" ht="18" customHeight="1" x14ac:dyDescent="0.4">
      <c r="B97" s="337"/>
      <c r="C97" s="614"/>
      <c r="D97" s="287" t="s">
        <v>20</v>
      </c>
      <c r="E97" s="282">
        <v>1.3</v>
      </c>
      <c r="F97" s="278">
        <f t="shared" si="2"/>
        <v>0</v>
      </c>
      <c r="G97" s="315"/>
      <c r="H97" s="315"/>
      <c r="I97" s="315"/>
      <c r="J97" s="315"/>
      <c r="K97" s="316"/>
    </row>
    <row r="98" spans="2:11" ht="18" customHeight="1" x14ac:dyDescent="0.4">
      <c r="B98" s="337"/>
      <c r="C98" s="304" t="s">
        <v>419</v>
      </c>
      <c r="D98" s="615" t="s">
        <v>76</v>
      </c>
      <c r="E98" s="616">
        <v>16.25</v>
      </c>
      <c r="F98" s="278">
        <f t="shared" si="2"/>
        <v>0</v>
      </c>
      <c r="G98" s="220" t="s">
        <v>420</v>
      </c>
      <c r="H98" s="221"/>
      <c r="I98" s="221"/>
      <c r="J98" s="221"/>
      <c r="K98" s="222"/>
    </row>
    <row r="99" spans="2:11" ht="18" customHeight="1" x14ac:dyDescent="0.4">
      <c r="B99" s="337"/>
      <c r="C99" s="304"/>
      <c r="D99" s="617" t="s">
        <v>22</v>
      </c>
      <c r="E99" s="279">
        <v>3.25</v>
      </c>
      <c r="F99" s="278">
        <f t="shared" si="2"/>
        <v>0</v>
      </c>
      <c r="G99" s="223"/>
      <c r="H99" s="224"/>
      <c r="I99" s="224"/>
      <c r="J99" s="224"/>
      <c r="K99" s="225"/>
    </row>
    <row r="100" spans="2:11" ht="18" customHeight="1" x14ac:dyDescent="0.4">
      <c r="B100" s="337"/>
      <c r="C100" s="304"/>
      <c r="D100" s="617" t="s">
        <v>77</v>
      </c>
      <c r="E100" s="279">
        <v>3.25</v>
      </c>
      <c r="F100" s="278">
        <f t="shared" si="2"/>
        <v>0</v>
      </c>
      <c r="G100" s="223"/>
      <c r="H100" s="224"/>
      <c r="I100" s="224"/>
      <c r="J100" s="224"/>
      <c r="K100" s="225"/>
    </row>
    <row r="101" spans="2:11" ht="18" customHeight="1" x14ac:dyDescent="0.4">
      <c r="B101" s="337"/>
      <c r="C101" s="310"/>
      <c r="D101" s="617" t="s">
        <v>78</v>
      </c>
      <c r="E101" s="279">
        <v>6.5</v>
      </c>
      <c r="F101" s="278">
        <f t="shared" si="2"/>
        <v>0</v>
      </c>
      <c r="G101" s="412"/>
      <c r="H101" s="413"/>
      <c r="I101" s="413"/>
      <c r="J101" s="413"/>
      <c r="K101" s="414"/>
    </row>
    <row r="102" spans="2:11" ht="18" customHeight="1" x14ac:dyDescent="0.4">
      <c r="B102" s="442"/>
      <c r="C102" s="287" t="s">
        <v>338</v>
      </c>
      <c r="D102" s="287" t="s">
        <v>339</v>
      </c>
      <c r="E102" s="288">
        <v>13</v>
      </c>
      <c r="F102" s="278">
        <f t="shared" si="2"/>
        <v>0</v>
      </c>
      <c r="G102" s="507" t="s">
        <v>56</v>
      </c>
      <c r="H102" s="507"/>
      <c r="I102" s="507"/>
      <c r="J102" s="507"/>
      <c r="K102" s="508"/>
    </row>
    <row r="103" spans="2:11" s="263" customFormat="1" ht="18" customHeight="1" x14ac:dyDescent="0.4">
      <c r="B103" s="467" t="s">
        <v>9</v>
      </c>
      <c r="C103" s="281" t="s">
        <v>421</v>
      </c>
      <c r="D103" s="281" t="s">
        <v>422</v>
      </c>
      <c r="E103" s="300">
        <v>26</v>
      </c>
      <c r="F103" s="278">
        <f t="shared" si="2"/>
        <v>0</v>
      </c>
      <c r="G103" s="97" t="s">
        <v>423</v>
      </c>
      <c r="H103" s="98"/>
      <c r="I103" s="98"/>
      <c r="J103" s="98"/>
      <c r="K103" s="99"/>
    </row>
    <row r="104" spans="2:11" s="263" customFormat="1" ht="18" customHeight="1" thickBot="1" x14ac:dyDescent="0.45">
      <c r="B104" s="472"/>
      <c r="C104" s="451" t="s">
        <v>148</v>
      </c>
      <c r="D104" s="451" t="s">
        <v>49</v>
      </c>
      <c r="E104" s="474">
        <v>100</v>
      </c>
      <c r="F104" s="375">
        <f t="shared" si="2"/>
        <v>0</v>
      </c>
      <c r="G104" s="555"/>
      <c r="H104" s="556"/>
      <c r="I104" s="556"/>
      <c r="J104" s="556"/>
      <c r="K104" s="557"/>
    </row>
    <row r="105" spans="2:11" ht="80.099999999999994" customHeight="1" thickTop="1" x14ac:dyDescent="0.4">
      <c r="B105" s="90"/>
      <c r="C105" s="90"/>
      <c r="D105" s="90"/>
      <c r="E105" s="90"/>
      <c r="F105" s="90"/>
      <c r="G105" s="90"/>
      <c r="H105" s="90"/>
      <c r="I105" s="90"/>
      <c r="J105" s="90"/>
      <c r="K105" s="90"/>
    </row>
    <row r="106" spans="2:11" ht="18" thickBot="1" x14ac:dyDescent="0.45">
      <c r="G106" s="263" t="s">
        <v>424</v>
      </c>
    </row>
    <row r="107" spans="2:11" ht="21" customHeight="1" thickTop="1" x14ac:dyDescent="0.4">
      <c r="B107" s="269" t="s">
        <v>425</v>
      </c>
      <c r="C107" s="270"/>
      <c r="D107" s="270"/>
      <c r="E107" s="270"/>
      <c r="F107" s="270"/>
      <c r="G107" s="270"/>
      <c r="H107" s="270"/>
      <c r="I107" s="270"/>
      <c r="J107" s="270"/>
      <c r="K107" s="271"/>
    </row>
    <row r="108" spans="2:11" ht="18" customHeight="1" x14ac:dyDescent="0.4">
      <c r="B108" s="272" t="s">
        <v>2</v>
      </c>
      <c r="C108" s="273" t="s">
        <v>3</v>
      </c>
      <c r="D108" s="273" t="s">
        <v>4</v>
      </c>
      <c r="E108" s="274" t="s">
        <v>5</v>
      </c>
      <c r="F108" s="274" t="s">
        <v>6</v>
      </c>
      <c r="G108" s="273" t="s">
        <v>7</v>
      </c>
      <c r="H108" s="273"/>
      <c r="I108" s="273"/>
      <c r="J108" s="273"/>
      <c r="K108" s="275"/>
    </row>
    <row r="109" spans="2:11" ht="18" customHeight="1" x14ac:dyDescent="0.4">
      <c r="B109" s="272"/>
      <c r="C109" s="273"/>
      <c r="D109" s="273"/>
      <c r="E109" s="274" t="s">
        <v>1</v>
      </c>
      <c r="F109" s="276" t="s">
        <v>1</v>
      </c>
      <c r="G109" s="273"/>
      <c r="H109" s="273"/>
      <c r="I109" s="273"/>
      <c r="J109" s="273"/>
      <c r="K109" s="275"/>
    </row>
    <row r="110" spans="2:11" ht="18" customHeight="1" x14ac:dyDescent="0.4">
      <c r="B110" s="277" t="s">
        <v>8</v>
      </c>
      <c r="C110" s="278" t="s">
        <v>236</v>
      </c>
      <c r="D110" s="278" t="s">
        <v>236</v>
      </c>
      <c r="E110" s="279">
        <v>32.5</v>
      </c>
      <c r="F110" s="278">
        <f t="shared" ref="F110:F134" si="3">E110*E$2</f>
        <v>0</v>
      </c>
      <c r="G110" s="215" t="s">
        <v>108</v>
      </c>
      <c r="H110" s="216"/>
      <c r="I110" s="216"/>
      <c r="J110" s="216"/>
      <c r="K110" s="217"/>
    </row>
    <row r="111" spans="2:11" s="263" customFormat="1" ht="18" customHeight="1" x14ac:dyDescent="0.4">
      <c r="B111" s="280" t="s">
        <v>10</v>
      </c>
      <c r="C111" s="338" t="s">
        <v>251</v>
      </c>
      <c r="D111" s="339" t="s">
        <v>11</v>
      </c>
      <c r="E111" s="340">
        <v>32.5</v>
      </c>
      <c r="F111" s="278">
        <f t="shared" si="3"/>
        <v>0</v>
      </c>
      <c r="G111" s="283" t="s">
        <v>252</v>
      </c>
      <c r="H111" s="283"/>
      <c r="I111" s="283"/>
      <c r="J111" s="283"/>
      <c r="K111" s="341"/>
    </row>
    <row r="112" spans="2:11" s="263" customFormat="1" ht="18" customHeight="1" x14ac:dyDescent="0.4">
      <c r="B112" s="280"/>
      <c r="C112" s="342"/>
      <c r="D112" s="281" t="s">
        <v>253</v>
      </c>
      <c r="E112" s="282">
        <v>1.625</v>
      </c>
      <c r="F112" s="278">
        <f t="shared" si="3"/>
        <v>0</v>
      </c>
      <c r="G112" s="343"/>
      <c r="H112" s="343"/>
      <c r="I112" s="343"/>
      <c r="J112" s="343"/>
      <c r="K112" s="344"/>
    </row>
    <row r="113" spans="2:11" ht="18" customHeight="1" x14ac:dyDescent="0.4">
      <c r="B113" s="280"/>
      <c r="C113" s="514" t="s">
        <v>426</v>
      </c>
      <c r="D113" s="281" t="s">
        <v>128</v>
      </c>
      <c r="E113" s="278">
        <v>19.5</v>
      </c>
      <c r="F113" s="278">
        <f t="shared" si="3"/>
        <v>0</v>
      </c>
      <c r="G113" s="618" t="s">
        <v>427</v>
      </c>
      <c r="H113" s="619"/>
      <c r="I113" s="619"/>
      <c r="J113" s="619"/>
      <c r="K113" s="620"/>
    </row>
    <row r="114" spans="2:11" ht="18" customHeight="1" x14ac:dyDescent="0.4">
      <c r="B114" s="280"/>
      <c r="C114" s="416"/>
      <c r="D114" s="281" t="s">
        <v>428</v>
      </c>
      <c r="E114" s="308">
        <v>9.75</v>
      </c>
      <c r="F114" s="278">
        <f t="shared" si="3"/>
        <v>0</v>
      </c>
      <c r="G114" s="621"/>
      <c r="H114" s="622"/>
      <c r="I114" s="622"/>
      <c r="J114" s="622"/>
      <c r="K114" s="623"/>
    </row>
    <row r="115" spans="2:11" ht="18" customHeight="1" x14ac:dyDescent="0.4">
      <c r="B115" s="280"/>
      <c r="C115" s="416"/>
      <c r="D115" s="281" t="s">
        <v>163</v>
      </c>
      <c r="E115" s="308">
        <v>9.75</v>
      </c>
      <c r="F115" s="278">
        <f t="shared" si="3"/>
        <v>0</v>
      </c>
      <c r="G115" s="621"/>
      <c r="H115" s="622"/>
      <c r="I115" s="622"/>
      <c r="J115" s="622"/>
      <c r="K115" s="623"/>
    </row>
    <row r="116" spans="2:11" ht="18" customHeight="1" x14ac:dyDescent="0.4">
      <c r="B116" s="280"/>
      <c r="C116" s="416"/>
      <c r="D116" s="287" t="s">
        <v>158</v>
      </c>
      <c r="E116" s="309">
        <v>1.9500000000000002</v>
      </c>
      <c r="F116" s="278">
        <f t="shared" si="3"/>
        <v>0</v>
      </c>
      <c r="G116" s="621"/>
      <c r="H116" s="622"/>
      <c r="I116" s="622"/>
      <c r="J116" s="622"/>
      <c r="K116" s="623"/>
    </row>
    <row r="117" spans="2:11" ht="18" customHeight="1" x14ac:dyDescent="0.4">
      <c r="B117" s="280"/>
      <c r="C117" s="416"/>
      <c r="D117" s="281" t="s">
        <v>126</v>
      </c>
      <c r="E117" s="308">
        <v>0.32500000000000001</v>
      </c>
      <c r="F117" s="278">
        <f t="shared" si="3"/>
        <v>0</v>
      </c>
      <c r="G117" s="621"/>
      <c r="H117" s="622"/>
      <c r="I117" s="622"/>
      <c r="J117" s="622"/>
      <c r="K117" s="623"/>
    </row>
    <row r="118" spans="2:11" ht="18" customHeight="1" x14ac:dyDescent="0.4">
      <c r="B118" s="280"/>
      <c r="C118" s="416"/>
      <c r="D118" s="281" t="s">
        <v>186</v>
      </c>
      <c r="E118" s="308">
        <v>0.32500000000000001</v>
      </c>
      <c r="F118" s="278">
        <f t="shared" si="3"/>
        <v>0</v>
      </c>
      <c r="G118" s="621"/>
      <c r="H118" s="622"/>
      <c r="I118" s="622"/>
      <c r="J118" s="622"/>
      <c r="K118" s="623"/>
    </row>
    <row r="119" spans="2:11" ht="18" customHeight="1" x14ac:dyDescent="0.4">
      <c r="B119" s="280"/>
      <c r="C119" s="416"/>
      <c r="D119" s="281" t="s">
        <v>132</v>
      </c>
      <c r="E119" s="308">
        <v>0.13</v>
      </c>
      <c r="F119" s="278">
        <f t="shared" si="3"/>
        <v>0</v>
      </c>
      <c r="G119" s="621"/>
      <c r="H119" s="622"/>
      <c r="I119" s="622"/>
      <c r="J119" s="622"/>
      <c r="K119" s="623"/>
    </row>
    <row r="120" spans="2:11" ht="18" customHeight="1" x14ac:dyDescent="0.4">
      <c r="B120" s="280"/>
      <c r="C120" s="180" t="s">
        <v>429</v>
      </c>
      <c r="D120" s="281" t="s">
        <v>106</v>
      </c>
      <c r="E120" s="288">
        <v>26</v>
      </c>
      <c r="F120" s="278">
        <f t="shared" si="3"/>
        <v>0</v>
      </c>
      <c r="G120" s="624" t="s">
        <v>430</v>
      </c>
      <c r="H120" s="624"/>
      <c r="I120" s="624"/>
      <c r="J120" s="624"/>
      <c r="K120" s="625"/>
    </row>
    <row r="121" spans="2:11" ht="18" customHeight="1" x14ac:dyDescent="0.4">
      <c r="B121" s="280"/>
      <c r="C121" s="180"/>
      <c r="D121" s="281" t="s">
        <v>157</v>
      </c>
      <c r="E121" s="279">
        <v>6.5</v>
      </c>
      <c r="F121" s="278">
        <f t="shared" si="3"/>
        <v>0</v>
      </c>
      <c r="G121" s="624"/>
      <c r="H121" s="624"/>
      <c r="I121" s="624"/>
      <c r="J121" s="624"/>
      <c r="K121" s="625"/>
    </row>
    <row r="122" spans="2:11" ht="18" customHeight="1" x14ac:dyDescent="0.4">
      <c r="B122" s="280"/>
      <c r="C122" s="180"/>
      <c r="D122" s="281" t="s">
        <v>126</v>
      </c>
      <c r="E122" s="279">
        <v>0.32500000000000001</v>
      </c>
      <c r="F122" s="278">
        <f t="shared" si="3"/>
        <v>0</v>
      </c>
      <c r="G122" s="624"/>
      <c r="H122" s="624"/>
      <c r="I122" s="624"/>
      <c r="J122" s="624"/>
      <c r="K122" s="625"/>
    </row>
    <row r="123" spans="2:11" ht="18" customHeight="1" x14ac:dyDescent="0.4">
      <c r="B123" s="280"/>
      <c r="C123" s="180"/>
      <c r="D123" s="281" t="s">
        <v>158</v>
      </c>
      <c r="E123" s="279">
        <v>1.3</v>
      </c>
      <c r="F123" s="278">
        <f t="shared" si="3"/>
        <v>0</v>
      </c>
      <c r="G123" s="624"/>
      <c r="H123" s="624"/>
      <c r="I123" s="624"/>
      <c r="J123" s="624"/>
      <c r="K123" s="625"/>
    </row>
    <row r="124" spans="2:11" ht="18" customHeight="1" x14ac:dyDescent="0.4">
      <c r="B124" s="280"/>
      <c r="C124" s="180"/>
      <c r="D124" s="281" t="s">
        <v>18</v>
      </c>
      <c r="E124" s="279">
        <v>3.25</v>
      </c>
      <c r="F124" s="278">
        <f t="shared" si="3"/>
        <v>0</v>
      </c>
      <c r="G124" s="624"/>
      <c r="H124" s="624"/>
      <c r="I124" s="624"/>
      <c r="J124" s="624"/>
      <c r="K124" s="625"/>
    </row>
    <row r="125" spans="2:11" ht="18" customHeight="1" x14ac:dyDescent="0.4">
      <c r="B125" s="280"/>
      <c r="C125" s="180"/>
      <c r="D125" s="281" t="s">
        <v>35</v>
      </c>
      <c r="E125" s="288">
        <v>1.9500000000000002</v>
      </c>
      <c r="F125" s="278">
        <f t="shared" si="3"/>
        <v>0</v>
      </c>
      <c r="G125" s="624"/>
      <c r="H125" s="624"/>
      <c r="I125" s="624"/>
      <c r="J125" s="624"/>
      <c r="K125" s="625"/>
    </row>
    <row r="126" spans="2:11" ht="18" customHeight="1" x14ac:dyDescent="0.4">
      <c r="B126" s="280"/>
      <c r="C126" s="180"/>
      <c r="D126" s="281" t="s">
        <v>19</v>
      </c>
      <c r="E126" s="279">
        <v>0.65</v>
      </c>
      <c r="F126" s="278">
        <f t="shared" si="3"/>
        <v>0</v>
      </c>
      <c r="G126" s="624"/>
      <c r="H126" s="624"/>
      <c r="I126" s="624"/>
      <c r="J126" s="624"/>
      <c r="K126" s="625"/>
    </row>
    <row r="127" spans="2:11" ht="18" customHeight="1" x14ac:dyDescent="0.4">
      <c r="B127" s="280"/>
      <c r="C127" s="358" t="s">
        <v>431</v>
      </c>
      <c r="D127" s="281" t="s">
        <v>70</v>
      </c>
      <c r="E127" s="308">
        <v>19.5</v>
      </c>
      <c r="F127" s="278">
        <f t="shared" si="3"/>
        <v>0</v>
      </c>
      <c r="G127" s="220" t="s">
        <v>432</v>
      </c>
      <c r="H127" s="221"/>
      <c r="I127" s="221"/>
      <c r="J127" s="221"/>
      <c r="K127" s="222"/>
    </row>
    <row r="128" spans="2:11" ht="18" customHeight="1" x14ac:dyDescent="0.4">
      <c r="B128" s="280"/>
      <c r="C128" s="362"/>
      <c r="D128" s="281" t="s">
        <v>126</v>
      </c>
      <c r="E128" s="308">
        <v>0.65</v>
      </c>
      <c r="F128" s="278">
        <f t="shared" si="3"/>
        <v>0</v>
      </c>
      <c r="G128" s="223"/>
      <c r="H128" s="224"/>
      <c r="I128" s="224"/>
      <c r="J128" s="224"/>
      <c r="K128" s="225"/>
    </row>
    <row r="129" spans="2:11" ht="18" customHeight="1" x14ac:dyDescent="0.4">
      <c r="B129" s="280"/>
      <c r="C129" s="362"/>
      <c r="D129" s="281" t="s">
        <v>28</v>
      </c>
      <c r="E129" s="308">
        <v>0.32500000000000001</v>
      </c>
      <c r="F129" s="278">
        <f t="shared" si="3"/>
        <v>0</v>
      </c>
      <c r="G129" s="223"/>
      <c r="H129" s="224"/>
      <c r="I129" s="224"/>
      <c r="J129" s="224"/>
      <c r="K129" s="225"/>
    </row>
    <row r="130" spans="2:11" ht="18" customHeight="1" x14ac:dyDescent="0.4">
      <c r="B130" s="280"/>
      <c r="C130" s="362"/>
      <c r="D130" s="281" t="s">
        <v>75</v>
      </c>
      <c r="E130" s="308">
        <v>1.3</v>
      </c>
      <c r="F130" s="278">
        <f t="shared" si="3"/>
        <v>0</v>
      </c>
      <c r="G130" s="223"/>
      <c r="H130" s="224"/>
      <c r="I130" s="224"/>
      <c r="J130" s="224"/>
      <c r="K130" s="225"/>
    </row>
    <row r="131" spans="2:11" ht="18" customHeight="1" x14ac:dyDescent="0.4">
      <c r="B131" s="280"/>
      <c r="C131" s="428"/>
      <c r="D131" s="281" t="s">
        <v>29</v>
      </c>
      <c r="E131" s="308">
        <v>0.13</v>
      </c>
      <c r="F131" s="278">
        <f t="shared" si="3"/>
        <v>0</v>
      </c>
      <c r="G131" s="223"/>
      <c r="H131" s="224"/>
      <c r="I131" s="224"/>
      <c r="J131" s="224"/>
      <c r="K131" s="225"/>
    </row>
    <row r="132" spans="2:11" ht="18" customHeight="1" x14ac:dyDescent="0.4">
      <c r="B132" s="280"/>
      <c r="C132" s="287" t="s">
        <v>134</v>
      </c>
      <c r="D132" s="287" t="s">
        <v>135</v>
      </c>
      <c r="E132" s="300">
        <v>13</v>
      </c>
      <c r="F132" s="278">
        <f t="shared" si="3"/>
        <v>0</v>
      </c>
      <c r="G132" s="507" t="s">
        <v>32</v>
      </c>
      <c r="H132" s="507"/>
      <c r="I132" s="507"/>
      <c r="J132" s="507"/>
      <c r="K132" s="508"/>
    </row>
    <row r="133" spans="2:11" ht="36.75" customHeight="1" x14ac:dyDescent="0.4">
      <c r="B133" s="322" t="s">
        <v>137</v>
      </c>
      <c r="C133" s="278" t="s">
        <v>302</v>
      </c>
      <c r="D133" s="278" t="s">
        <v>102</v>
      </c>
      <c r="E133" s="288">
        <v>56</v>
      </c>
      <c r="F133" s="278">
        <f t="shared" si="3"/>
        <v>0</v>
      </c>
      <c r="G133" s="468" t="s">
        <v>303</v>
      </c>
      <c r="H133" s="216"/>
      <c r="I133" s="216"/>
      <c r="J133" s="216"/>
      <c r="K133" s="217"/>
    </row>
    <row r="134" spans="2:11" ht="18" customHeight="1" thickBot="1" x14ac:dyDescent="0.45">
      <c r="B134" s="323"/>
      <c r="C134" s="451" t="s">
        <v>148</v>
      </c>
      <c r="D134" s="451" t="s">
        <v>189</v>
      </c>
      <c r="E134" s="375">
        <v>100</v>
      </c>
      <c r="F134" s="375">
        <f t="shared" si="3"/>
        <v>0</v>
      </c>
      <c r="G134" s="327"/>
      <c r="H134" s="328"/>
      <c r="I134" s="328"/>
      <c r="J134" s="328"/>
      <c r="K134" s="329"/>
    </row>
    <row r="135" spans="2:11" ht="80.099999999999994" customHeight="1" thickTop="1" x14ac:dyDescent="0.4">
      <c r="B135" s="90"/>
      <c r="C135" s="90"/>
      <c r="D135" s="90"/>
      <c r="E135" s="90"/>
      <c r="F135" s="90"/>
      <c r="G135" s="90"/>
      <c r="H135" s="90"/>
      <c r="I135" s="90"/>
      <c r="J135" s="90"/>
      <c r="K135" s="90"/>
    </row>
    <row r="136" spans="2:11" ht="18" thickBot="1" x14ac:dyDescent="0.45"/>
    <row r="137" spans="2:11" ht="21" customHeight="1" thickTop="1" x14ac:dyDescent="0.4">
      <c r="B137" s="384" t="s">
        <v>433</v>
      </c>
      <c r="C137" s="385"/>
      <c r="D137" s="385"/>
      <c r="E137" s="385"/>
      <c r="F137" s="385"/>
      <c r="G137" s="385"/>
      <c r="H137" s="385"/>
      <c r="I137" s="385"/>
      <c r="J137" s="385"/>
      <c r="K137" s="386"/>
    </row>
    <row r="138" spans="2:11" ht="18" customHeight="1" x14ac:dyDescent="0.4">
      <c r="B138" s="272" t="s">
        <v>2</v>
      </c>
      <c r="C138" s="273" t="s">
        <v>3</v>
      </c>
      <c r="D138" s="273" t="s">
        <v>4</v>
      </c>
      <c r="E138" s="274" t="s">
        <v>5</v>
      </c>
      <c r="F138" s="274" t="s">
        <v>6</v>
      </c>
      <c r="G138" s="387" t="s">
        <v>7</v>
      </c>
      <c r="H138" s="388"/>
      <c r="I138" s="388"/>
      <c r="J138" s="388"/>
      <c r="K138" s="389"/>
    </row>
    <row r="139" spans="2:11" ht="18" customHeight="1" x14ac:dyDescent="0.4">
      <c r="B139" s="272"/>
      <c r="C139" s="273"/>
      <c r="D139" s="273"/>
      <c r="E139" s="274" t="s">
        <v>1</v>
      </c>
      <c r="F139" s="276" t="s">
        <v>1</v>
      </c>
      <c r="G139" s="390"/>
      <c r="H139" s="391"/>
      <c r="I139" s="391"/>
      <c r="J139" s="391"/>
      <c r="K139" s="392"/>
    </row>
    <row r="140" spans="2:11" ht="18" customHeight="1" x14ac:dyDescent="0.4">
      <c r="B140" s="277" t="s">
        <v>8</v>
      </c>
      <c r="C140" s="278" t="s">
        <v>148</v>
      </c>
      <c r="D140" s="281" t="s">
        <v>189</v>
      </c>
      <c r="E140" s="278">
        <v>200</v>
      </c>
      <c r="F140" s="278">
        <f t="shared" ref="F140:F163" si="4">E140*E$2</f>
        <v>0</v>
      </c>
      <c r="G140" s="215"/>
      <c r="H140" s="216"/>
      <c r="I140" s="216"/>
      <c r="J140" s="216"/>
      <c r="K140" s="217"/>
    </row>
    <row r="141" spans="2:11" ht="18" customHeight="1" x14ac:dyDescent="0.4">
      <c r="B141" s="397" t="s">
        <v>10</v>
      </c>
      <c r="C141" s="514" t="s">
        <v>434</v>
      </c>
      <c r="D141" s="170" t="s">
        <v>122</v>
      </c>
      <c r="E141" s="282">
        <v>32.5</v>
      </c>
      <c r="F141" s="278">
        <f t="shared" si="4"/>
        <v>0</v>
      </c>
      <c r="G141" s="171" t="s">
        <v>435</v>
      </c>
      <c r="H141" s="172"/>
      <c r="I141" s="172"/>
      <c r="J141" s="172"/>
      <c r="K141" s="173"/>
    </row>
    <row r="142" spans="2:11" ht="18" customHeight="1" x14ac:dyDescent="0.4">
      <c r="B142" s="337"/>
      <c r="C142" s="416"/>
      <c r="D142" s="170" t="s">
        <v>436</v>
      </c>
      <c r="E142" s="282">
        <v>19.5</v>
      </c>
      <c r="F142" s="278">
        <f t="shared" si="4"/>
        <v>0</v>
      </c>
      <c r="G142" s="174"/>
      <c r="H142" s="175"/>
      <c r="I142" s="175"/>
      <c r="J142" s="175"/>
      <c r="K142" s="176"/>
    </row>
    <row r="143" spans="2:11" ht="18" customHeight="1" x14ac:dyDescent="0.4">
      <c r="B143" s="337"/>
      <c r="C143" s="416"/>
      <c r="D143" s="170" t="s">
        <v>117</v>
      </c>
      <c r="E143" s="282">
        <v>3.25</v>
      </c>
      <c r="F143" s="278">
        <f t="shared" si="4"/>
        <v>0</v>
      </c>
      <c r="G143" s="174"/>
      <c r="H143" s="175"/>
      <c r="I143" s="175"/>
      <c r="J143" s="175"/>
      <c r="K143" s="176"/>
    </row>
    <row r="144" spans="2:11" ht="18" customHeight="1" x14ac:dyDescent="0.4">
      <c r="B144" s="337"/>
      <c r="C144" s="416"/>
      <c r="D144" s="170" t="s">
        <v>437</v>
      </c>
      <c r="E144" s="282">
        <v>3.25</v>
      </c>
      <c r="F144" s="278">
        <f t="shared" si="4"/>
        <v>0</v>
      </c>
      <c r="G144" s="174"/>
      <c r="H144" s="175"/>
      <c r="I144" s="175"/>
      <c r="J144" s="175"/>
      <c r="K144" s="176"/>
    </row>
    <row r="145" spans="2:11" ht="18" customHeight="1" x14ac:dyDescent="0.4">
      <c r="B145" s="337"/>
      <c r="C145" s="416"/>
      <c r="D145" s="170" t="s">
        <v>228</v>
      </c>
      <c r="E145" s="282">
        <v>3.25</v>
      </c>
      <c r="F145" s="278">
        <f t="shared" si="4"/>
        <v>0</v>
      </c>
      <c r="G145" s="174"/>
      <c r="H145" s="175"/>
      <c r="I145" s="175"/>
      <c r="J145" s="175"/>
      <c r="K145" s="176"/>
    </row>
    <row r="146" spans="2:11" ht="18" customHeight="1" x14ac:dyDescent="0.4">
      <c r="B146" s="337"/>
      <c r="C146" s="416"/>
      <c r="D146" s="170" t="s">
        <v>161</v>
      </c>
      <c r="E146" s="282">
        <v>1.3</v>
      </c>
      <c r="F146" s="278">
        <f t="shared" si="4"/>
        <v>0</v>
      </c>
      <c r="G146" s="174"/>
      <c r="H146" s="175"/>
      <c r="I146" s="175"/>
      <c r="J146" s="175"/>
      <c r="K146" s="176"/>
    </row>
    <row r="147" spans="2:11" ht="18" customHeight="1" x14ac:dyDescent="0.4">
      <c r="B147" s="337"/>
      <c r="C147" s="416"/>
      <c r="D147" s="170" t="s">
        <v>132</v>
      </c>
      <c r="E147" s="282">
        <v>0.32500000000000001</v>
      </c>
      <c r="F147" s="278">
        <f t="shared" si="4"/>
        <v>0</v>
      </c>
      <c r="G147" s="174"/>
      <c r="H147" s="175"/>
      <c r="I147" s="175"/>
      <c r="J147" s="175"/>
      <c r="K147" s="176"/>
    </row>
    <row r="148" spans="2:11" ht="18" customHeight="1" x14ac:dyDescent="0.4">
      <c r="B148" s="337"/>
      <c r="C148" s="416"/>
      <c r="D148" s="170" t="s">
        <v>159</v>
      </c>
      <c r="E148" s="282">
        <v>0.32500000000000001</v>
      </c>
      <c r="F148" s="278">
        <f t="shared" si="4"/>
        <v>0</v>
      </c>
      <c r="G148" s="174"/>
      <c r="H148" s="175"/>
      <c r="I148" s="175"/>
      <c r="J148" s="175"/>
      <c r="K148" s="176"/>
    </row>
    <row r="149" spans="2:11" ht="18" customHeight="1" x14ac:dyDescent="0.4">
      <c r="B149" s="337"/>
      <c r="C149" s="416"/>
      <c r="D149" s="170" t="s">
        <v>158</v>
      </c>
      <c r="E149" s="282">
        <v>0.32500000000000001</v>
      </c>
      <c r="F149" s="278">
        <f t="shared" si="4"/>
        <v>0</v>
      </c>
      <c r="G149" s="174"/>
      <c r="H149" s="175"/>
      <c r="I149" s="175"/>
      <c r="J149" s="175"/>
      <c r="K149" s="176"/>
    </row>
    <row r="150" spans="2:11" ht="18" customHeight="1" x14ac:dyDescent="0.4">
      <c r="B150" s="337"/>
      <c r="C150" s="416"/>
      <c r="D150" s="170" t="s">
        <v>186</v>
      </c>
      <c r="E150" s="282">
        <v>0.19500000000000001</v>
      </c>
      <c r="F150" s="278">
        <f t="shared" si="4"/>
        <v>0</v>
      </c>
      <c r="G150" s="174"/>
      <c r="H150" s="175"/>
      <c r="I150" s="175"/>
      <c r="J150" s="175"/>
      <c r="K150" s="176"/>
    </row>
    <row r="151" spans="2:11" ht="18" customHeight="1" x14ac:dyDescent="0.4">
      <c r="B151" s="337"/>
      <c r="C151" s="521"/>
      <c r="D151" s="170" t="s">
        <v>133</v>
      </c>
      <c r="E151" s="282">
        <v>6.5000000000000002E-2</v>
      </c>
      <c r="F151" s="278">
        <f t="shared" si="4"/>
        <v>0</v>
      </c>
      <c r="G151" s="177"/>
      <c r="H151" s="178"/>
      <c r="I151" s="178"/>
      <c r="J151" s="178"/>
      <c r="K151" s="179"/>
    </row>
    <row r="152" spans="2:11" ht="18" customHeight="1" x14ac:dyDescent="0.4">
      <c r="B152" s="337"/>
      <c r="C152" s="345" t="s">
        <v>438</v>
      </c>
      <c r="D152" s="287" t="s">
        <v>97</v>
      </c>
      <c r="E152" s="282">
        <v>6.5</v>
      </c>
      <c r="F152" s="278">
        <f t="shared" si="4"/>
        <v>0</v>
      </c>
      <c r="G152" s="626" t="s">
        <v>439</v>
      </c>
      <c r="H152" s="627"/>
      <c r="I152" s="627"/>
      <c r="J152" s="627"/>
      <c r="K152" s="628"/>
    </row>
    <row r="153" spans="2:11" ht="18" customHeight="1" x14ac:dyDescent="0.4">
      <c r="B153" s="337"/>
      <c r="C153" s="346"/>
      <c r="D153" s="287" t="s">
        <v>15</v>
      </c>
      <c r="E153" s="282">
        <v>1.3</v>
      </c>
      <c r="F153" s="278">
        <f t="shared" si="4"/>
        <v>0</v>
      </c>
      <c r="G153" s="629"/>
      <c r="H153" s="630"/>
      <c r="I153" s="630"/>
      <c r="J153" s="630"/>
      <c r="K153" s="631"/>
    </row>
    <row r="154" spans="2:11" ht="18" customHeight="1" x14ac:dyDescent="0.4">
      <c r="B154" s="337"/>
      <c r="C154" s="346"/>
      <c r="D154" s="287" t="s">
        <v>17</v>
      </c>
      <c r="E154" s="282">
        <v>1.3</v>
      </c>
      <c r="F154" s="278">
        <f t="shared" si="4"/>
        <v>0</v>
      </c>
      <c r="G154" s="629"/>
      <c r="H154" s="630"/>
      <c r="I154" s="630"/>
      <c r="J154" s="630"/>
      <c r="K154" s="631"/>
    </row>
    <row r="155" spans="2:11" ht="18" customHeight="1" x14ac:dyDescent="0.4">
      <c r="B155" s="337"/>
      <c r="C155" s="346"/>
      <c r="D155" s="287" t="s">
        <v>41</v>
      </c>
      <c r="E155" s="282">
        <v>3.25</v>
      </c>
      <c r="F155" s="278">
        <f t="shared" si="4"/>
        <v>0</v>
      </c>
      <c r="G155" s="629"/>
      <c r="H155" s="630"/>
      <c r="I155" s="630"/>
      <c r="J155" s="630"/>
      <c r="K155" s="631"/>
    </row>
    <row r="156" spans="2:11" ht="18" customHeight="1" x14ac:dyDescent="0.4">
      <c r="B156" s="337"/>
      <c r="C156" s="346"/>
      <c r="D156" s="287" t="s">
        <v>20</v>
      </c>
      <c r="E156" s="282">
        <v>1.3</v>
      </c>
      <c r="F156" s="278">
        <f t="shared" si="4"/>
        <v>0</v>
      </c>
      <c r="G156" s="629"/>
      <c r="H156" s="630"/>
      <c r="I156" s="630"/>
      <c r="J156" s="630"/>
      <c r="K156" s="631"/>
    </row>
    <row r="157" spans="2:11" ht="18" customHeight="1" x14ac:dyDescent="0.4">
      <c r="B157" s="337"/>
      <c r="C157" s="460"/>
      <c r="D157" s="287" t="s">
        <v>126</v>
      </c>
      <c r="E157" s="282">
        <v>0.65</v>
      </c>
      <c r="F157" s="278">
        <f t="shared" si="4"/>
        <v>0</v>
      </c>
      <c r="G157" s="632"/>
      <c r="H157" s="633"/>
      <c r="I157" s="633"/>
      <c r="J157" s="633"/>
      <c r="K157" s="634"/>
    </row>
    <row r="158" spans="2:11" ht="18" customHeight="1" x14ac:dyDescent="0.4">
      <c r="B158" s="337"/>
      <c r="C158" s="358" t="s">
        <v>195</v>
      </c>
      <c r="D158" s="170" t="s">
        <v>63</v>
      </c>
      <c r="E158" s="288">
        <v>26</v>
      </c>
      <c r="F158" s="278">
        <f t="shared" si="4"/>
        <v>0</v>
      </c>
      <c r="G158" s="171" t="s">
        <v>196</v>
      </c>
      <c r="H158" s="172"/>
      <c r="I158" s="172"/>
      <c r="J158" s="172"/>
      <c r="K158" s="173"/>
    </row>
    <row r="159" spans="2:11" ht="18" customHeight="1" x14ac:dyDescent="0.4">
      <c r="B159" s="337"/>
      <c r="C159" s="362"/>
      <c r="D159" s="170" t="s">
        <v>22</v>
      </c>
      <c r="E159" s="279">
        <v>3.25</v>
      </c>
      <c r="F159" s="278">
        <f t="shared" si="4"/>
        <v>0</v>
      </c>
      <c r="G159" s="174"/>
      <c r="H159" s="175"/>
      <c r="I159" s="175"/>
      <c r="J159" s="175"/>
      <c r="K159" s="176"/>
    </row>
    <row r="160" spans="2:11" ht="18" customHeight="1" x14ac:dyDescent="0.4">
      <c r="B160" s="337"/>
      <c r="C160" s="362"/>
      <c r="D160" s="170" t="s">
        <v>20</v>
      </c>
      <c r="E160" s="288">
        <v>1.9500000000000002</v>
      </c>
      <c r="F160" s="278">
        <f t="shared" si="4"/>
        <v>0</v>
      </c>
      <c r="G160" s="174"/>
      <c r="H160" s="175"/>
      <c r="I160" s="175"/>
      <c r="J160" s="175"/>
      <c r="K160" s="176"/>
    </row>
    <row r="161" spans="2:11" ht="18" customHeight="1" x14ac:dyDescent="0.4">
      <c r="B161" s="337"/>
      <c r="C161" s="362"/>
      <c r="D161" s="170" t="s">
        <v>159</v>
      </c>
      <c r="E161" s="279">
        <v>1.3</v>
      </c>
      <c r="F161" s="278">
        <f t="shared" si="4"/>
        <v>0</v>
      </c>
      <c r="G161" s="174"/>
      <c r="H161" s="175"/>
      <c r="I161" s="175"/>
      <c r="J161" s="175"/>
      <c r="K161" s="176"/>
    </row>
    <row r="162" spans="2:11" ht="18" customHeight="1" x14ac:dyDescent="0.4">
      <c r="B162" s="337"/>
      <c r="C162" s="428"/>
      <c r="D162" s="170" t="s">
        <v>19</v>
      </c>
      <c r="E162" s="279">
        <v>0.65</v>
      </c>
      <c r="F162" s="278">
        <f t="shared" si="4"/>
        <v>0</v>
      </c>
      <c r="G162" s="177"/>
      <c r="H162" s="178"/>
      <c r="I162" s="178"/>
      <c r="J162" s="178"/>
      <c r="K162" s="179"/>
    </row>
    <row r="163" spans="2:11" ht="18" customHeight="1" thickBot="1" x14ac:dyDescent="0.45">
      <c r="B163" s="635"/>
      <c r="C163" s="496" t="s">
        <v>134</v>
      </c>
      <c r="D163" s="496" t="s">
        <v>135</v>
      </c>
      <c r="E163" s="474">
        <v>13</v>
      </c>
      <c r="F163" s="375">
        <f t="shared" si="4"/>
        <v>0</v>
      </c>
      <c r="G163" s="636" t="s">
        <v>32</v>
      </c>
      <c r="H163" s="636"/>
      <c r="I163" s="636"/>
      <c r="J163" s="636"/>
      <c r="K163" s="637"/>
    </row>
    <row r="164" spans="2:11" ht="80.099999999999994" customHeight="1" thickTop="1" x14ac:dyDescent="0.4"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</row>
  </sheetData>
  <mergeCells count="97">
    <mergeCell ref="B164:K164"/>
    <mergeCell ref="B137:K137"/>
    <mergeCell ref="B138:B139"/>
    <mergeCell ref="C138:C139"/>
    <mergeCell ref="D138:D139"/>
    <mergeCell ref="G138:K139"/>
    <mergeCell ref="G140:K140"/>
    <mergeCell ref="B141:B163"/>
    <mergeCell ref="C141:C151"/>
    <mergeCell ref="G141:K151"/>
    <mergeCell ref="C152:C157"/>
    <mergeCell ref="G152:K157"/>
    <mergeCell ref="C158:C162"/>
    <mergeCell ref="G158:K162"/>
    <mergeCell ref="G163:K163"/>
    <mergeCell ref="G82:K89"/>
    <mergeCell ref="G90:K90"/>
    <mergeCell ref="C91:C97"/>
    <mergeCell ref="G91:K97"/>
    <mergeCell ref="C98:C101"/>
    <mergeCell ref="G98:K101"/>
    <mergeCell ref="G102:K102"/>
    <mergeCell ref="B103:B104"/>
    <mergeCell ref="G103:K103"/>
    <mergeCell ref="G104:K104"/>
    <mergeCell ref="F2:K2"/>
    <mergeCell ref="B3:K5"/>
    <mergeCell ref="B10:B30"/>
    <mergeCell ref="G10:K10"/>
    <mergeCell ref="C11:C15"/>
    <mergeCell ref="G11:K15"/>
    <mergeCell ref="C16:C25"/>
    <mergeCell ref="G16:K25"/>
    <mergeCell ref="C26:C29"/>
    <mergeCell ref="G26:K29"/>
    <mergeCell ref="G30:K30"/>
    <mergeCell ref="B6:K6"/>
    <mergeCell ref="B7:B8"/>
    <mergeCell ref="C7:C8"/>
    <mergeCell ref="D7:D8"/>
    <mergeCell ref="G7:K8"/>
    <mergeCell ref="G9:K9"/>
    <mergeCell ref="C44:C45"/>
    <mergeCell ref="G44:K45"/>
    <mergeCell ref="B31:B34"/>
    <mergeCell ref="C31:C34"/>
    <mergeCell ref="G31:K34"/>
    <mergeCell ref="B35:K35"/>
    <mergeCell ref="B37:K37"/>
    <mergeCell ref="B38:B39"/>
    <mergeCell ref="C38:C39"/>
    <mergeCell ref="D38:D39"/>
    <mergeCell ref="G38:K39"/>
    <mergeCell ref="B40:B43"/>
    <mergeCell ref="C40:C43"/>
    <mergeCell ref="G40:K43"/>
    <mergeCell ref="B44:B66"/>
    <mergeCell ref="C46:C53"/>
    <mergeCell ref="G46:K53"/>
    <mergeCell ref="C54:C59"/>
    <mergeCell ref="G54:K59"/>
    <mergeCell ref="C60:C65"/>
    <mergeCell ref="G60:K65"/>
    <mergeCell ref="G66:K66"/>
    <mergeCell ref="B67:B75"/>
    <mergeCell ref="C67:C75"/>
    <mergeCell ref="G67:K75"/>
    <mergeCell ref="B76:K76"/>
    <mergeCell ref="B78:K78"/>
    <mergeCell ref="B79:B80"/>
    <mergeCell ref="C79:C80"/>
    <mergeCell ref="D79:D80"/>
    <mergeCell ref="G79:K80"/>
    <mergeCell ref="G81:K81"/>
    <mergeCell ref="B82:B102"/>
    <mergeCell ref="C82:C89"/>
    <mergeCell ref="B105:K105"/>
    <mergeCell ref="B107:K107"/>
    <mergeCell ref="B108:B109"/>
    <mergeCell ref="C108:C109"/>
    <mergeCell ref="D108:D109"/>
    <mergeCell ref="G108:K109"/>
    <mergeCell ref="G110:K110"/>
    <mergeCell ref="B111:B132"/>
    <mergeCell ref="C111:C112"/>
    <mergeCell ref="G111:K112"/>
    <mergeCell ref="C113:C119"/>
    <mergeCell ref="G113:K119"/>
    <mergeCell ref="C120:C126"/>
    <mergeCell ref="G120:K126"/>
    <mergeCell ref="C127:C131"/>
    <mergeCell ref="G127:K131"/>
    <mergeCell ref="G132:K132"/>
    <mergeCell ref="B133:B134"/>
    <mergeCell ref="G133:K133"/>
    <mergeCell ref="G134:K134"/>
    <mergeCell ref="B135:K135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25"/>
  <sheetViews>
    <sheetView topLeftCell="F1" workbookViewId="0">
      <selection activeCell="M23" sqref="A1:XFD1048576"/>
    </sheetView>
  </sheetViews>
  <sheetFormatPr defaultColWidth="9" defaultRowHeight="17.399999999999999" x14ac:dyDescent="0.4"/>
  <cols>
    <col min="1" max="1" width="4.8984375" style="262" customWidth="1"/>
    <col min="2" max="2" width="9" style="263"/>
    <col min="3" max="3" width="18.59765625" style="263" customWidth="1"/>
    <col min="4" max="11" width="11.59765625" style="263" customWidth="1"/>
    <col min="12" max="16384" width="9" style="262"/>
  </cols>
  <sheetData>
    <row r="1" spans="2:11" ht="18" thickBot="1" x14ac:dyDescent="0.45"/>
    <row r="2" spans="2:11" ht="18" customHeight="1" thickTop="1" thickBot="1" x14ac:dyDescent="0.45">
      <c r="C2" s="264" t="s">
        <v>0</v>
      </c>
      <c r="D2" s="264" t="s">
        <v>1</v>
      </c>
      <c r="E2" s="265"/>
      <c r="F2" s="266" t="s">
        <v>113</v>
      </c>
      <c r="G2" s="266"/>
      <c r="H2" s="266"/>
      <c r="I2" s="266"/>
      <c r="J2" s="266"/>
      <c r="K2" s="266"/>
    </row>
    <row r="3" spans="2:11" ht="34.5" customHeight="1" thickTop="1" x14ac:dyDescent="0.4">
      <c r="B3" s="267" t="s">
        <v>114</v>
      </c>
      <c r="C3" s="267"/>
      <c r="D3" s="267"/>
      <c r="E3" s="267"/>
      <c r="F3" s="267"/>
      <c r="G3" s="267"/>
      <c r="H3" s="267"/>
      <c r="I3" s="267"/>
      <c r="J3" s="267"/>
      <c r="K3" s="267"/>
    </row>
    <row r="4" spans="2:11" ht="16.5" customHeight="1" x14ac:dyDescent="0.4">
      <c r="B4" s="267"/>
      <c r="C4" s="267"/>
      <c r="D4" s="267"/>
      <c r="E4" s="267"/>
      <c r="F4" s="267"/>
      <c r="G4" s="267"/>
      <c r="H4" s="267"/>
      <c r="I4" s="267"/>
      <c r="J4" s="267"/>
      <c r="K4" s="267"/>
    </row>
    <row r="5" spans="2:11" ht="16.5" customHeight="1" thickBot="1" x14ac:dyDescent="0.45">
      <c r="B5" s="268"/>
      <c r="C5" s="268"/>
      <c r="D5" s="268"/>
      <c r="E5" s="268"/>
      <c r="F5" s="268"/>
      <c r="G5" s="268"/>
      <c r="H5" s="268"/>
      <c r="I5" s="268"/>
      <c r="J5" s="268"/>
      <c r="K5" s="268"/>
    </row>
    <row r="6" spans="2:11" ht="21" customHeight="1" thickTop="1" x14ac:dyDescent="0.4">
      <c r="B6" s="269" t="s">
        <v>440</v>
      </c>
      <c r="C6" s="270"/>
      <c r="D6" s="270"/>
      <c r="E6" s="270"/>
      <c r="F6" s="270"/>
      <c r="G6" s="270"/>
      <c r="H6" s="270"/>
      <c r="I6" s="270"/>
      <c r="J6" s="270"/>
      <c r="K6" s="271"/>
    </row>
    <row r="7" spans="2:11" ht="18" customHeight="1" x14ac:dyDescent="0.4">
      <c r="B7" s="272" t="s">
        <v>2</v>
      </c>
      <c r="C7" s="273" t="s">
        <v>3</v>
      </c>
      <c r="D7" s="273" t="s">
        <v>4</v>
      </c>
      <c r="E7" s="274" t="s">
        <v>5</v>
      </c>
      <c r="F7" s="274" t="s">
        <v>6</v>
      </c>
      <c r="G7" s="273" t="s">
        <v>7</v>
      </c>
      <c r="H7" s="273"/>
      <c r="I7" s="273"/>
      <c r="J7" s="273"/>
      <c r="K7" s="275"/>
    </row>
    <row r="8" spans="2:11" ht="18" customHeight="1" x14ac:dyDescent="0.4">
      <c r="B8" s="272"/>
      <c r="C8" s="273"/>
      <c r="D8" s="273"/>
      <c r="E8" s="274" t="s">
        <v>1</v>
      </c>
      <c r="F8" s="276" t="s">
        <v>1</v>
      </c>
      <c r="G8" s="273"/>
      <c r="H8" s="273"/>
      <c r="I8" s="273"/>
      <c r="J8" s="273"/>
      <c r="K8" s="275"/>
    </row>
    <row r="9" spans="2:11" ht="18" customHeight="1" x14ac:dyDescent="0.4">
      <c r="B9" s="330" t="s">
        <v>8</v>
      </c>
      <c r="C9" s="457" t="s">
        <v>441</v>
      </c>
      <c r="D9" s="278" t="s">
        <v>442</v>
      </c>
      <c r="E9" s="300">
        <v>65</v>
      </c>
      <c r="F9" s="278">
        <f t="shared" ref="F9:F40" si="0">E9*E$2</f>
        <v>0</v>
      </c>
      <c r="G9" s="215" t="s">
        <v>443</v>
      </c>
      <c r="H9" s="216"/>
      <c r="I9" s="216"/>
      <c r="J9" s="216"/>
      <c r="K9" s="217"/>
    </row>
    <row r="10" spans="2:11" ht="18" customHeight="1" x14ac:dyDescent="0.4">
      <c r="B10" s="335"/>
      <c r="C10" s="278" t="s">
        <v>277</v>
      </c>
      <c r="D10" s="426" t="s">
        <v>278</v>
      </c>
      <c r="E10" s="278">
        <v>100</v>
      </c>
      <c r="F10" s="278">
        <f t="shared" si="0"/>
        <v>0</v>
      </c>
      <c r="G10" s="97"/>
      <c r="H10" s="98"/>
      <c r="I10" s="98"/>
      <c r="J10" s="98"/>
      <c r="K10" s="99"/>
    </row>
    <row r="11" spans="2:11" ht="18" customHeight="1" x14ac:dyDescent="0.4">
      <c r="B11" s="442" t="s">
        <v>149</v>
      </c>
      <c r="C11" s="338" t="s">
        <v>204</v>
      </c>
      <c r="D11" s="281" t="s">
        <v>11</v>
      </c>
      <c r="E11" s="282">
        <v>32.5</v>
      </c>
      <c r="F11" s="347">
        <f t="shared" si="0"/>
        <v>0</v>
      </c>
      <c r="G11" s="283" t="s">
        <v>50</v>
      </c>
      <c r="H11" s="283"/>
      <c r="I11" s="283"/>
      <c r="J11" s="283"/>
      <c r="K11" s="341"/>
    </row>
    <row r="12" spans="2:11" ht="18" customHeight="1" x14ac:dyDescent="0.4">
      <c r="B12" s="280"/>
      <c r="C12" s="342"/>
      <c r="D12" s="281" t="s">
        <v>51</v>
      </c>
      <c r="E12" s="282">
        <v>1.625</v>
      </c>
      <c r="F12" s="278">
        <f t="shared" si="0"/>
        <v>0</v>
      </c>
      <c r="G12" s="343"/>
      <c r="H12" s="343"/>
      <c r="I12" s="343"/>
      <c r="J12" s="343"/>
      <c r="K12" s="344"/>
    </row>
    <row r="13" spans="2:11" ht="18" customHeight="1" x14ac:dyDescent="0.4">
      <c r="B13" s="280"/>
      <c r="C13" s="345" t="s">
        <v>444</v>
      </c>
      <c r="D13" s="494" t="s">
        <v>445</v>
      </c>
      <c r="E13" s="282">
        <v>22.75</v>
      </c>
      <c r="F13" s="347">
        <f t="shared" si="0"/>
        <v>0</v>
      </c>
      <c r="G13" s="638" t="s">
        <v>446</v>
      </c>
      <c r="H13" s="638"/>
      <c r="I13" s="638"/>
      <c r="J13" s="638"/>
      <c r="K13" s="639"/>
    </row>
    <row r="14" spans="2:11" ht="18" customHeight="1" x14ac:dyDescent="0.4">
      <c r="B14" s="280"/>
      <c r="C14" s="346"/>
      <c r="D14" s="494" t="s">
        <v>447</v>
      </c>
      <c r="E14" s="282">
        <v>4.875</v>
      </c>
      <c r="F14" s="347">
        <f t="shared" si="0"/>
        <v>0</v>
      </c>
      <c r="G14" s="638"/>
      <c r="H14" s="638"/>
      <c r="I14" s="638"/>
      <c r="J14" s="638"/>
      <c r="K14" s="639"/>
    </row>
    <row r="15" spans="2:11" ht="18" customHeight="1" x14ac:dyDescent="0.4">
      <c r="B15" s="280"/>
      <c r="C15" s="346"/>
      <c r="D15" s="494" t="s">
        <v>158</v>
      </c>
      <c r="E15" s="300">
        <v>1.9500000000000002</v>
      </c>
      <c r="F15" s="347">
        <f t="shared" si="0"/>
        <v>0</v>
      </c>
      <c r="G15" s="638"/>
      <c r="H15" s="638"/>
      <c r="I15" s="638"/>
      <c r="J15" s="638"/>
      <c r="K15" s="639"/>
    </row>
    <row r="16" spans="2:11" ht="18" customHeight="1" x14ac:dyDescent="0.4">
      <c r="B16" s="280"/>
      <c r="C16" s="346"/>
      <c r="D16" s="494" t="s">
        <v>17</v>
      </c>
      <c r="E16" s="282">
        <v>1.3</v>
      </c>
      <c r="F16" s="347">
        <f t="shared" si="0"/>
        <v>0</v>
      </c>
      <c r="G16" s="638"/>
      <c r="H16" s="638"/>
      <c r="I16" s="638"/>
      <c r="J16" s="638"/>
      <c r="K16" s="639"/>
    </row>
    <row r="17" spans="2:11" ht="18" customHeight="1" x14ac:dyDescent="0.4">
      <c r="B17" s="280"/>
      <c r="C17" s="346"/>
      <c r="D17" s="494" t="s">
        <v>126</v>
      </c>
      <c r="E17" s="282">
        <v>0.32500000000000001</v>
      </c>
      <c r="F17" s="347">
        <f t="shared" si="0"/>
        <v>0</v>
      </c>
      <c r="G17" s="638"/>
      <c r="H17" s="638"/>
      <c r="I17" s="638"/>
      <c r="J17" s="638"/>
      <c r="K17" s="639"/>
    </row>
    <row r="18" spans="2:11" ht="18" customHeight="1" x14ac:dyDescent="0.4">
      <c r="B18" s="280"/>
      <c r="C18" s="640" t="s">
        <v>448</v>
      </c>
      <c r="D18" s="281" t="s">
        <v>100</v>
      </c>
      <c r="E18" s="300">
        <v>26</v>
      </c>
      <c r="F18" s="278">
        <f t="shared" si="0"/>
        <v>0</v>
      </c>
      <c r="G18" s="35" t="s">
        <v>449</v>
      </c>
      <c r="H18" s="36"/>
      <c r="I18" s="36"/>
      <c r="J18" s="36"/>
      <c r="K18" s="37"/>
    </row>
    <row r="19" spans="2:11" ht="18" customHeight="1" x14ac:dyDescent="0.4">
      <c r="B19" s="280"/>
      <c r="C19" s="342"/>
      <c r="D19" s="287" t="s">
        <v>14</v>
      </c>
      <c r="E19" s="282">
        <v>6.5</v>
      </c>
      <c r="F19" s="278">
        <f t="shared" si="0"/>
        <v>0</v>
      </c>
      <c r="G19" s="39"/>
      <c r="H19" s="40"/>
      <c r="I19" s="40"/>
      <c r="J19" s="40"/>
      <c r="K19" s="41"/>
    </row>
    <row r="20" spans="2:11" ht="18" customHeight="1" x14ac:dyDescent="0.4">
      <c r="B20" s="280"/>
      <c r="C20" s="342"/>
      <c r="D20" s="287" t="s">
        <v>46</v>
      </c>
      <c r="E20" s="282">
        <v>6.5</v>
      </c>
      <c r="F20" s="278">
        <f t="shared" si="0"/>
        <v>0</v>
      </c>
      <c r="G20" s="39"/>
      <c r="H20" s="40"/>
      <c r="I20" s="40"/>
      <c r="J20" s="40"/>
      <c r="K20" s="41"/>
    </row>
    <row r="21" spans="2:11" ht="18" customHeight="1" x14ac:dyDescent="0.4">
      <c r="B21" s="280"/>
      <c r="C21" s="342"/>
      <c r="D21" s="287" t="s">
        <v>20</v>
      </c>
      <c r="E21" s="282">
        <v>1.3</v>
      </c>
      <c r="F21" s="278">
        <f t="shared" si="0"/>
        <v>0</v>
      </c>
      <c r="G21" s="39"/>
      <c r="H21" s="40"/>
      <c r="I21" s="40"/>
      <c r="J21" s="40"/>
      <c r="K21" s="41"/>
    </row>
    <row r="22" spans="2:11" ht="18" customHeight="1" x14ac:dyDescent="0.4">
      <c r="B22" s="280"/>
      <c r="C22" s="342"/>
      <c r="D22" s="287" t="s">
        <v>18</v>
      </c>
      <c r="E22" s="282">
        <v>3.25</v>
      </c>
      <c r="F22" s="278">
        <f t="shared" si="0"/>
        <v>0</v>
      </c>
      <c r="G22" s="39"/>
      <c r="H22" s="40"/>
      <c r="I22" s="40"/>
      <c r="J22" s="40"/>
      <c r="K22" s="41"/>
    </row>
    <row r="23" spans="2:11" ht="18" customHeight="1" x14ac:dyDescent="0.4">
      <c r="B23" s="280"/>
      <c r="C23" s="342"/>
      <c r="D23" s="287" t="s">
        <v>101</v>
      </c>
      <c r="E23" s="300">
        <v>1.9500000000000002</v>
      </c>
      <c r="F23" s="278">
        <f t="shared" si="0"/>
        <v>0</v>
      </c>
      <c r="G23" s="39"/>
      <c r="H23" s="40"/>
      <c r="I23" s="40"/>
      <c r="J23" s="40"/>
      <c r="K23" s="41"/>
    </row>
    <row r="24" spans="2:11" ht="18" customHeight="1" x14ac:dyDescent="0.4">
      <c r="B24" s="280"/>
      <c r="C24" s="342"/>
      <c r="D24" s="287" t="s">
        <v>126</v>
      </c>
      <c r="E24" s="282">
        <v>0.65</v>
      </c>
      <c r="F24" s="278">
        <f t="shared" si="0"/>
        <v>0</v>
      </c>
      <c r="G24" s="39"/>
      <c r="H24" s="40"/>
      <c r="I24" s="40"/>
      <c r="J24" s="40"/>
      <c r="K24" s="41"/>
    </row>
    <row r="25" spans="2:11" ht="18" customHeight="1" x14ac:dyDescent="0.4">
      <c r="B25" s="280"/>
      <c r="C25" s="342"/>
      <c r="D25" s="287" t="s">
        <v>19</v>
      </c>
      <c r="E25" s="282">
        <v>0.32500000000000001</v>
      </c>
      <c r="F25" s="278">
        <f t="shared" si="0"/>
        <v>0</v>
      </c>
      <c r="G25" s="39"/>
      <c r="H25" s="40"/>
      <c r="I25" s="40"/>
      <c r="J25" s="40"/>
      <c r="K25" s="41"/>
    </row>
    <row r="26" spans="2:11" ht="18" customHeight="1" x14ac:dyDescent="0.4">
      <c r="B26" s="280"/>
      <c r="C26" s="342"/>
      <c r="D26" s="287" t="s">
        <v>28</v>
      </c>
      <c r="E26" s="282">
        <v>0.32500000000000001</v>
      </c>
      <c r="F26" s="278">
        <f t="shared" si="0"/>
        <v>0</v>
      </c>
      <c r="G26" s="39"/>
      <c r="H26" s="40"/>
      <c r="I26" s="40"/>
      <c r="J26" s="40"/>
      <c r="K26" s="41"/>
    </row>
    <row r="27" spans="2:11" ht="18" customHeight="1" x14ac:dyDescent="0.4">
      <c r="B27" s="280"/>
      <c r="C27" s="342"/>
      <c r="D27" s="287" t="s">
        <v>25</v>
      </c>
      <c r="E27" s="282">
        <v>0.13</v>
      </c>
      <c r="F27" s="278">
        <f t="shared" si="0"/>
        <v>0</v>
      </c>
      <c r="G27" s="39"/>
      <c r="H27" s="40"/>
      <c r="I27" s="40"/>
      <c r="J27" s="40"/>
      <c r="K27" s="41"/>
    </row>
    <row r="28" spans="2:11" ht="18" customHeight="1" x14ac:dyDescent="0.4">
      <c r="B28" s="280"/>
      <c r="C28" s="342"/>
      <c r="D28" s="287" t="s">
        <v>26</v>
      </c>
      <c r="E28" s="282">
        <v>1.3</v>
      </c>
      <c r="F28" s="278">
        <f t="shared" si="0"/>
        <v>0</v>
      </c>
      <c r="G28" s="39"/>
      <c r="H28" s="40"/>
      <c r="I28" s="40"/>
      <c r="J28" s="40"/>
      <c r="K28" s="41"/>
    </row>
    <row r="29" spans="2:11" ht="18" customHeight="1" x14ac:dyDescent="0.4">
      <c r="B29" s="280"/>
      <c r="C29" s="432" t="s">
        <v>450</v>
      </c>
      <c r="D29" s="281" t="s">
        <v>181</v>
      </c>
      <c r="E29" s="278">
        <v>13</v>
      </c>
      <c r="F29" s="278">
        <f t="shared" si="0"/>
        <v>0</v>
      </c>
      <c r="G29" s="220" t="s">
        <v>451</v>
      </c>
      <c r="H29" s="221"/>
      <c r="I29" s="221"/>
      <c r="J29" s="221"/>
      <c r="K29" s="222"/>
    </row>
    <row r="30" spans="2:11" ht="18" customHeight="1" x14ac:dyDescent="0.4">
      <c r="B30" s="280"/>
      <c r="C30" s="436"/>
      <c r="D30" s="281" t="s">
        <v>452</v>
      </c>
      <c r="E30" s="308">
        <v>9.75</v>
      </c>
      <c r="F30" s="278">
        <f t="shared" si="0"/>
        <v>0</v>
      </c>
      <c r="G30" s="223"/>
      <c r="H30" s="224"/>
      <c r="I30" s="224"/>
      <c r="J30" s="224"/>
      <c r="K30" s="225"/>
    </row>
    <row r="31" spans="2:11" ht="18" customHeight="1" x14ac:dyDescent="0.4">
      <c r="B31" s="280"/>
      <c r="C31" s="436"/>
      <c r="D31" s="281" t="s">
        <v>158</v>
      </c>
      <c r="E31" s="309">
        <v>1.9500000000000002</v>
      </c>
      <c r="F31" s="278">
        <f t="shared" si="0"/>
        <v>0</v>
      </c>
      <c r="G31" s="223"/>
      <c r="H31" s="224"/>
      <c r="I31" s="224"/>
      <c r="J31" s="224"/>
      <c r="K31" s="225"/>
    </row>
    <row r="32" spans="2:11" ht="18" customHeight="1" x14ac:dyDescent="0.4">
      <c r="B32" s="280"/>
      <c r="C32" s="436"/>
      <c r="D32" s="281" t="s">
        <v>132</v>
      </c>
      <c r="E32" s="308">
        <v>0.19500000000000001</v>
      </c>
      <c r="F32" s="278">
        <f t="shared" si="0"/>
        <v>0</v>
      </c>
      <c r="G32" s="223"/>
      <c r="H32" s="224"/>
      <c r="I32" s="224"/>
      <c r="J32" s="224"/>
      <c r="K32" s="225"/>
    </row>
    <row r="33" spans="2:11" ht="18" customHeight="1" x14ac:dyDescent="0.4">
      <c r="B33" s="280"/>
      <c r="C33" s="436"/>
      <c r="D33" s="281" t="s">
        <v>165</v>
      </c>
      <c r="E33" s="308">
        <v>0.13</v>
      </c>
      <c r="F33" s="278">
        <f t="shared" si="0"/>
        <v>0</v>
      </c>
      <c r="G33" s="223"/>
      <c r="H33" s="224"/>
      <c r="I33" s="224"/>
      <c r="J33" s="224"/>
      <c r="K33" s="225"/>
    </row>
    <row r="34" spans="2:11" ht="18" customHeight="1" x14ac:dyDescent="0.4">
      <c r="B34" s="280"/>
      <c r="C34" s="436"/>
      <c r="D34" s="281" t="s">
        <v>133</v>
      </c>
      <c r="E34" s="308">
        <v>6.5000000000000002E-2</v>
      </c>
      <c r="F34" s="278">
        <f t="shared" si="0"/>
        <v>0</v>
      </c>
      <c r="G34" s="223"/>
      <c r="H34" s="224"/>
      <c r="I34" s="224"/>
      <c r="J34" s="224"/>
      <c r="K34" s="225"/>
    </row>
    <row r="35" spans="2:11" ht="18" customHeight="1" x14ac:dyDescent="0.4">
      <c r="B35" s="280"/>
      <c r="C35" s="436"/>
      <c r="D35" s="281" t="s">
        <v>166</v>
      </c>
      <c r="E35" s="308">
        <v>6.5000000000000002E-2</v>
      </c>
      <c r="F35" s="278">
        <f t="shared" si="0"/>
        <v>0</v>
      </c>
      <c r="G35" s="412"/>
      <c r="H35" s="413"/>
      <c r="I35" s="413"/>
      <c r="J35" s="413"/>
      <c r="K35" s="414"/>
    </row>
    <row r="36" spans="2:11" ht="18" customHeight="1" x14ac:dyDescent="0.4">
      <c r="B36" s="280"/>
      <c r="C36" s="573" t="s">
        <v>338</v>
      </c>
      <c r="D36" s="573" t="s">
        <v>339</v>
      </c>
      <c r="E36" s="300">
        <v>13</v>
      </c>
      <c r="F36" s="278">
        <f t="shared" si="0"/>
        <v>0</v>
      </c>
      <c r="G36" s="507" t="s">
        <v>56</v>
      </c>
      <c r="H36" s="507"/>
      <c r="I36" s="507"/>
      <c r="J36" s="507"/>
      <c r="K36" s="508"/>
    </row>
    <row r="37" spans="2:11" ht="18" customHeight="1" x14ac:dyDescent="0.4">
      <c r="B37" s="318" t="s">
        <v>9</v>
      </c>
      <c r="C37" s="398" t="s">
        <v>453</v>
      </c>
      <c r="D37" s="170" t="s">
        <v>11</v>
      </c>
      <c r="E37" s="288">
        <v>26</v>
      </c>
      <c r="F37" s="278">
        <f t="shared" si="0"/>
        <v>0</v>
      </c>
      <c r="G37" s="171" t="s">
        <v>454</v>
      </c>
      <c r="H37" s="172"/>
      <c r="I37" s="172"/>
      <c r="J37" s="172"/>
      <c r="K37" s="173"/>
    </row>
    <row r="38" spans="2:11" ht="18" customHeight="1" x14ac:dyDescent="0.4">
      <c r="B38" s="322"/>
      <c r="C38" s="541"/>
      <c r="D38" s="170" t="s">
        <v>58</v>
      </c>
      <c r="E38" s="300">
        <v>1.9500000000000002</v>
      </c>
      <c r="F38" s="278">
        <f t="shared" si="0"/>
        <v>0</v>
      </c>
      <c r="G38" s="174"/>
      <c r="H38" s="175"/>
      <c r="I38" s="175"/>
      <c r="J38" s="175"/>
      <c r="K38" s="176"/>
    </row>
    <row r="39" spans="2:11" ht="18" customHeight="1" x14ac:dyDescent="0.4">
      <c r="B39" s="322"/>
      <c r="C39" s="541"/>
      <c r="D39" s="170" t="s">
        <v>29</v>
      </c>
      <c r="E39" s="279">
        <v>0.13</v>
      </c>
      <c r="F39" s="278">
        <f t="shared" si="0"/>
        <v>0</v>
      </c>
      <c r="G39" s="174"/>
      <c r="H39" s="175"/>
      <c r="I39" s="175"/>
      <c r="J39" s="175"/>
      <c r="K39" s="176"/>
    </row>
    <row r="40" spans="2:11" ht="18" customHeight="1" thickBot="1" x14ac:dyDescent="0.45">
      <c r="B40" s="323"/>
      <c r="C40" s="611"/>
      <c r="D40" s="420" t="s">
        <v>19</v>
      </c>
      <c r="E40" s="452">
        <v>0.65</v>
      </c>
      <c r="F40" s="375">
        <f t="shared" si="0"/>
        <v>0</v>
      </c>
      <c r="G40" s="423"/>
      <c r="H40" s="424"/>
      <c r="I40" s="424"/>
      <c r="J40" s="424"/>
      <c r="K40" s="425"/>
    </row>
    <row r="41" spans="2:11" ht="80.099999999999994" customHeight="1" thickTop="1" x14ac:dyDescent="0.4">
      <c r="B41" s="138"/>
      <c r="C41" s="138"/>
      <c r="D41" s="138"/>
      <c r="E41" s="138"/>
      <c r="F41" s="138"/>
      <c r="G41" s="138"/>
      <c r="H41" s="138"/>
      <c r="I41" s="138"/>
      <c r="J41" s="138"/>
      <c r="K41" s="138"/>
    </row>
    <row r="42" spans="2:11" ht="17.25" customHeight="1" thickBot="1" x14ac:dyDescent="0.45"/>
    <row r="43" spans="2:11" ht="21" customHeight="1" thickTop="1" x14ac:dyDescent="0.4">
      <c r="B43" s="384" t="s">
        <v>455</v>
      </c>
      <c r="C43" s="385"/>
      <c r="D43" s="385"/>
      <c r="E43" s="385"/>
      <c r="F43" s="385"/>
      <c r="G43" s="385"/>
      <c r="H43" s="385"/>
      <c r="I43" s="385"/>
      <c r="J43" s="385"/>
      <c r="K43" s="386"/>
    </row>
    <row r="44" spans="2:11" ht="18" customHeight="1" x14ac:dyDescent="0.4">
      <c r="B44" s="272" t="s">
        <v>2</v>
      </c>
      <c r="C44" s="273" t="s">
        <v>3</v>
      </c>
      <c r="D44" s="273" t="s">
        <v>4</v>
      </c>
      <c r="E44" s="274" t="s">
        <v>5</v>
      </c>
      <c r="F44" s="274" t="s">
        <v>6</v>
      </c>
      <c r="G44" s="273" t="s">
        <v>7</v>
      </c>
      <c r="H44" s="273"/>
      <c r="I44" s="273"/>
      <c r="J44" s="273"/>
      <c r="K44" s="275"/>
    </row>
    <row r="45" spans="2:11" ht="18" customHeight="1" x14ac:dyDescent="0.4">
      <c r="B45" s="272"/>
      <c r="C45" s="273"/>
      <c r="D45" s="273"/>
      <c r="E45" s="274" t="s">
        <v>1</v>
      </c>
      <c r="F45" s="276" t="s">
        <v>1</v>
      </c>
      <c r="G45" s="273"/>
      <c r="H45" s="273"/>
      <c r="I45" s="273"/>
      <c r="J45" s="273"/>
      <c r="K45" s="275"/>
    </row>
    <row r="46" spans="2:11" ht="18" customHeight="1" x14ac:dyDescent="0.4">
      <c r="B46" s="330" t="s">
        <v>276</v>
      </c>
      <c r="C46" s="596" t="s">
        <v>456</v>
      </c>
      <c r="D46" s="278" t="s">
        <v>122</v>
      </c>
      <c r="E46" s="282">
        <v>16.25</v>
      </c>
      <c r="F46" s="278">
        <f t="shared" ref="F46:F80" si="1">E46*E$2</f>
        <v>0</v>
      </c>
      <c r="G46" s="220" t="s">
        <v>457</v>
      </c>
      <c r="H46" s="221"/>
      <c r="I46" s="221"/>
      <c r="J46" s="221"/>
      <c r="K46" s="222"/>
    </row>
    <row r="47" spans="2:11" ht="18" customHeight="1" x14ac:dyDescent="0.4">
      <c r="B47" s="332"/>
      <c r="C47" s="402"/>
      <c r="D47" s="278" t="s">
        <v>458</v>
      </c>
      <c r="E47" s="282">
        <v>7.15</v>
      </c>
      <c r="F47" s="278">
        <f t="shared" si="1"/>
        <v>0</v>
      </c>
      <c r="G47" s="223"/>
      <c r="H47" s="224"/>
      <c r="I47" s="224"/>
      <c r="J47" s="224"/>
      <c r="K47" s="225"/>
    </row>
    <row r="48" spans="2:11" ht="18" customHeight="1" x14ac:dyDescent="0.4">
      <c r="B48" s="335"/>
      <c r="C48" s="338"/>
      <c r="D48" s="278" t="s">
        <v>159</v>
      </c>
      <c r="E48" s="282">
        <v>0.13</v>
      </c>
      <c r="F48" s="278">
        <f t="shared" si="1"/>
        <v>0</v>
      </c>
      <c r="G48" s="412"/>
      <c r="H48" s="413"/>
      <c r="I48" s="413"/>
      <c r="J48" s="413"/>
      <c r="K48" s="414"/>
    </row>
    <row r="49" spans="2:11" ht="18" customHeight="1" x14ac:dyDescent="0.4">
      <c r="B49" s="397" t="s">
        <v>10</v>
      </c>
      <c r="C49" s="342" t="s">
        <v>37</v>
      </c>
      <c r="D49" s="500" t="s">
        <v>11</v>
      </c>
      <c r="E49" s="278">
        <v>35</v>
      </c>
      <c r="F49" s="278">
        <f t="shared" si="1"/>
        <v>0</v>
      </c>
      <c r="G49" s="151" t="s">
        <v>38</v>
      </c>
      <c r="H49" s="152"/>
      <c r="I49" s="152"/>
      <c r="J49" s="152"/>
      <c r="K49" s="153"/>
    </row>
    <row r="50" spans="2:11" ht="18" customHeight="1" x14ac:dyDescent="0.4">
      <c r="B50" s="337"/>
      <c r="C50" s="342"/>
      <c r="D50" s="500" t="s">
        <v>39</v>
      </c>
      <c r="E50" s="278">
        <v>3.5</v>
      </c>
      <c r="F50" s="278">
        <f t="shared" si="1"/>
        <v>0</v>
      </c>
      <c r="G50" s="157"/>
      <c r="H50" s="158"/>
      <c r="I50" s="158"/>
      <c r="J50" s="158"/>
      <c r="K50" s="159"/>
    </row>
    <row r="51" spans="2:11" s="263" customFormat="1" ht="18" customHeight="1" x14ac:dyDescent="0.4">
      <c r="B51" s="337"/>
      <c r="C51" s="436" t="s">
        <v>459</v>
      </c>
      <c r="D51" s="281" t="s">
        <v>460</v>
      </c>
      <c r="E51" s="309">
        <v>13</v>
      </c>
      <c r="F51" s="278">
        <f t="shared" si="1"/>
        <v>0</v>
      </c>
      <c r="G51" s="488" t="s">
        <v>461</v>
      </c>
      <c r="H51" s="489"/>
      <c r="I51" s="489"/>
      <c r="J51" s="489"/>
      <c r="K51" s="490"/>
    </row>
    <row r="52" spans="2:11" s="263" customFormat="1" ht="18" customHeight="1" x14ac:dyDescent="0.4">
      <c r="B52" s="337"/>
      <c r="C52" s="436"/>
      <c r="D52" s="281" t="s">
        <v>14</v>
      </c>
      <c r="E52" s="308">
        <v>3.25</v>
      </c>
      <c r="F52" s="278">
        <f t="shared" si="1"/>
        <v>0</v>
      </c>
      <c r="G52" s="491"/>
      <c r="H52" s="492"/>
      <c r="I52" s="492"/>
      <c r="J52" s="492"/>
      <c r="K52" s="493"/>
    </row>
    <row r="53" spans="2:11" s="263" customFormat="1" ht="18" customHeight="1" x14ac:dyDescent="0.4">
      <c r="B53" s="337"/>
      <c r="C53" s="436"/>
      <c r="D53" s="281" t="s">
        <v>15</v>
      </c>
      <c r="E53" s="308">
        <v>1.3</v>
      </c>
      <c r="F53" s="278">
        <f t="shared" si="1"/>
        <v>0</v>
      </c>
      <c r="G53" s="491"/>
      <c r="H53" s="492"/>
      <c r="I53" s="492"/>
      <c r="J53" s="492"/>
      <c r="K53" s="493"/>
    </row>
    <row r="54" spans="2:11" s="263" customFormat="1" ht="18" customHeight="1" x14ac:dyDescent="0.4">
      <c r="B54" s="337"/>
      <c r="C54" s="436"/>
      <c r="D54" s="281" t="s">
        <v>17</v>
      </c>
      <c r="E54" s="308">
        <v>1.3</v>
      </c>
      <c r="F54" s="278">
        <f t="shared" si="1"/>
        <v>0</v>
      </c>
      <c r="G54" s="491"/>
      <c r="H54" s="492"/>
      <c r="I54" s="492"/>
      <c r="J54" s="492"/>
      <c r="K54" s="493"/>
    </row>
    <row r="55" spans="2:11" s="263" customFormat="1" ht="18" customHeight="1" x14ac:dyDescent="0.4">
      <c r="B55" s="337"/>
      <c r="C55" s="436"/>
      <c r="D55" s="281" t="s">
        <v>154</v>
      </c>
      <c r="E55" s="308">
        <v>0.65</v>
      </c>
      <c r="F55" s="278">
        <f t="shared" si="1"/>
        <v>0</v>
      </c>
      <c r="G55" s="491"/>
      <c r="H55" s="492"/>
      <c r="I55" s="492"/>
      <c r="J55" s="492"/>
      <c r="K55" s="493"/>
    </row>
    <row r="56" spans="2:11" s="263" customFormat="1" ht="18" customHeight="1" x14ac:dyDescent="0.4">
      <c r="B56" s="337"/>
      <c r="C56" s="436"/>
      <c r="D56" s="281" t="s">
        <v>19</v>
      </c>
      <c r="E56" s="308">
        <v>0.65</v>
      </c>
      <c r="F56" s="278">
        <f t="shared" si="1"/>
        <v>0</v>
      </c>
      <c r="G56" s="491"/>
      <c r="H56" s="492"/>
      <c r="I56" s="492"/>
      <c r="J56" s="492"/>
      <c r="K56" s="493"/>
    </row>
    <row r="57" spans="2:11" s="263" customFormat="1" ht="18" customHeight="1" x14ac:dyDescent="0.4">
      <c r="B57" s="337"/>
      <c r="C57" s="436"/>
      <c r="D57" s="281" t="s">
        <v>16</v>
      </c>
      <c r="E57" s="308">
        <v>0.32500000000000001</v>
      </c>
      <c r="F57" s="278">
        <f t="shared" si="1"/>
        <v>0</v>
      </c>
      <c r="G57" s="491"/>
      <c r="H57" s="492"/>
      <c r="I57" s="492"/>
      <c r="J57" s="492"/>
      <c r="K57" s="493"/>
    </row>
    <row r="58" spans="2:11" s="263" customFormat="1" ht="18" customHeight="1" x14ac:dyDescent="0.4">
      <c r="B58" s="337"/>
      <c r="C58" s="614"/>
      <c r="D58" s="281" t="s">
        <v>20</v>
      </c>
      <c r="E58" s="308">
        <v>0.65</v>
      </c>
      <c r="F58" s="278">
        <f t="shared" si="1"/>
        <v>0</v>
      </c>
      <c r="G58" s="641"/>
      <c r="H58" s="642"/>
      <c r="I58" s="642"/>
      <c r="J58" s="642"/>
      <c r="K58" s="643"/>
    </row>
    <row r="59" spans="2:11" ht="18" customHeight="1" x14ac:dyDescent="0.4">
      <c r="B59" s="337"/>
      <c r="C59" s="440" t="s">
        <v>462</v>
      </c>
      <c r="D59" s="170" t="s">
        <v>88</v>
      </c>
      <c r="E59" s="644">
        <v>26</v>
      </c>
      <c r="F59" s="278">
        <f t="shared" si="1"/>
        <v>0</v>
      </c>
      <c r="G59" s="171" t="s">
        <v>463</v>
      </c>
      <c r="H59" s="172"/>
      <c r="I59" s="172"/>
      <c r="J59" s="172"/>
      <c r="K59" s="173"/>
    </row>
    <row r="60" spans="2:11" ht="18" customHeight="1" x14ac:dyDescent="0.4">
      <c r="B60" s="337"/>
      <c r="C60" s="441"/>
      <c r="D60" s="170" t="s">
        <v>63</v>
      </c>
      <c r="E60" s="644">
        <v>6.5</v>
      </c>
      <c r="F60" s="278">
        <f t="shared" si="1"/>
        <v>0</v>
      </c>
      <c r="G60" s="174"/>
      <c r="H60" s="175"/>
      <c r="I60" s="175"/>
      <c r="J60" s="175"/>
      <c r="K60" s="176"/>
    </row>
    <row r="61" spans="2:11" ht="18" customHeight="1" x14ac:dyDescent="0.4">
      <c r="B61" s="337"/>
      <c r="C61" s="441"/>
      <c r="D61" s="170" t="s">
        <v>79</v>
      </c>
      <c r="E61" s="645">
        <v>3.25</v>
      </c>
      <c r="F61" s="278">
        <f t="shared" si="1"/>
        <v>0</v>
      </c>
      <c r="G61" s="174"/>
      <c r="H61" s="175"/>
      <c r="I61" s="175"/>
      <c r="J61" s="175"/>
      <c r="K61" s="176"/>
    </row>
    <row r="62" spans="2:11" ht="18" customHeight="1" x14ac:dyDescent="0.4">
      <c r="B62" s="337"/>
      <c r="C62" s="441"/>
      <c r="D62" s="170" t="s">
        <v>28</v>
      </c>
      <c r="E62" s="645">
        <v>0.13</v>
      </c>
      <c r="F62" s="278">
        <f t="shared" si="1"/>
        <v>0</v>
      </c>
      <c r="G62" s="174"/>
      <c r="H62" s="175"/>
      <c r="I62" s="175"/>
      <c r="J62" s="175"/>
      <c r="K62" s="176"/>
    </row>
    <row r="63" spans="2:11" ht="18" customHeight="1" x14ac:dyDescent="0.4">
      <c r="B63" s="337"/>
      <c r="C63" s="441"/>
      <c r="D63" s="170" t="s">
        <v>25</v>
      </c>
      <c r="E63" s="645">
        <v>6.5000000000000002E-2</v>
      </c>
      <c r="F63" s="278">
        <f t="shared" si="1"/>
        <v>0</v>
      </c>
      <c r="G63" s="174"/>
      <c r="H63" s="175"/>
      <c r="I63" s="175"/>
      <c r="J63" s="175"/>
      <c r="K63" s="176"/>
    </row>
    <row r="64" spans="2:11" ht="18" customHeight="1" x14ac:dyDescent="0.4">
      <c r="B64" s="337"/>
      <c r="C64" s="441"/>
      <c r="D64" s="170" t="s">
        <v>26</v>
      </c>
      <c r="E64" s="646">
        <v>1.9500000000000002</v>
      </c>
      <c r="F64" s="278">
        <f t="shared" si="1"/>
        <v>0</v>
      </c>
      <c r="G64" s="174"/>
      <c r="H64" s="175"/>
      <c r="I64" s="175"/>
      <c r="J64" s="175"/>
      <c r="K64" s="176"/>
    </row>
    <row r="65" spans="2:11" ht="18" customHeight="1" x14ac:dyDescent="0.4">
      <c r="B65" s="337"/>
      <c r="C65" s="440" t="s">
        <v>464</v>
      </c>
      <c r="D65" s="281" t="s">
        <v>283</v>
      </c>
      <c r="E65" s="279">
        <v>19.5</v>
      </c>
      <c r="F65" s="278">
        <f t="shared" si="1"/>
        <v>0</v>
      </c>
      <c r="G65" s="226" t="s">
        <v>465</v>
      </c>
      <c r="H65" s="227"/>
      <c r="I65" s="227"/>
      <c r="J65" s="227"/>
      <c r="K65" s="228"/>
    </row>
    <row r="66" spans="2:11" ht="18" customHeight="1" x14ac:dyDescent="0.4">
      <c r="B66" s="337"/>
      <c r="C66" s="441"/>
      <c r="D66" s="281" t="s">
        <v>75</v>
      </c>
      <c r="E66" s="279">
        <v>0.65</v>
      </c>
      <c r="F66" s="278">
        <f t="shared" si="1"/>
        <v>0</v>
      </c>
      <c r="G66" s="229"/>
      <c r="H66" s="230"/>
      <c r="I66" s="230"/>
      <c r="J66" s="230"/>
      <c r="K66" s="231"/>
    </row>
    <row r="67" spans="2:11" ht="18" customHeight="1" x14ac:dyDescent="0.4">
      <c r="B67" s="337"/>
      <c r="C67" s="441"/>
      <c r="D67" s="281" t="s">
        <v>20</v>
      </c>
      <c r="E67" s="279">
        <v>0.32500000000000001</v>
      </c>
      <c r="F67" s="278">
        <f t="shared" si="1"/>
        <v>0</v>
      </c>
      <c r="G67" s="229"/>
      <c r="H67" s="230"/>
      <c r="I67" s="230"/>
      <c r="J67" s="230"/>
      <c r="K67" s="231"/>
    </row>
    <row r="68" spans="2:11" ht="18" customHeight="1" x14ac:dyDescent="0.4">
      <c r="B68" s="337"/>
      <c r="C68" s="441"/>
      <c r="D68" s="281" t="s">
        <v>126</v>
      </c>
      <c r="E68" s="279">
        <v>0.32500000000000001</v>
      </c>
      <c r="F68" s="278">
        <f t="shared" si="1"/>
        <v>0</v>
      </c>
      <c r="G68" s="229"/>
      <c r="H68" s="230"/>
      <c r="I68" s="230"/>
      <c r="J68" s="230"/>
      <c r="K68" s="231"/>
    </row>
    <row r="69" spans="2:11" ht="18" customHeight="1" x14ac:dyDescent="0.4">
      <c r="B69" s="337"/>
      <c r="C69" s="441"/>
      <c r="D69" s="281" t="s">
        <v>28</v>
      </c>
      <c r="E69" s="279">
        <v>0.32500000000000001</v>
      </c>
      <c r="F69" s="278">
        <f t="shared" si="1"/>
        <v>0</v>
      </c>
      <c r="G69" s="229"/>
      <c r="H69" s="230"/>
      <c r="I69" s="230"/>
      <c r="J69" s="230"/>
      <c r="K69" s="231"/>
    </row>
    <row r="70" spans="2:11" ht="18" customHeight="1" x14ac:dyDescent="0.4">
      <c r="B70" s="337"/>
      <c r="C70" s="647"/>
      <c r="D70" s="281" t="s">
        <v>29</v>
      </c>
      <c r="E70" s="279">
        <v>0.13</v>
      </c>
      <c r="F70" s="278">
        <f t="shared" si="1"/>
        <v>0</v>
      </c>
      <c r="G70" s="648"/>
      <c r="H70" s="649"/>
      <c r="I70" s="649"/>
      <c r="J70" s="649"/>
      <c r="K70" s="650"/>
    </row>
    <row r="71" spans="2:11" ht="18" customHeight="1" x14ac:dyDescent="0.4">
      <c r="B71" s="581"/>
      <c r="C71" s="287" t="s">
        <v>134</v>
      </c>
      <c r="D71" s="287" t="s">
        <v>135</v>
      </c>
      <c r="E71" s="300">
        <v>13</v>
      </c>
      <c r="F71" s="278">
        <f t="shared" si="1"/>
        <v>0</v>
      </c>
      <c r="G71" s="177" t="s">
        <v>32</v>
      </c>
      <c r="H71" s="178"/>
      <c r="I71" s="178"/>
      <c r="J71" s="178"/>
      <c r="K71" s="179"/>
    </row>
    <row r="72" spans="2:11" s="357" customFormat="1" ht="18" customHeight="1" x14ac:dyDescent="0.4">
      <c r="B72" s="318" t="s">
        <v>137</v>
      </c>
      <c r="C72" s="299" t="s">
        <v>466</v>
      </c>
      <c r="D72" s="170" t="s">
        <v>83</v>
      </c>
      <c r="E72" s="300">
        <v>13</v>
      </c>
      <c r="F72" s="278">
        <f t="shared" si="1"/>
        <v>0</v>
      </c>
      <c r="G72" s="515" t="s">
        <v>467</v>
      </c>
      <c r="H72" s="516"/>
      <c r="I72" s="516"/>
      <c r="J72" s="516"/>
      <c r="K72" s="517"/>
    </row>
    <row r="73" spans="2:11" s="357" customFormat="1" ht="18" customHeight="1" x14ac:dyDescent="0.4">
      <c r="B73" s="322"/>
      <c r="C73" s="416"/>
      <c r="D73" s="170" t="s">
        <v>157</v>
      </c>
      <c r="E73" s="282">
        <v>3.25</v>
      </c>
      <c r="F73" s="278">
        <f t="shared" si="1"/>
        <v>0</v>
      </c>
      <c r="G73" s="518"/>
      <c r="H73" s="519"/>
      <c r="I73" s="519"/>
      <c r="J73" s="519"/>
      <c r="K73" s="520"/>
    </row>
    <row r="74" spans="2:11" s="357" customFormat="1" ht="18" customHeight="1" x14ac:dyDescent="0.4">
      <c r="B74" s="322"/>
      <c r="C74" s="416"/>
      <c r="D74" s="170" t="s">
        <v>468</v>
      </c>
      <c r="E74" s="282">
        <v>3.25</v>
      </c>
      <c r="F74" s="278">
        <f t="shared" si="1"/>
        <v>0</v>
      </c>
      <c r="G74" s="518"/>
      <c r="H74" s="519"/>
      <c r="I74" s="519"/>
      <c r="J74" s="519"/>
      <c r="K74" s="520"/>
    </row>
    <row r="75" spans="2:11" s="357" customFormat="1" ht="18" customHeight="1" x14ac:dyDescent="0.4">
      <c r="B75" s="322"/>
      <c r="C75" s="416"/>
      <c r="D75" s="170" t="s">
        <v>469</v>
      </c>
      <c r="E75" s="282">
        <v>3.5</v>
      </c>
      <c r="F75" s="278">
        <f t="shared" si="1"/>
        <v>0</v>
      </c>
      <c r="G75" s="518"/>
      <c r="H75" s="519"/>
      <c r="I75" s="519"/>
      <c r="J75" s="519"/>
      <c r="K75" s="520"/>
    </row>
    <row r="76" spans="2:11" s="357" customFormat="1" ht="18" customHeight="1" x14ac:dyDescent="0.4">
      <c r="B76" s="322"/>
      <c r="C76" s="416"/>
      <c r="D76" s="170" t="s">
        <v>470</v>
      </c>
      <c r="E76" s="282">
        <v>6.5</v>
      </c>
      <c r="F76" s="278">
        <f t="shared" si="1"/>
        <v>0</v>
      </c>
      <c r="G76" s="518"/>
      <c r="H76" s="519"/>
      <c r="I76" s="519"/>
      <c r="J76" s="519"/>
      <c r="K76" s="520"/>
    </row>
    <row r="77" spans="2:11" s="357" customFormat="1" ht="18" customHeight="1" x14ac:dyDescent="0.4">
      <c r="B77" s="322"/>
      <c r="C77" s="416"/>
      <c r="D77" s="170" t="s">
        <v>189</v>
      </c>
      <c r="E77" s="282">
        <v>4.55</v>
      </c>
      <c r="F77" s="278">
        <f t="shared" si="1"/>
        <v>0</v>
      </c>
      <c r="G77" s="518"/>
      <c r="H77" s="519"/>
      <c r="I77" s="519"/>
      <c r="J77" s="519"/>
      <c r="K77" s="520"/>
    </row>
    <row r="78" spans="2:11" s="357" customFormat="1" ht="18" customHeight="1" x14ac:dyDescent="0.4">
      <c r="B78" s="322"/>
      <c r="C78" s="416"/>
      <c r="D78" s="170" t="s">
        <v>471</v>
      </c>
      <c r="E78" s="282">
        <v>3.25</v>
      </c>
      <c r="F78" s="278">
        <f t="shared" si="1"/>
        <v>0</v>
      </c>
      <c r="G78" s="518"/>
      <c r="H78" s="519"/>
      <c r="I78" s="519"/>
      <c r="J78" s="519"/>
      <c r="K78" s="520"/>
    </row>
    <row r="79" spans="2:11" s="357" customFormat="1" ht="18" customHeight="1" x14ac:dyDescent="0.4">
      <c r="B79" s="322"/>
      <c r="C79" s="416"/>
      <c r="D79" s="170" t="s">
        <v>160</v>
      </c>
      <c r="E79" s="282">
        <v>6.5000000000000002E-2</v>
      </c>
      <c r="F79" s="278">
        <f t="shared" si="1"/>
        <v>0</v>
      </c>
      <c r="G79" s="518"/>
      <c r="H79" s="519"/>
      <c r="I79" s="519"/>
      <c r="J79" s="519"/>
      <c r="K79" s="520"/>
    </row>
    <row r="80" spans="2:11" s="357" customFormat="1" ht="18" customHeight="1" thickBot="1" x14ac:dyDescent="0.45">
      <c r="B80" s="323"/>
      <c r="C80" s="419"/>
      <c r="D80" s="420" t="s">
        <v>161</v>
      </c>
      <c r="E80" s="421">
        <v>1.3</v>
      </c>
      <c r="F80" s="375">
        <f t="shared" si="1"/>
        <v>0</v>
      </c>
      <c r="G80" s="651"/>
      <c r="H80" s="652"/>
      <c r="I80" s="652"/>
      <c r="J80" s="652"/>
      <c r="K80" s="653"/>
    </row>
    <row r="81" spans="2:11" ht="80.099999999999994" customHeight="1" thickTop="1" x14ac:dyDescent="0.4">
      <c r="B81" s="138"/>
      <c r="C81" s="138"/>
      <c r="D81" s="138"/>
      <c r="E81" s="138"/>
      <c r="F81" s="138"/>
      <c r="G81" s="138"/>
      <c r="H81" s="138"/>
      <c r="I81" s="138"/>
      <c r="J81" s="138"/>
      <c r="K81" s="138"/>
    </row>
    <row r="82" spans="2:11" ht="16.95" customHeight="1" thickBot="1" x14ac:dyDescent="0.45"/>
    <row r="83" spans="2:11" ht="21" customHeight="1" thickTop="1" x14ac:dyDescent="0.4">
      <c r="B83" s="384" t="s">
        <v>472</v>
      </c>
      <c r="C83" s="385"/>
      <c r="D83" s="385"/>
      <c r="E83" s="385"/>
      <c r="F83" s="385"/>
      <c r="G83" s="385"/>
      <c r="H83" s="385"/>
      <c r="I83" s="385"/>
      <c r="J83" s="385"/>
      <c r="K83" s="386"/>
    </row>
    <row r="84" spans="2:11" ht="18" customHeight="1" x14ac:dyDescent="0.4">
      <c r="B84" s="478" t="s">
        <v>2</v>
      </c>
      <c r="C84" s="479" t="s">
        <v>3</v>
      </c>
      <c r="D84" s="479" t="s">
        <v>4</v>
      </c>
      <c r="E84" s="480" t="s">
        <v>5</v>
      </c>
      <c r="F84" s="480" t="s">
        <v>6</v>
      </c>
      <c r="G84" s="387" t="s">
        <v>7</v>
      </c>
      <c r="H84" s="388"/>
      <c r="I84" s="388"/>
      <c r="J84" s="388"/>
      <c r="K84" s="389"/>
    </row>
    <row r="85" spans="2:11" ht="18" customHeight="1" x14ac:dyDescent="0.4">
      <c r="B85" s="481"/>
      <c r="C85" s="482"/>
      <c r="D85" s="482"/>
      <c r="E85" s="274" t="s">
        <v>1</v>
      </c>
      <c r="F85" s="276" t="s">
        <v>1</v>
      </c>
      <c r="G85" s="390"/>
      <c r="H85" s="391"/>
      <c r="I85" s="391"/>
      <c r="J85" s="391"/>
      <c r="K85" s="392"/>
    </row>
    <row r="86" spans="2:11" ht="18" customHeight="1" x14ac:dyDescent="0.4">
      <c r="B86" s="277" t="s">
        <v>276</v>
      </c>
      <c r="C86" s="457" t="s">
        <v>203</v>
      </c>
      <c r="D86" s="457" t="s">
        <v>203</v>
      </c>
      <c r="E86" s="282">
        <v>32.5</v>
      </c>
      <c r="F86" s="278">
        <f t="shared" ref="F86:F113" si="2">E86*E$2</f>
        <v>0</v>
      </c>
      <c r="G86" s="215" t="s">
        <v>316</v>
      </c>
      <c r="H86" s="216"/>
      <c r="I86" s="216"/>
      <c r="J86" s="216"/>
      <c r="K86" s="217"/>
    </row>
    <row r="87" spans="2:11" ht="18" customHeight="1" x14ac:dyDescent="0.4">
      <c r="B87" s="397" t="s">
        <v>10</v>
      </c>
      <c r="C87" s="596" t="s">
        <v>473</v>
      </c>
      <c r="D87" s="278" t="s">
        <v>11</v>
      </c>
      <c r="E87" s="279">
        <v>32.5</v>
      </c>
      <c r="F87" s="278">
        <f t="shared" si="2"/>
        <v>0</v>
      </c>
      <c r="G87" s="220" t="s">
        <v>474</v>
      </c>
      <c r="H87" s="221"/>
      <c r="I87" s="221"/>
      <c r="J87" s="221"/>
      <c r="K87" s="222"/>
    </row>
    <row r="88" spans="2:11" ht="18" customHeight="1" x14ac:dyDescent="0.4">
      <c r="B88" s="337"/>
      <c r="C88" s="402"/>
      <c r="D88" s="278" t="s">
        <v>226</v>
      </c>
      <c r="E88" s="279">
        <v>19.5</v>
      </c>
      <c r="F88" s="278">
        <f t="shared" si="2"/>
        <v>0</v>
      </c>
      <c r="G88" s="223"/>
      <c r="H88" s="224"/>
      <c r="I88" s="224"/>
      <c r="J88" s="224"/>
      <c r="K88" s="225"/>
    </row>
    <row r="89" spans="2:11" ht="18" customHeight="1" x14ac:dyDescent="0.4">
      <c r="B89" s="337"/>
      <c r="C89" s="402"/>
      <c r="D89" s="654" t="s">
        <v>117</v>
      </c>
      <c r="E89" s="279">
        <v>6.5</v>
      </c>
      <c r="F89" s="278">
        <f t="shared" si="2"/>
        <v>0</v>
      </c>
      <c r="G89" s="223"/>
      <c r="H89" s="224"/>
      <c r="I89" s="224"/>
      <c r="J89" s="224"/>
      <c r="K89" s="225"/>
    </row>
    <row r="90" spans="2:11" ht="18" customHeight="1" x14ac:dyDescent="0.4">
      <c r="B90" s="337"/>
      <c r="C90" s="402"/>
      <c r="D90" s="654" t="s">
        <v>157</v>
      </c>
      <c r="E90" s="279">
        <v>3.25</v>
      </c>
      <c r="F90" s="278">
        <f t="shared" si="2"/>
        <v>0</v>
      </c>
      <c r="G90" s="223"/>
      <c r="H90" s="224"/>
      <c r="I90" s="224"/>
      <c r="J90" s="224"/>
      <c r="K90" s="225"/>
    </row>
    <row r="91" spans="2:11" ht="18" customHeight="1" x14ac:dyDescent="0.4">
      <c r="B91" s="337"/>
      <c r="C91" s="402"/>
      <c r="D91" s="654" t="s">
        <v>158</v>
      </c>
      <c r="E91" s="279">
        <v>3.25</v>
      </c>
      <c r="F91" s="278">
        <f t="shared" si="2"/>
        <v>0</v>
      </c>
      <c r="G91" s="223"/>
      <c r="H91" s="224"/>
      <c r="I91" s="224"/>
      <c r="J91" s="224"/>
      <c r="K91" s="225"/>
    </row>
    <row r="92" spans="2:11" ht="18" customHeight="1" x14ac:dyDescent="0.4">
      <c r="B92" s="337"/>
      <c r="C92" s="402"/>
      <c r="D92" s="654" t="s">
        <v>132</v>
      </c>
      <c r="E92" s="288">
        <v>1.9500000000000002</v>
      </c>
      <c r="F92" s="278">
        <f t="shared" si="2"/>
        <v>0</v>
      </c>
      <c r="G92" s="223"/>
      <c r="H92" s="224"/>
      <c r="I92" s="224"/>
      <c r="J92" s="224"/>
      <c r="K92" s="225"/>
    </row>
    <row r="93" spans="2:11" ht="18" customHeight="1" x14ac:dyDescent="0.4">
      <c r="B93" s="337"/>
      <c r="C93" s="402"/>
      <c r="D93" s="654" t="s">
        <v>126</v>
      </c>
      <c r="E93" s="279">
        <v>0.65</v>
      </c>
      <c r="F93" s="278">
        <f t="shared" si="2"/>
        <v>0</v>
      </c>
      <c r="G93" s="223"/>
      <c r="H93" s="224"/>
      <c r="I93" s="224"/>
      <c r="J93" s="224"/>
      <c r="K93" s="225"/>
    </row>
    <row r="94" spans="2:11" ht="18" customHeight="1" x14ac:dyDescent="0.4">
      <c r="B94" s="337"/>
      <c r="C94" s="402"/>
      <c r="D94" s="654" t="s">
        <v>166</v>
      </c>
      <c r="E94" s="279">
        <v>0.32500000000000001</v>
      </c>
      <c r="F94" s="278">
        <f t="shared" si="2"/>
        <v>0</v>
      </c>
      <c r="G94" s="223"/>
      <c r="H94" s="224"/>
      <c r="I94" s="224"/>
      <c r="J94" s="224"/>
      <c r="K94" s="225"/>
    </row>
    <row r="95" spans="2:11" ht="18" customHeight="1" x14ac:dyDescent="0.4">
      <c r="B95" s="337"/>
      <c r="C95" s="402"/>
      <c r="D95" s="654" t="s">
        <v>186</v>
      </c>
      <c r="E95" s="279">
        <v>0.13</v>
      </c>
      <c r="F95" s="278">
        <f t="shared" si="2"/>
        <v>0</v>
      </c>
      <c r="G95" s="223"/>
      <c r="H95" s="224"/>
      <c r="I95" s="224"/>
      <c r="J95" s="224"/>
      <c r="K95" s="225"/>
    </row>
    <row r="96" spans="2:11" ht="18" customHeight="1" x14ac:dyDescent="0.4">
      <c r="B96" s="337"/>
      <c r="C96" s="402"/>
      <c r="D96" s="654" t="s">
        <v>160</v>
      </c>
      <c r="E96" s="279">
        <v>6.5000000000000002E-2</v>
      </c>
      <c r="F96" s="278">
        <f t="shared" si="2"/>
        <v>0</v>
      </c>
      <c r="G96" s="223"/>
      <c r="H96" s="224"/>
      <c r="I96" s="224"/>
      <c r="J96" s="224"/>
      <c r="K96" s="225"/>
    </row>
    <row r="97" spans="2:11" ht="18" customHeight="1" x14ac:dyDescent="0.4">
      <c r="B97" s="337"/>
      <c r="C97" s="338"/>
      <c r="D97" s="654" t="s">
        <v>161</v>
      </c>
      <c r="E97" s="279">
        <v>1.3</v>
      </c>
      <c r="F97" s="278">
        <f t="shared" si="2"/>
        <v>0</v>
      </c>
      <c r="G97" s="412"/>
      <c r="H97" s="413"/>
      <c r="I97" s="413"/>
      <c r="J97" s="413"/>
      <c r="K97" s="414"/>
    </row>
    <row r="98" spans="2:11" ht="18" customHeight="1" x14ac:dyDescent="0.4">
      <c r="B98" s="337"/>
      <c r="C98" s="398" t="s">
        <v>475</v>
      </c>
      <c r="D98" s="339" t="s">
        <v>63</v>
      </c>
      <c r="E98" s="347">
        <v>13</v>
      </c>
      <c r="F98" s="278">
        <f t="shared" si="2"/>
        <v>0</v>
      </c>
      <c r="G98" s="154" t="s">
        <v>476</v>
      </c>
      <c r="H98" s="155"/>
      <c r="I98" s="155"/>
      <c r="J98" s="155"/>
      <c r="K98" s="156"/>
    </row>
    <row r="99" spans="2:11" ht="18" customHeight="1" x14ac:dyDescent="0.4">
      <c r="B99" s="337"/>
      <c r="C99" s="541"/>
      <c r="D99" s="281" t="s">
        <v>20</v>
      </c>
      <c r="E99" s="308">
        <v>3.25</v>
      </c>
      <c r="F99" s="278">
        <f t="shared" si="2"/>
        <v>0</v>
      </c>
      <c r="G99" s="154"/>
      <c r="H99" s="155"/>
      <c r="I99" s="155"/>
      <c r="J99" s="155"/>
      <c r="K99" s="156"/>
    </row>
    <row r="100" spans="2:11" ht="18" customHeight="1" x14ac:dyDescent="0.4">
      <c r="B100" s="337"/>
      <c r="C100" s="541"/>
      <c r="D100" s="281" t="s">
        <v>126</v>
      </c>
      <c r="E100" s="308">
        <v>0.32500000000000001</v>
      </c>
      <c r="F100" s="278">
        <f t="shared" si="2"/>
        <v>0</v>
      </c>
      <c r="G100" s="154"/>
      <c r="H100" s="155"/>
      <c r="I100" s="155"/>
      <c r="J100" s="155"/>
      <c r="K100" s="156"/>
    </row>
    <row r="101" spans="2:11" ht="18" customHeight="1" x14ac:dyDescent="0.4">
      <c r="B101" s="337"/>
      <c r="C101" s="541"/>
      <c r="D101" s="281" t="s">
        <v>28</v>
      </c>
      <c r="E101" s="308">
        <v>0.32500000000000001</v>
      </c>
      <c r="F101" s="278">
        <f t="shared" si="2"/>
        <v>0</v>
      </c>
      <c r="G101" s="154"/>
      <c r="H101" s="155"/>
      <c r="I101" s="155"/>
      <c r="J101" s="155"/>
      <c r="K101" s="156"/>
    </row>
    <row r="102" spans="2:11" ht="18" customHeight="1" x14ac:dyDescent="0.4">
      <c r="B102" s="337"/>
      <c r="C102" s="541"/>
      <c r="D102" s="281" t="s">
        <v>178</v>
      </c>
      <c r="E102" s="308">
        <v>1.3</v>
      </c>
      <c r="F102" s="278">
        <f t="shared" si="2"/>
        <v>0</v>
      </c>
      <c r="G102" s="154"/>
      <c r="H102" s="155"/>
      <c r="I102" s="155"/>
      <c r="J102" s="155"/>
      <c r="K102" s="156"/>
    </row>
    <row r="103" spans="2:11" ht="18" customHeight="1" x14ac:dyDescent="0.4">
      <c r="B103" s="337"/>
      <c r="C103" s="545"/>
      <c r="D103" s="281" t="s">
        <v>179</v>
      </c>
      <c r="E103" s="308">
        <v>1.3</v>
      </c>
      <c r="F103" s="278">
        <f t="shared" si="2"/>
        <v>0</v>
      </c>
      <c r="G103" s="157"/>
      <c r="H103" s="158"/>
      <c r="I103" s="158"/>
      <c r="J103" s="158"/>
      <c r="K103" s="159"/>
    </row>
    <row r="104" spans="2:11" ht="18" customHeight="1" x14ac:dyDescent="0.4">
      <c r="B104" s="337"/>
      <c r="C104" s="436" t="s">
        <v>477</v>
      </c>
      <c r="D104" s="287" t="s">
        <v>478</v>
      </c>
      <c r="E104" s="308">
        <v>19.5</v>
      </c>
      <c r="F104" s="278">
        <f t="shared" si="2"/>
        <v>0</v>
      </c>
      <c r="G104" s="220" t="s">
        <v>479</v>
      </c>
      <c r="H104" s="221"/>
      <c r="I104" s="221"/>
      <c r="J104" s="221"/>
      <c r="K104" s="222"/>
    </row>
    <row r="105" spans="2:11" ht="18" customHeight="1" x14ac:dyDescent="0.4">
      <c r="B105" s="337"/>
      <c r="C105" s="436"/>
      <c r="D105" s="281" t="s">
        <v>82</v>
      </c>
      <c r="E105" s="288">
        <v>13</v>
      </c>
      <c r="F105" s="278">
        <f t="shared" si="2"/>
        <v>0</v>
      </c>
      <c r="G105" s="223"/>
      <c r="H105" s="224"/>
      <c r="I105" s="224"/>
      <c r="J105" s="224"/>
      <c r="K105" s="225"/>
    </row>
    <row r="106" spans="2:11" ht="18" customHeight="1" x14ac:dyDescent="0.4">
      <c r="B106" s="337"/>
      <c r="C106" s="436"/>
      <c r="D106" s="281" t="s">
        <v>19</v>
      </c>
      <c r="E106" s="279">
        <v>0.32500000000000001</v>
      </c>
      <c r="F106" s="278">
        <f t="shared" si="2"/>
        <v>0</v>
      </c>
      <c r="G106" s="223"/>
      <c r="H106" s="224"/>
      <c r="I106" s="224"/>
      <c r="J106" s="224"/>
      <c r="K106" s="225"/>
    </row>
    <row r="107" spans="2:11" ht="18" customHeight="1" x14ac:dyDescent="0.4">
      <c r="B107" s="337"/>
      <c r="C107" s="436"/>
      <c r="D107" s="281" t="s">
        <v>126</v>
      </c>
      <c r="E107" s="279">
        <v>0.32500000000000001</v>
      </c>
      <c r="F107" s="278">
        <f t="shared" si="2"/>
        <v>0</v>
      </c>
      <c r="G107" s="223"/>
      <c r="H107" s="224"/>
      <c r="I107" s="224"/>
      <c r="J107" s="224"/>
      <c r="K107" s="225"/>
    </row>
    <row r="108" spans="2:11" ht="18" customHeight="1" x14ac:dyDescent="0.4">
      <c r="B108" s="337"/>
      <c r="C108" s="436"/>
      <c r="D108" s="281" t="s">
        <v>28</v>
      </c>
      <c r="E108" s="279">
        <v>0.65</v>
      </c>
      <c r="F108" s="278">
        <f t="shared" si="2"/>
        <v>0</v>
      </c>
      <c r="G108" s="223"/>
      <c r="H108" s="224"/>
      <c r="I108" s="224"/>
      <c r="J108" s="224"/>
      <c r="K108" s="225"/>
    </row>
    <row r="109" spans="2:11" ht="18" customHeight="1" x14ac:dyDescent="0.4">
      <c r="B109" s="337"/>
      <c r="C109" s="614"/>
      <c r="D109" s="281" t="s">
        <v>26</v>
      </c>
      <c r="E109" s="279">
        <v>1.3</v>
      </c>
      <c r="F109" s="278">
        <f t="shared" si="2"/>
        <v>0</v>
      </c>
      <c r="G109" s="412"/>
      <c r="H109" s="413"/>
      <c r="I109" s="413"/>
      <c r="J109" s="413"/>
      <c r="K109" s="414"/>
    </row>
    <row r="110" spans="2:11" ht="18" customHeight="1" x14ac:dyDescent="0.4">
      <c r="B110" s="337"/>
      <c r="C110" s="287" t="s">
        <v>134</v>
      </c>
      <c r="D110" s="287" t="s">
        <v>135</v>
      </c>
      <c r="E110" s="300">
        <v>13</v>
      </c>
      <c r="F110" s="278">
        <f t="shared" si="2"/>
        <v>0</v>
      </c>
      <c r="G110" s="177" t="s">
        <v>32</v>
      </c>
      <c r="H110" s="178"/>
      <c r="I110" s="178"/>
      <c r="J110" s="178"/>
      <c r="K110" s="179"/>
    </row>
    <row r="111" spans="2:11" ht="18" customHeight="1" x14ac:dyDescent="0.4">
      <c r="B111" s="318" t="s">
        <v>137</v>
      </c>
      <c r="C111" s="345" t="s">
        <v>480</v>
      </c>
      <c r="D111" s="281" t="s">
        <v>90</v>
      </c>
      <c r="E111" s="288">
        <v>39</v>
      </c>
      <c r="F111" s="278">
        <f t="shared" si="2"/>
        <v>0</v>
      </c>
      <c r="G111" s="655" t="s">
        <v>481</v>
      </c>
      <c r="H111" s="656"/>
      <c r="I111" s="656"/>
      <c r="J111" s="656"/>
      <c r="K111" s="657"/>
    </row>
    <row r="112" spans="2:11" ht="18" customHeight="1" x14ac:dyDescent="0.4">
      <c r="B112" s="322"/>
      <c r="C112" s="346"/>
      <c r="D112" s="281" t="s">
        <v>482</v>
      </c>
      <c r="E112" s="279">
        <v>3.25</v>
      </c>
      <c r="F112" s="278">
        <f t="shared" si="2"/>
        <v>0</v>
      </c>
      <c r="G112" s="658"/>
      <c r="H112" s="659"/>
      <c r="I112" s="659"/>
      <c r="J112" s="659"/>
      <c r="K112" s="660"/>
    </row>
    <row r="113" spans="2:11" ht="18" customHeight="1" thickBot="1" x14ac:dyDescent="0.45">
      <c r="B113" s="323"/>
      <c r="C113" s="484" t="s">
        <v>148</v>
      </c>
      <c r="D113" s="446" t="s">
        <v>189</v>
      </c>
      <c r="E113" s="661">
        <v>100</v>
      </c>
      <c r="F113" s="278">
        <f t="shared" si="2"/>
        <v>0</v>
      </c>
      <c r="G113" s="327"/>
      <c r="H113" s="328"/>
      <c r="I113" s="328"/>
      <c r="J113" s="328"/>
      <c r="K113" s="329"/>
    </row>
    <row r="114" spans="2:11" ht="80.099999999999994" customHeight="1" thickTop="1" x14ac:dyDescent="0.4"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</row>
    <row r="125" spans="2:11" x14ac:dyDescent="0.4">
      <c r="C125" s="662"/>
    </row>
  </sheetData>
  <mergeCells count="65">
    <mergeCell ref="B111:B113"/>
    <mergeCell ref="C111:C112"/>
    <mergeCell ref="G111:K112"/>
    <mergeCell ref="G113:K113"/>
    <mergeCell ref="G71:K71"/>
    <mergeCell ref="B72:B80"/>
    <mergeCell ref="C72:C80"/>
    <mergeCell ref="G72:K80"/>
    <mergeCell ref="B81:K81"/>
    <mergeCell ref="B83:K83"/>
    <mergeCell ref="B84:B85"/>
    <mergeCell ref="C84:C85"/>
    <mergeCell ref="D84:D85"/>
    <mergeCell ref="G84:K85"/>
    <mergeCell ref="B41:K41"/>
    <mergeCell ref="B46:B48"/>
    <mergeCell ref="C46:C48"/>
    <mergeCell ref="G46:K48"/>
    <mergeCell ref="B49:B70"/>
    <mergeCell ref="C49:C50"/>
    <mergeCell ref="G49:K50"/>
    <mergeCell ref="C51:C58"/>
    <mergeCell ref="G51:K58"/>
    <mergeCell ref="C65:C70"/>
    <mergeCell ref="G65:K70"/>
    <mergeCell ref="F2:K2"/>
    <mergeCell ref="B3:K5"/>
    <mergeCell ref="B9:B10"/>
    <mergeCell ref="G10:K10"/>
    <mergeCell ref="B11:B36"/>
    <mergeCell ref="C11:C12"/>
    <mergeCell ref="G11:K12"/>
    <mergeCell ref="C13:C17"/>
    <mergeCell ref="G13:K17"/>
    <mergeCell ref="C18:C28"/>
    <mergeCell ref="G18:K28"/>
    <mergeCell ref="C29:C35"/>
    <mergeCell ref="G29:K35"/>
    <mergeCell ref="G36:K36"/>
    <mergeCell ref="B6:K6"/>
    <mergeCell ref="B7:B8"/>
    <mergeCell ref="C7:C8"/>
    <mergeCell ref="D7:D8"/>
    <mergeCell ref="G7:K8"/>
    <mergeCell ref="G9:K9"/>
    <mergeCell ref="B37:B40"/>
    <mergeCell ref="C37:C40"/>
    <mergeCell ref="G37:K40"/>
    <mergeCell ref="B43:K43"/>
    <mergeCell ref="B44:B45"/>
    <mergeCell ref="C44:C45"/>
    <mergeCell ref="D44:D45"/>
    <mergeCell ref="G44:K45"/>
    <mergeCell ref="C59:C64"/>
    <mergeCell ref="G59:K64"/>
    <mergeCell ref="G86:K86"/>
    <mergeCell ref="B87:B110"/>
    <mergeCell ref="C87:C97"/>
    <mergeCell ref="G87:K97"/>
    <mergeCell ref="C98:C103"/>
    <mergeCell ref="G98:K103"/>
    <mergeCell ref="C104:C109"/>
    <mergeCell ref="G104:K109"/>
    <mergeCell ref="G110:K110"/>
    <mergeCell ref="B114:K114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123"/>
  <sheetViews>
    <sheetView tabSelected="1" workbookViewId="0">
      <selection activeCell="M21" sqref="M21"/>
    </sheetView>
  </sheetViews>
  <sheetFormatPr defaultColWidth="9" defaultRowHeight="17.399999999999999" x14ac:dyDescent="0.4"/>
  <cols>
    <col min="1" max="1" width="4.8984375" style="262" customWidth="1"/>
    <col min="2" max="2" width="9" style="263"/>
    <col min="3" max="3" width="18.59765625" style="263" customWidth="1"/>
    <col min="4" max="11" width="11.59765625" style="263" customWidth="1"/>
    <col min="12" max="16384" width="9" style="262"/>
  </cols>
  <sheetData>
    <row r="1" spans="2:11" ht="18" thickBot="1" x14ac:dyDescent="0.45"/>
    <row r="2" spans="2:11" ht="18.600000000000001" thickTop="1" thickBot="1" x14ac:dyDescent="0.45">
      <c r="C2" s="264" t="s">
        <v>0</v>
      </c>
      <c r="D2" s="264" t="s">
        <v>1</v>
      </c>
      <c r="E2" s="265"/>
      <c r="F2" s="266" t="s">
        <v>113</v>
      </c>
      <c r="G2" s="266"/>
      <c r="H2" s="266"/>
      <c r="I2" s="266"/>
      <c r="J2" s="266"/>
      <c r="K2" s="266"/>
    </row>
    <row r="3" spans="2:11" ht="34.5" customHeight="1" thickTop="1" x14ac:dyDescent="0.4">
      <c r="B3" s="267" t="s">
        <v>114</v>
      </c>
      <c r="C3" s="267"/>
      <c r="D3" s="267"/>
      <c r="E3" s="267"/>
      <c r="F3" s="267"/>
      <c r="G3" s="267"/>
      <c r="H3" s="267"/>
      <c r="I3" s="267"/>
      <c r="J3" s="267"/>
      <c r="K3" s="267"/>
    </row>
    <row r="4" spans="2:11" ht="16.5" customHeight="1" x14ac:dyDescent="0.4">
      <c r="B4" s="267"/>
      <c r="C4" s="267"/>
      <c r="D4" s="267"/>
      <c r="E4" s="267"/>
      <c r="F4" s="267"/>
      <c r="G4" s="267"/>
      <c r="H4" s="267"/>
      <c r="I4" s="267"/>
      <c r="J4" s="267"/>
      <c r="K4" s="267"/>
    </row>
    <row r="5" spans="2:11" ht="16.5" customHeight="1" thickBot="1" x14ac:dyDescent="0.45">
      <c r="B5" s="267"/>
      <c r="C5" s="267"/>
      <c r="D5" s="267"/>
      <c r="E5" s="267"/>
      <c r="F5" s="267"/>
      <c r="G5" s="267"/>
      <c r="H5" s="267"/>
      <c r="I5" s="267"/>
      <c r="J5" s="267"/>
      <c r="K5" s="267"/>
    </row>
    <row r="6" spans="2:11" ht="21" customHeight="1" thickTop="1" x14ac:dyDescent="0.4">
      <c r="B6" s="663" t="s">
        <v>483</v>
      </c>
      <c r="C6" s="270"/>
      <c r="D6" s="270"/>
      <c r="E6" s="270"/>
      <c r="F6" s="270"/>
      <c r="G6" s="270"/>
      <c r="H6" s="270"/>
      <c r="I6" s="270"/>
      <c r="J6" s="270"/>
      <c r="K6" s="271"/>
    </row>
    <row r="7" spans="2:11" ht="18" customHeight="1" x14ac:dyDescent="0.4">
      <c r="B7" s="272" t="s">
        <v>2</v>
      </c>
      <c r="C7" s="273" t="s">
        <v>3</v>
      </c>
      <c r="D7" s="273" t="s">
        <v>4</v>
      </c>
      <c r="E7" s="274" t="s">
        <v>5</v>
      </c>
      <c r="F7" s="274" t="s">
        <v>6</v>
      </c>
      <c r="G7" s="273" t="s">
        <v>7</v>
      </c>
      <c r="H7" s="273"/>
      <c r="I7" s="273"/>
      <c r="J7" s="273"/>
      <c r="K7" s="275"/>
    </row>
    <row r="8" spans="2:11" ht="18" customHeight="1" x14ac:dyDescent="0.4">
      <c r="B8" s="272"/>
      <c r="C8" s="273"/>
      <c r="D8" s="273"/>
      <c r="E8" s="274" t="s">
        <v>1</v>
      </c>
      <c r="F8" s="276" t="s">
        <v>1</v>
      </c>
      <c r="G8" s="273"/>
      <c r="H8" s="273"/>
      <c r="I8" s="273"/>
      <c r="J8" s="273"/>
      <c r="K8" s="275"/>
    </row>
    <row r="9" spans="2:11" ht="18" customHeight="1" x14ac:dyDescent="0.4">
      <c r="B9" s="277" t="s">
        <v>8</v>
      </c>
      <c r="C9" s="457" t="s">
        <v>293</v>
      </c>
      <c r="D9" s="278" t="s">
        <v>293</v>
      </c>
      <c r="E9" s="279">
        <v>32.5</v>
      </c>
      <c r="F9" s="278">
        <f t="shared" ref="F9:F44" si="0">E9*E$2</f>
        <v>0</v>
      </c>
      <c r="G9" s="458" t="s">
        <v>93</v>
      </c>
      <c r="H9" s="458"/>
      <c r="I9" s="458"/>
      <c r="J9" s="458"/>
      <c r="K9" s="459"/>
    </row>
    <row r="10" spans="2:11" ht="18" customHeight="1" x14ac:dyDescent="0.4">
      <c r="B10" s="397" t="s">
        <v>10</v>
      </c>
      <c r="C10" s="338" t="s">
        <v>204</v>
      </c>
      <c r="D10" s="281" t="s">
        <v>11</v>
      </c>
      <c r="E10" s="282">
        <v>32.5</v>
      </c>
      <c r="F10" s="347">
        <f t="shared" si="0"/>
        <v>0</v>
      </c>
      <c r="G10" s="283" t="s">
        <v>50</v>
      </c>
      <c r="H10" s="283"/>
      <c r="I10" s="283"/>
      <c r="J10" s="283"/>
      <c r="K10" s="341"/>
    </row>
    <row r="11" spans="2:11" s="263" customFormat="1" ht="18" customHeight="1" x14ac:dyDescent="0.4">
      <c r="B11" s="337"/>
      <c r="C11" s="342"/>
      <c r="D11" s="281" t="s">
        <v>51</v>
      </c>
      <c r="E11" s="282">
        <v>1.625</v>
      </c>
      <c r="F11" s="278">
        <f t="shared" si="0"/>
        <v>0</v>
      </c>
      <c r="G11" s="343"/>
      <c r="H11" s="343"/>
      <c r="I11" s="343"/>
      <c r="J11" s="343"/>
      <c r="K11" s="344"/>
    </row>
    <row r="12" spans="2:11" s="263" customFormat="1" ht="18" customHeight="1" x14ac:dyDescent="0.4">
      <c r="B12" s="337"/>
      <c r="C12" s="596" t="s">
        <v>484</v>
      </c>
      <c r="D12" s="281" t="s">
        <v>485</v>
      </c>
      <c r="E12" s="278">
        <v>7.8000000000000007</v>
      </c>
      <c r="F12" s="278">
        <f t="shared" si="0"/>
        <v>0</v>
      </c>
      <c r="G12" s="151" t="s">
        <v>486</v>
      </c>
      <c r="H12" s="152"/>
      <c r="I12" s="152"/>
      <c r="J12" s="152"/>
      <c r="K12" s="153"/>
    </row>
    <row r="13" spans="2:11" s="263" customFormat="1" ht="18" customHeight="1" x14ac:dyDescent="0.4">
      <c r="B13" s="337"/>
      <c r="C13" s="402"/>
      <c r="D13" s="281" t="s">
        <v>452</v>
      </c>
      <c r="E13" s="309">
        <v>1.9500000000000002</v>
      </c>
      <c r="F13" s="278">
        <f t="shared" si="0"/>
        <v>0</v>
      </c>
      <c r="G13" s="154"/>
      <c r="H13" s="155"/>
      <c r="I13" s="155"/>
      <c r="J13" s="155"/>
      <c r="K13" s="156"/>
    </row>
    <row r="14" spans="2:11" s="263" customFormat="1" ht="18" customHeight="1" x14ac:dyDescent="0.4">
      <c r="B14" s="337"/>
      <c r="C14" s="402"/>
      <c r="D14" s="281" t="s">
        <v>186</v>
      </c>
      <c r="E14" s="308">
        <v>6.5</v>
      </c>
      <c r="F14" s="278">
        <f t="shared" si="0"/>
        <v>0</v>
      </c>
      <c r="G14" s="154"/>
      <c r="H14" s="155"/>
      <c r="I14" s="155"/>
      <c r="J14" s="155"/>
      <c r="K14" s="156"/>
    </row>
    <row r="15" spans="2:11" s="263" customFormat="1" ht="18" customHeight="1" x14ac:dyDescent="0.4">
      <c r="B15" s="337"/>
      <c r="C15" s="402"/>
      <c r="D15" s="281" t="s">
        <v>132</v>
      </c>
      <c r="E15" s="308">
        <v>0.32500000000000001</v>
      </c>
      <c r="F15" s="278">
        <f t="shared" si="0"/>
        <v>0</v>
      </c>
      <c r="G15" s="154"/>
      <c r="H15" s="155"/>
      <c r="I15" s="155"/>
      <c r="J15" s="155"/>
      <c r="K15" s="156"/>
    </row>
    <row r="16" spans="2:11" s="263" customFormat="1" ht="18" customHeight="1" x14ac:dyDescent="0.4">
      <c r="B16" s="337"/>
      <c r="C16" s="402"/>
      <c r="D16" s="281" t="s">
        <v>126</v>
      </c>
      <c r="E16" s="308">
        <v>0.32500000000000001</v>
      </c>
      <c r="F16" s="278">
        <f t="shared" si="0"/>
        <v>0</v>
      </c>
      <c r="G16" s="154"/>
      <c r="H16" s="155"/>
      <c r="I16" s="155"/>
      <c r="J16" s="155"/>
      <c r="K16" s="156"/>
    </row>
    <row r="17" spans="2:11" s="263" customFormat="1" ht="18" customHeight="1" x14ac:dyDescent="0.4">
      <c r="B17" s="337"/>
      <c r="C17" s="338"/>
      <c r="D17" s="281" t="s">
        <v>159</v>
      </c>
      <c r="E17" s="308">
        <v>0.26</v>
      </c>
      <c r="F17" s="278">
        <f t="shared" si="0"/>
        <v>0</v>
      </c>
      <c r="G17" s="157"/>
      <c r="H17" s="158"/>
      <c r="I17" s="158"/>
      <c r="J17" s="158"/>
      <c r="K17" s="159"/>
    </row>
    <row r="18" spans="2:11" s="263" customFormat="1" ht="18" customHeight="1" x14ac:dyDescent="0.4">
      <c r="B18" s="337"/>
      <c r="C18" s="345" t="s">
        <v>487</v>
      </c>
      <c r="D18" s="281" t="s">
        <v>488</v>
      </c>
      <c r="E18" s="300">
        <v>26</v>
      </c>
      <c r="F18" s="278">
        <f t="shared" si="0"/>
        <v>0</v>
      </c>
      <c r="G18" s="220" t="s">
        <v>489</v>
      </c>
      <c r="H18" s="221"/>
      <c r="I18" s="221"/>
      <c r="J18" s="221"/>
      <c r="K18" s="222"/>
    </row>
    <row r="19" spans="2:11" s="263" customFormat="1" ht="18" customHeight="1" x14ac:dyDescent="0.4">
      <c r="B19" s="337"/>
      <c r="C19" s="346"/>
      <c r="D19" s="281" t="s">
        <v>227</v>
      </c>
      <c r="E19" s="282">
        <v>6.5</v>
      </c>
      <c r="F19" s="278">
        <f t="shared" si="0"/>
        <v>0</v>
      </c>
      <c r="G19" s="223"/>
      <c r="H19" s="224"/>
      <c r="I19" s="224"/>
      <c r="J19" s="224"/>
      <c r="K19" s="225"/>
    </row>
    <row r="20" spans="2:11" ht="18" customHeight="1" x14ac:dyDescent="0.4">
      <c r="B20" s="337"/>
      <c r="C20" s="346"/>
      <c r="D20" s="281" t="s">
        <v>157</v>
      </c>
      <c r="E20" s="282">
        <v>6.5</v>
      </c>
      <c r="F20" s="278">
        <f t="shared" si="0"/>
        <v>0</v>
      </c>
      <c r="G20" s="223"/>
      <c r="H20" s="224"/>
      <c r="I20" s="224"/>
      <c r="J20" s="224"/>
      <c r="K20" s="225"/>
    </row>
    <row r="21" spans="2:11" ht="18" customHeight="1" x14ac:dyDescent="0.4">
      <c r="B21" s="337"/>
      <c r="C21" s="346"/>
      <c r="D21" s="281" t="s">
        <v>20</v>
      </c>
      <c r="E21" s="282">
        <v>0.65</v>
      </c>
      <c r="F21" s="278">
        <f t="shared" si="0"/>
        <v>0</v>
      </c>
      <c r="G21" s="223"/>
      <c r="H21" s="224"/>
      <c r="I21" s="224"/>
      <c r="J21" s="224"/>
      <c r="K21" s="225"/>
    </row>
    <row r="22" spans="2:11" ht="18" customHeight="1" x14ac:dyDescent="0.4">
      <c r="B22" s="337"/>
      <c r="C22" s="346"/>
      <c r="D22" s="281" t="s">
        <v>126</v>
      </c>
      <c r="E22" s="282">
        <v>0.65</v>
      </c>
      <c r="F22" s="278">
        <f t="shared" si="0"/>
        <v>0</v>
      </c>
      <c r="G22" s="223"/>
      <c r="H22" s="224"/>
      <c r="I22" s="224"/>
      <c r="J22" s="224"/>
      <c r="K22" s="225"/>
    </row>
    <row r="23" spans="2:11" ht="18" customHeight="1" x14ac:dyDescent="0.4">
      <c r="B23" s="337"/>
      <c r="C23" s="346"/>
      <c r="D23" s="281" t="s">
        <v>89</v>
      </c>
      <c r="E23" s="282">
        <v>3.25</v>
      </c>
      <c r="F23" s="278">
        <f t="shared" si="0"/>
        <v>0</v>
      </c>
      <c r="G23" s="223"/>
      <c r="H23" s="224"/>
      <c r="I23" s="224"/>
      <c r="J23" s="224"/>
      <c r="K23" s="225"/>
    </row>
    <row r="24" spans="2:11" ht="18" customHeight="1" x14ac:dyDescent="0.4">
      <c r="B24" s="337"/>
      <c r="C24" s="346"/>
      <c r="D24" s="281" t="s">
        <v>490</v>
      </c>
      <c r="E24" s="282">
        <v>1.3</v>
      </c>
      <c r="F24" s="278">
        <f t="shared" si="0"/>
        <v>0</v>
      </c>
      <c r="G24" s="223"/>
      <c r="H24" s="224"/>
      <c r="I24" s="224"/>
      <c r="J24" s="224"/>
      <c r="K24" s="225"/>
    </row>
    <row r="25" spans="2:11" s="263" customFormat="1" ht="18" customHeight="1" x14ac:dyDescent="0.4">
      <c r="B25" s="337"/>
      <c r="C25" s="346"/>
      <c r="D25" s="281" t="s">
        <v>132</v>
      </c>
      <c r="E25" s="282">
        <v>3.25</v>
      </c>
      <c r="F25" s="278">
        <f t="shared" si="0"/>
        <v>0</v>
      </c>
      <c r="G25" s="223"/>
      <c r="H25" s="224"/>
      <c r="I25" s="224"/>
      <c r="J25" s="224"/>
      <c r="K25" s="225"/>
    </row>
    <row r="26" spans="2:11" s="263" customFormat="1" ht="18" customHeight="1" x14ac:dyDescent="0.4">
      <c r="B26" s="337"/>
      <c r="C26" s="346"/>
      <c r="D26" s="281" t="s">
        <v>35</v>
      </c>
      <c r="E26" s="300">
        <v>1.9500000000000002</v>
      </c>
      <c r="F26" s="278">
        <f t="shared" si="0"/>
        <v>0</v>
      </c>
      <c r="G26" s="223"/>
      <c r="H26" s="224"/>
      <c r="I26" s="224"/>
      <c r="J26" s="224"/>
      <c r="K26" s="225"/>
    </row>
    <row r="27" spans="2:11" s="263" customFormat="1" ht="18" customHeight="1" x14ac:dyDescent="0.4">
      <c r="B27" s="337"/>
      <c r="C27" s="346"/>
      <c r="D27" s="281" t="s">
        <v>19</v>
      </c>
      <c r="E27" s="282">
        <v>0.65</v>
      </c>
      <c r="F27" s="278">
        <f t="shared" si="0"/>
        <v>0</v>
      </c>
      <c r="G27" s="223"/>
      <c r="H27" s="224"/>
      <c r="I27" s="224"/>
      <c r="J27" s="224"/>
      <c r="K27" s="225"/>
    </row>
    <row r="28" spans="2:11" s="263" customFormat="1" ht="18" customHeight="1" x14ac:dyDescent="0.4">
      <c r="B28" s="337"/>
      <c r="C28" s="346"/>
      <c r="D28" s="281" t="s">
        <v>160</v>
      </c>
      <c r="E28" s="282">
        <v>0.13</v>
      </c>
      <c r="F28" s="278">
        <f t="shared" si="0"/>
        <v>0</v>
      </c>
      <c r="G28" s="223"/>
      <c r="H28" s="224"/>
      <c r="I28" s="224"/>
      <c r="J28" s="224"/>
      <c r="K28" s="225"/>
    </row>
    <row r="29" spans="2:11" s="263" customFormat="1" ht="18" customHeight="1" x14ac:dyDescent="0.4">
      <c r="B29" s="337"/>
      <c r="C29" s="346"/>
      <c r="D29" s="281" t="s">
        <v>491</v>
      </c>
      <c r="E29" s="282">
        <v>0.65</v>
      </c>
      <c r="F29" s="278">
        <f t="shared" si="0"/>
        <v>0</v>
      </c>
      <c r="G29" s="412"/>
      <c r="H29" s="413"/>
      <c r="I29" s="413"/>
      <c r="J29" s="413"/>
      <c r="K29" s="414"/>
    </row>
    <row r="30" spans="2:11" s="263" customFormat="1" ht="18" customHeight="1" x14ac:dyDescent="0.4">
      <c r="B30" s="337"/>
      <c r="C30" s="358" t="s">
        <v>492</v>
      </c>
      <c r="D30" s="281" t="s">
        <v>280</v>
      </c>
      <c r="E30" s="308">
        <v>3.25</v>
      </c>
      <c r="F30" s="278">
        <f t="shared" si="0"/>
        <v>0</v>
      </c>
      <c r="G30" s="220" t="s">
        <v>493</v>
      </c>
      <c r="H30" s="221"/>
      <c r="I30" s="221"/>
      <c r="J30" s="221"/>
      <c r="K30" s="222"/>
    </row>
    <row r="31" spans="2:11" s="263" customFormat="1" ht="18" customHeight="1" x14ac:dyDescent="0.4">
      <c r="B31" s="337"/>
      <c r="C31" s="362"/>
      <c r="D31" s="281" t="s">
        <v>283</v>
      </c>
      <c r="E31" s="308">
        <v>3.25</v>
      </c>
      <c r="F31" s="278">
        <f t="shared" si="0"/>
        <v>0</v>
      </c>
      <c r="G31" s="223"/>
      <c r="H31" s="224"/>
      <c r="I31" s="224"/>
      <c r="J31" s="224"/>
      <c r="K31" s="225"/>
    </row>
    <row r="32" spans="2:11" ht="18" customHeight="1" x14ac:dyDescent="0.4">
      <c r="B32" s="337"/>
      <c r="C32" s="362"/>
      <c r="D32" s="281" t="s">
        <v>157</v>
      </c>
      <c r="E32" s="308">
        <v>3.25</v>
      </c>
      <c r="F32" s="278">
        <f t="shared" si="0"/>
        <v>0</v>
      </c>
      <c r="G32" s="223"/>
      <c r="H32" s="224"/>
      <c r="I32" s="224"/>
      <c r="J32" s="224"/>
      <c r="K32" s="225"/>
    </row>
    <row r="33" spans="2:11" ht="18" customHeight="1" x14ac:dyDescent="0.4">
      <c r="B33" s="337"/>
      <c r="C33" s="362"/>
      <c r="D33" s="281" t="s">
        <v>117</v>
      </c>
      <c r="E33" s="308">
        <v>3.25</v>
      </c>
      <c r="F33" s="278">
        <f t="shared" si="0"/>
        <v>0</v>
      </c>
      <c r="G33" s="223"/>
      <c r="H33" s="224"/>
      <c r="I33" s="224"/>
      <c r="J33" s="224"/>
      <c r="K33" s="225"/>
    </row>
    <row r="34" spans="2:11" ht="18" customHeight="1" x14ac:dyDescent="0.4">
      <c r="B34" s="337"/>
      <c r="C34" s="362"/>
      <c r="D34" s="281" t="s">
        <v>494</v>
      </c>
      <c r="E34" s="309">
        <v>13</v>
      </c>
      <c r="F34" s="278">
        <f t="shared" si="0"/>
        <v>0</v>
      </c>
      <c r="G34" s="223"/>
      <c r="H34" s="224"/>
      <c r="I34" s="224"/>
      <c r="J34" s="224"/>
      <c r="K34" s="225"/>
    </row>
    <row r="35" spans="2:11" ht="18" customHeight="1" x14ac:dyDescent="0.4">
      <c r="B35" s="337"/>
      <c r="C35" s="362"/>
      <c r="D35" s="281" t="s">
        <v>126</v>
      </c>
      <c r="E35" s="308">
        <v>0.32500000000000001</v>
      </c>
      <c r="F35" s="278">
        <f t="shared" si="0"/>
        <v>0</v>
      </c>
      <c r="G35" s="223"/>
      <c r="H35" s="224"/>
      <c r="I35" s="224"/>
      <c r="J35" s="224"/>
      <c r="K35" s="225"/>
    </row>
    <row r="36" spans="2:11" ht="18" customHeight="1" x14ac:dyDescent="0.4">
      <c r="B36" s="337"/>
      <c r="C36" s="362"/>
      <c r="D36" s="281" t="s">
        <v>159</v>
      </c>
      <c r="E36" s="308">
        <v>0.65</v>
      </c>
      <c r="F36" s="278">
        <f t="shared" si="0"/>
        <v>0</v>
      </c>
      <c r="G36" s="223"/>
      <c r="H36" s="224"/>
      <c r="I36" s="224"/>
      <c r="J36" s="224"/>
      <c r="K36" s="225"/>
    </row>
    <row r="37" spans="2:11" ht="18" customHeight="1" x14ac:dyDescent="0.4">
      <c r="B37" s="337"/>
      <c r="C37" s="362"/>
      <c r="D37" s="281" t="s">
        <v>132</v>
      </c>
      <c r="E37" s="308">
        <v>1.625</v>
      </c>
      <c r="F37" s="278">
        <f t="shared" si="0"/>
        <v>0</v>
      </c>
      <c r="G37" s="223"/>
      <c r="H37" s="224"/>
      <c r="I37" s="224"/>
      <c r="J37" s="224"/>
      <c r="K37" s="225"/>
    </row>
    <row r="38" spans="2:11" ht="18" customHeight="1" x14ac:dyDescent="0.4">
      <c r="B38" s="337"/>
      <c r="C38" s="362"/>
      <c r="D38" s="281" t="s">
        <v>166</v>
      </c>
      <c r="E38" s="308">
        <v>0.65</v>
      </c>
      <c r="F38" s="278">
        <f t="shared" si="0"/>
        <v>0</v>
      </c>
      <c r="G38" s="223"/>
      <c r="H38" s="224"/>
      <c r="I38" s="224"/>
      <c r="J38" s="224"/>
      <c r="K38" s="225"/>
    </row>
    <row r="39" spans="2:11" ht="18" customHeight="1" x14ac:dyDescent="0.4">
      <c r="B39" s="337"/>
      <c r="C39" s="362"/>
      <c r="D39" s="281" t="s">
        <v>186</v>
      </c>
      <c r="E39" s="308">
        <v>0.65</v>
      </c>
      <c r="F39" s="278">
        <f t="shared" si="0"/>
        <v>0</v>
      </c>
      <c r="G39" s="223"/>
      <c r="H39" s="224"/>
      <c r="I39" s="224"/>
      <c r="J39" s="224"/>
      <c r="K39" s="225"/>
    </row>
    <row r="40" spans="2:11" ht="18" customHeight="1" x14ac:dyDescent="0.4">
      <c r="B40" s="337"/>
      <c r="C40" s="362"/>
      <c r="D40" s="281" t="s">
        <v>133</v>
      </c>
      <c r="E40" s="308">
        <v>0.19500000000000001</v>
      </c>
      <c r="F40" s="278">
        <f t="shared" si="0"/>
        <v>0</v>
      </c>
      <c r="G40" s="223"/>
      <c r="H40" s="224"/>
      <c r="I40" s="224"/>
      <c r="J40" s="224"/>
      <c r="K40" s="225"/>
    </row>
    <row r="41" spans="2:11" ht="18" customHeight="1" x14ac:dyDescent="0.4">
      <c r="B41" s="337"/>
      <c r="C41" s="428"/>
      <c r="D41" s="281" t="s">
        <v>161</v>
      </c>
      <c r="E41" s="308">
        <v>2.6</v>
      </c>
      <c r="F41" s="278">
        <f t="shared" si="0"/>
        <v>0</v>
      </c>
      <c r="G41" s="412"/>
      <c r="H41" s="413"/>
      <c r="I41" s="413"/>
      <c r="J41" s="413"/>
      <c r="K41" s="414"/>
    </row>
    <row r="42" spans="2:11" ht="18" customHeight="1" x14ac:dyDescent="0.4">
      <c r="B42" s="442"/>
      <c r="C42" s="317" t="s">
        <v>134</v>
      </c>
      <c r="D42" s="369" t="s">
        <v>135</v>
      </c>
      <c r="E42" s="370">
        <v>13</v>
      </c>
      <c r="F42" s="278">
        <f t="shared" si="0"/>
        <v>0</v>
      </c>
      <c r="G42" s="187" t="s">
        <v>32</v>
      </c>
      <c r="H42" s="188"/>
      <c r="I42" s="188"/>
      <c r="J42" s="188"/>
      <c r="K42" s="189"/>
    </row>
    <row r="43" spans="2:11" ht="18" customHeight="1" x14ac:dyDescent="0.4">
      <c r="B43" s="467" t="s">
        <v>9</v>
      </c>
      <c r="C43" s="281" t="s">
        <v>421</v>
      </c>
      <c r="D43" s="281" t="s">
        <v>422</v>
      </c>
      <c r="E43" s="300">
        <v>26</v>
      </c>
      <c r="F43" s="278">
        <f t="shared" si="0"/>
        <v>0</v>
      </c>
      <c r="G43" s="664" t="s">
        <v>495</v>
      </c>
      <c r="H43" s="665"/>
      <c r="I43" s="665"/>
      <c r="J43" s="665"/>
      <c r="K43" s="666"/>
    </row>
    <row r="44" spans="2:11" ht="18" customHeight="1" thickBot="1" x14ac:dyDescent="0.45">
      <c r="B44" s="472"/>
      <c r="C44" s="451" t="s">
        <v>148</v>
      </c>
      <c r="D44" s="451" t="s">
        <v>49</v>
      </c>
      <c r="E44" s="474">
        <v>100</v>
      </c>
      <c r="F44" s="375">
        <f t="shared" si="0"/>
        <v>0</v>
      </c>
      <c r="G44" s="555"/>
      <c r="H44" s="556"/>
      <c r="I44" s="556"/>
      <c r="J44" s="556"/>
      <c r="K44" s="557"/>
    </row>
    <row r="45" spans="2:11" ht="80.099999999999994" customHeight="1" thickTop="1" x14ac:dyDescent="0.4"/>
    <row r="123" spans="3:3" x14ac:dyDescent="0.4">
      <c r="C123" s="662"/>
    </row>
  </sheetData>
  <mergeCells count="21">
    <mergeCell ref="G42:K42"/>
    <mergeCell ref="B43:B44"/>
    <mergeCell ref="G43:K43"/>
    <mergeCell ref="G44:K44"/>
    <mergeCell ref="F2:K2"/>
    <mergeCell ref="B3:K5"/>
    <mergeCell ref="B6:K6"/>
    <mergeCell ref="B7:B8"/>
    <mergeCell ref="C7:C8"/>
    <mergeCell ref="D7:D8"/>
    <mergeCell ref="G7:K8"/>
    <mergeCell ref="G9:K9"/>
    <mergeCell ref="B10:B42"/>
    <mergeCell ref="C10:C11"/>
    <mergeCell ref="G10:K11"/>
    <mergeCell ref="C12:C17"/>
    <mergeCell ref="G12:K17"/>
    <mergeCell ref="C18:C29"/>
    <mergeCell ref="G18:K29"/>
    <mergeCell ref="C30:C41"/>
    <mergeCell ref="G30:K41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25. 12 첫째주</vt:lpstr>
      <vt:lpstr>25. 12 둘째주</vt:lpstr>
      <vt:lpstr>25. 12 셋째주</vt:lpstr>
      <vt:lpstr>25. 12 넷째주</vt:lpstr>
      <vt:lpstr>25. 12 다섯째주</vt:lpstr>
      <vt:lpstr>25. 12월 ★birthday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2025-12-18T00:28:15Z</dcterms:created>
  <dcterms:modified xsi:type="dcterms:W3CDTF">2025-12-19T01:56:14Z</dcterms:modified>
</cp:coreProperties>
</file>