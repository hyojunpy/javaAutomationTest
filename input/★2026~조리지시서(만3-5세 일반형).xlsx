
<file path=[Content_Types].xml><?xml version="1.0" encoding="utf-8"?>
<Types xmlns="http://schemas.openxmlformats.org/package/2006/content-types"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\IdeaProjects\javaAutomaionTest-master\input\"/>
    </mc:Choice>
  </mc:AlternateContent>
  <xr:revisionPtr revIDLastSave="0" documentId="13_ncr:1_{F29B2670-94AD-4DFF-8759-8027B4988EC8}" xr6:coauthVersionLast="47" xr6:coauthVersionMax="47" xr10:uidLastSave="{00000000-0000-0000-0000-000000000000}"/>
  <bookViews>
    <workbookView xWindow="-108" yWindow="-108" windowWidth="23256" windowHeight="12456" tabRatio="955" activeTab="5" xr2:uid="{00000000-000D-0000-FFFF-FFFF00000000}"/>
  </bookViews>
  <sheets>
    <sheet name="25. 12 첫째주" sheetId="872" r:id="rId1"/>
    <sheet name="25. 12 둘째주" sheetId="873" r:id="rId2"/>
    <sheet name="25. 12 셋째주" sheetId="874" r:id="rId3"/>
    <sheet name="25. 12 넷째주" sheetId="875" r:id="rId4"/>
    <sheet name="25. 12 다섯째주" sheetId="876" r:id="rId5"/>
    <sheet name="25. 12월 ★birthday" sheetId="877" r:id="rId6"/>
  </sheets>
  <calcPr calcId="191029"/>
</workbook>
</file>

<file path=xl/calcChain.xml><?xml version="1.0" encoding="utf-8"?>
<calcChain xmlns="http://schemas.openxmlformats.org/spreadsheetml/2006/main">
  <c r="H45" i="877" l="1"/>
  <c r="G45" i="877"/>
  <c r="H44" i="877"/>
  <c r="E44" i="877"/>
  <c r="G44" i="877" s="1"/>
  <c r="H43" i="877"/>
  <c r="E43" i="877"/>
  <c r="G43" i="877" s="1"/>
  <c r="H42" i="877"/>
  <c r="E42" i="877"/>
  <c r="G42" i="877" s="1"/>
  <c r="H41" i="877"/>
  <c r="G41" i="877"/>
  <c r="E41" i="877"/>
  <c r="H40" i="877"/>
  <c r="G40" i="877"/>
  <c r="E40" i="877"/>
  <c r="H39" i="877"/>
  <c r="E39" i="877"/>
  <c r="G39" i="877" s="1"/>
  <c r="H38" i="877"/>
  <c r="E38" i="877"/>
  <c r="G38" i="877" s="1"/>
  <c r="H37" i="877"/>
  <c r="E37" i="877"/>
  <c r="G37" i="877" s="1"/>
  <c r="H36" i="877"/>
  <c r="E36" i="877"/>
  <c r="G36" i="877" s="1"/>
  <c r="H35" i="877"/>
  <c r="E35" i="877"/>
  <c r="G35" i="877" s="1"/>
  <c r="H34" i="877"/>
  <c r="E34" i="877"/>
  <c r="G34" i="877" s="1"/>
  <c r="H33" i="877"/>
  <c r="G33" i="877"/>
  <c r="E33" i="877"/>
  <c r="H32" i="877"/>
  <c r="G32" i="877"/>
  <c r="E32" i="877"/>
  <c r="H31" i="877"/>
  <c r="G31" i="877"/>
  <c r="E31" i="877"/>
  <c r="H30" i="877"/>
  <c r="E30" i="877"/>
  <c r="G30" i="877" s="1"/>
  <c r="H29" i="877"/>
  <c r="G29" i="877"/>
  <c r="E29" i="877"/>
  <c r="H28" i="877"/>
  <c r="E28" i="877"/>
  <c r="G28" i="877" s="1"/>
  <c r="H27" i="877"/>
  <c r="E27" i="877"/>
  <c r="G27" i="877" s="1"/>
  <c r="H26" i="877"/>
  <c r="E26" i="877"/>
  <c r="G26" i="877" s="1"/>
  <c r="H25" i="877"/>
  <c r="G25" i="877"/>
  <c r="E25" i="877"/>
  <c r="H24" i="877"/>
  <c r="G24" i="877"/>
  <c r="E24" i="877"/>
  <c r="H23" i="877"/>
  <c r="G23" i="877"/>
  <c r="E23" i="877"/>
  <c r="H22" i="877"/>
  <c r="E22" i="877"/>
  <c r="G22" i="877" s="1"/>
  <c r="H21" i="877"/>
  <c r="G21" i="877"/>
  <c r="E21" i="877"/>
  <c r="H20" i="877"/>
  <c r="E20" i="877"/>
  <c r="G20" i="877" s="1"/>
  <c r="H19" i="877"/>
  <c r="E19" i="877"/>
  <c r="G19" i="877" s="1"/>
  <c r="H18" i="877"/>
  <c r="E18" i="877"/>
  <c r="G18" i="877" s="1"/>
  <c r="H17" i="877"/>
  <c r="G17" i="877"/>
  <c r="E17" i="877"/>
  <c r="H16" i="877"/>
  <c r="G16" i="877"/>
  <c r="E16" i="877"/>
  <c r="H15" i="877"/>
  <c r="G15" i="877"/>
  <c r="E15" i="877"/>
  <c r="H14" i="877"/>
  <c r="E14" i="877"/>
  <c r="G14" i="877" s="1"/>
  <c r="H13" i="877"/>
  <c r="G13" i="877"/>
  <c r="E13" i="877"/>
  <c r="H12" i="877"/>
  <c r="E12" i="877"/>
  <c r="G12" i="877" s="1"/>
  <c r="H11" i="877"/>
  <c r="E11" i="877"/>
  <c r="G11" i="877" s="1"/>
  <c r="H10" i="877"/>
  <c r="E10" i="877"/>
  <c r="G10" i="877" s="1"/>
  <c r="H114" i="876"/>
  <c r="G114" i="876"/>
  <c r="H113" i="876"/>
  <c r="E113" i="876"/>
  <c r="G113" i="876" s="1"/>
  <c r="H112" i="876"/>
  <c r="G112" i="876"/>
  <c r="E112" i="876"/>
  <c r="H111" i="876"/>
  <c r="E111" i="876"/>
  <c r="G111" i="876" s="1"/>
  <c r="H110" i="876"/>
  <c r="E110" i="876"/>
  <c r="G110" i="876" s="1"/>
  <c r="H109" i="876"/>
  <c r="G109" i="876"/>
  <c r="E109" i="876"/>
  <c r="H108" i="876"/>
  <c r="E108" i="876"/>
  <c r="G108" i="876" s="1"/>
  <c r="H107" i="876"/>
  <c r="E107" i="876"/>
  <c r="G107" i="876" s="1"/>
  <c r="H106" i="876"/>
  <c r="E106" i="876"/>
  <c r="G106" i="876" s="1"/>
  <c r="H105" i="876"/>
  <c r="E105" i="876"/>
  <c r="G105" i="876" s="1"/>
  <c r="H104" i="876"/>
  <c r="G104" i="876"/>
  <c r="E104" i="876"/>
  <c r="H103" i="876"/>
  <c r="E103" i="876"/>
  <c r="G103" i="876" s="1"/>
  <c r="H102" i="876"/>
  <c r="E102" i="876"/>
  <c r="G102" i="876" s="1"/>
  <c r="H101" i="876"/>
  <c r="G101" i="876"/>
  <c r="E101" i="876"/>
  <c r="H100" i="876"/>
  <c r="E100" i="876"/>
  <c r="G100" i="876" s="1"/>
  <c r="H99" i="876"/>
  <c r="E99" i="876"/>
  <c r="G99" i="876" s="1"/>
  <c r="H98" i="876"/>
  <c r="E98" i="876"/>
  <c r="G98" i="876" s="1"/>
  <c r="H97" i="876"/>
  <c r="E97" i="876"/>
  <c r="G97" i="876" s="1"/>
  <c r="H96" i="876"/>
  <c r="G96" i="876"/>
  <c r="E96" i="876"/>
  <c r="H95" i="876"/>
  <c r="E95" i="876"/>
  <c r="G95" i="876" s="1"/>
  <c r="H94" i="876"/>
  <c r="E94" i="876"/>
  <c r="G94" i="876" s="1"/>
  <c r="H93" i="876"/>
  <c r="G93" i="876"/>
  <c r="E93" i="876"/>
  <c r="H92" i="876"/>
  <c r="E92" i="876"/>
  <c r="G92" i="876" s="1"/>
  <c r="H91" i="876"/>
  <c r="E91" i="876"/>
  <c r="G91" i="876" s="1"/>
  <c r="H90" i="876"/>
  <c r="E90" i="876"/>
  <c r="G90" i="876" s="1"/>
  <c r="H89" i="876"/>
  <c r="E89" i="876"/>
  <c r="G89" i="876" s="1"/>
  <c r="H88" i="876"/>
  <c r="G88" i="876"/>
  <c r="E88" i="876"/>
  <c r="E87" i="876"/>
  <c r="H87" i="876" s="1"/>
  <c r="H81" i="876"/>
  <c r="E81" i="876"/>
  <c r="G81" i="876" s="1"/>
  <c r="H80" i="876"/>
  <c r="G80" i="876"/>
  <c r="E80" i="876"/>
  <c r="H79" i="876"/>
  <c r="E79" i="876"/>
  <c r="G79" i="876" s="1"/>
  <c r="H78" i="876"/>
  <c r="E78" i="876"/>
  <c r="G78" i="876" s="1"/>
  <c r="H77" i="876"/>
  <c r="G77" i="876"/>
  <c r="E77" i="876"/>
  <c r="H76" i="876"/>
  <c r="E76" i="876"/>
  <c r="G76" i="876" s="1"/>
  <c r="H75" i="876"/>
  <c r="G75" i="876"/>
  <c r="E75" i="876"/>
  <c r="H74" i="876"/>
  <c r="E74" i="876"/>
  <c r="G74" i="876" s="1"/>
  <c r="H73" i="876"/>
  <c r="E73" i="876"/>
  <c r="G73" i="876" s="1"/>
  <c r="H72" i="876"/>
  <c r="G72" i="876"/>
  <c r="E72" i="876"/>
  <c r="H71" i="876"/>
  <c r="E71" i="876"/>
  <c r="G71" i="876" s="1"/>
  <c r="H70" i="876"/>
  <c r="E70" i="876"/>
  <c r="G70" i="876" s="1"/>
  <c r="H69" i="876"/>
  <c r="E69" i="876"/>
  <c r="G69" i="876" s="1"/>
  <c r="H68" i="876"/>
  <c r="E68" i="876"/>
  <c r="G68" i="876" s="1"/>
  <c r="H67" i="876"/>
  <c r="G67" i="876"/>
  <c r="E67" i="876"/>
  <c r="H66" i="876"/>
  <c r="E66" i="876"/>
  <c r="G66" i="876" s="1"/>
  <c r="H65" i="876"/>
  <c r="E65" i="876"/>
  <c r="G65" i="876" s="1"/>
  <c r="H64" i="876"/>
  <c r="G64" i="876"/>
  <c r="E64" i="876"/>
  <c r="H63" i="876"/>
  <c r="E63" i="876"/>
  <c r="G63" i="876" s="1"/>
  <c r="H62" i="876"/>
  <c r="E62" i="876"/>
  <c r="G62" i="876" s="1"/>
  <c r="H61" i="876"/>
  <c r="E61" i="876"/>
  <c r="G61" i="876" s="1"/>
  <c r="H60" i="876"/>
  <c r="E60" i="876"/>
  <c r="G60" i="876" s="1"/>
  <c r="H59" i="876"/>
  <c r="G59" i="876"/>
  <c r="E59" i="876"/>
  <c r="H58" i="876"/>
  <c r="E58" i="876"/>
  <c r="G58" i="876" s="1"/>
  <c r="H57" i="876"/>
  <c r="E57" i="876"/>
  <c r="G57" i="876" s="1"/>
  <c r="H56" i="876"/>
  <c r="G56" i="876"/>
  <c r="E56" i="876"/>
  <c r="H55" i="876"/>
  <c r="E55" i="876"/>
  <c r="G55" i="876" s="1"/>
  <c r="H54" i="876"/>
  <c r="E54" i="876"/>
  <c r="G54" i="876" s="1"/>
  <c r="H53" i="876"/>
  <c r="E53" i="876"/>
  <c r="G53" i="876" s="1"/>
  <c r="H52" i="876"/>
  <c r="E52" i="876"/>
  <c r="G52" i="876" s="1"/>
  <c r="H51" i="876"/>
  <c r="G51" i="876"/>
  <c r="E51" i="876"/>
  <c r="H50" i="876"/>
  <c r="E50" i="876"/>
  <c r="G50" i="876" s="1"/>
  <c r="H49" i="876"/>
  <c r="E49" i="876"/>
  <c r="G49" i="876" s="1"/>
  <c r="H48" i="876"/>
  <c r="G48" i="876"/>
  <c r="E48" i="876"/>
  <c r="H47" i="876"/>
  <c r="E47" i="876"/>
  <c r="G47" i="876" s="1"/>
  <c r="H41" i="876"/>
  <c r="E41" i="876"/>
  <c r="G41" i="876" s="1"/>
  <c r="H40" i="876"/>
  <c r="E40" i="876"/>
  <c r="G40" i="876" s="1"/>
  <c r="H39" i="876"/>
  <c r="E39" i="876"/>
  <c r="G39" i="876" s="1"/>
  <c r="H38" i="876"/>
  <c r="G38" i="876"/>
  <c r="E38" i="876"/>
  <c r="H37" i="876"/>
  <c r="E37" i="876"/>
  <c r="G37" i="876" s="1"/>
  <c r="H36" i="876"/>
  <c r="E36" i="876"/>
  <c r="G36" i="876" s="1"/>
  <c r="H35" i="876"/>
  <c r="G35" i="876"/>
  <c r="E35" i="876"/>
  <c r="H34" i="876"/>
  <c r="E34" i="876"/>
  <c r="G34" i="876" s="1"/>
  <c r="H33" i="876"/>
  <c r="E33" i="876"/>
  <c r="G33" i="876" s="1"/>
  <c r="H32" i="876"/>
  <c r="E32" i="876"/>
  <c r="G32" i="876" s="1"/>
  <c r="H31" i="876"/>
  <c r="E31" i="876"/>
  <c r="G31" i="876" s="1"/>
  <c r="H30" i="876"/>
  <c r="G30" i="876"/>
  <c r="E30" i="876"/>
  <c r="H29" i="876"/>
  <c r="E29" i="876"/>
  <c r="G29" i="876" s="1"/>
  <c r="H28" i="876"/>
  <c r="E28" i="876"/>
  <c r="G28" i="876" s="1"/>
  <c r="H27" i="876"/>
  <c r="G27" i="876"/>
  <c r="E27" i="876"/>
  <c r="H26" i="876"/>
  <c r="E26" i="876"/>
  <c r="G26" i="876" s="1"/>
  <c r="H25" i="876"/>
  <c r="E25" i="876"/>
  <c r="G25" i="876" s="1"/>
  <c r="H24" i="876"/>
  <c r="E24" i="876"/>
  <c r="G24" i="876" s="1"/>
  <c r="H23" i="876"/>
  <c r="E23" i="876"/>
  <c r="G23" i="876" s="1"/>
  <c r="H22" i="876"/>
  <c r="G22" i="876"/>
  <c r="E22" i="876"/>
  <c r="H21" i="876"/>
  <c r="E21" i="876"/>
  <c r="G21" i="876" s="1"/>
  <c r="H20" i="876"/>
  <c r="E20" i="876"/>
  <c r="G20" i="876" s="1"/>
  <c r="H19" i="876"/>
  <c r="G19" i="876"/>
  <c r="E19" i="876"/>
  <c r="H18" i="876"/>
  <c r="E18" i="876"/>
  <c r="G18" i="876" s="1"/>
  <c r="H17" i="876"/>
  <c r="E17" i="876"/>
  <c r="G17" i="876" s="1"/>
  <c r="H16" i="876"/>
  <c r="E16" i="876"/>
  <c r="G16" i="876" s="1"/>
  <c r="H15" i="876"/>
  <c r="E15" i="876"/>
  <c r="G15" i="876" s="1"/>
  <c r="H14" i="876"/>
  <c r="G14" i="876"/>
  <c r="E14" i="876"/>
  <c r="H13" i="876"/>
  <c r="E13" i="876"/>
  <c r="G13" i="876" s="1"/>
  <c r="H12" i="876"/>
  <c r="E12" i="876"/>
  <c r="G12" i="876" s="1"/>
  <c r="H11" i="876"/>
  <c r="G11" i="876"/>
  <c r="E10" i="876"/>
  <c r="H10" i="876" s="1"/>
  <c r="H164" i="875"/>
  <c r="E164" i="875"/>
  <c r="G164" i="875" s="1"/>
  <c r="H163" i="875"/>
  <c r="G163" i="875"/>
  <c r="E163" i="875"/>
  <c r="H162" i="875"/>
  <c r="G162" i="875"/>
  <c r="E162" i="875"/>
  <c r="H161" i="875"/>
  <c r="E161" i="875"/>
  <c r="G161" i="875" s="1"/>
  <c r="H160" i="875"/>
  <c r="E160" i="875"/>
  <c r="G160" i="875" s="1"/>
  <c r="H159" i="875"/>
  <c r="E159" i="875"/>
  <c r="G159" i="875" s="1"/>
  <c r="H158" i="875"/>
  <c r="E158" i="875"/>
  <c r="G158" i="875" s="1"/>
  <c r="H157" i="875"/>
  <c r="G157" i="875"/>
  <c r="E157" i="875"/>
  <c r="H156" i="875"/>
  <c r="E156" i="875"/>
  <c r="G156" i="875" s="1"/>
  <c r="H155" i="875"/>
  <c r="G155" i="875"/>
  <c r="E155" i="875"/>
  <c r="H154" i="875"/>
  <c r="G154" i="875"/>
  <c r="E154" i="875"/>
  <c r="H153" i="875"/>
  <c r="E153" i="875"/>
  <c r="G153" i="875" s="1"/>
  <c r="H152" i="875"/>
  <c r="E152" i="875"/>
  <c r="G152" i="875" s="1"/>
  <c r="H151" i="875"/>
  <c r="E151" i="875"/>
  <c r="G151" i="875" s="1"/>
  <c r="H150" i="875"/>
  <c r="E150" i="875"/>
  <c r="G150" i="875" s="1"/>
  <c r="H149" i="875"/>
  <c r="G149" i="875"/>
  <c r="E149" i="875"/>
  <c r="H148" i="875"/>
  <c r="E148" i="875"/>
  <c r="G148" i="875" s="1"/>
  <c r="H147" i="875"/>
  <c r="G147" i="875"/>
  <c r="E147" i="875"/>
  <c r="H146" i="875"/>
  <c r="G146" i="875"/>
  <c r="E146" i="875"/>
  <c r="H145" i="875"/>
  <c r="E145" i="875"/>
  <c r="G145" i="875" s="1"/>
  <c r="H144" i="875"/>
  <c r="E144" i="875"/>
  <c r="G144" i="875" s="1"/>
  <c r="H143" i="875"/>
  <c r="E143" i="875"/>
  <c r="G143" i="875" s="1"/>
  <c r="H142" i="875"/>
  <c r="E142" i="875"/>
  <c r="G142" i="875" s="1"/>
  <c r="H141" i="875"/>
  <c r="G141" i="875"/>
  <c r="H135" i="875"/>
  <c r="G135" i="875"/>
  <c r="H134" i="875"/>
  <c r="G134" i="875"/>
  <c r="H133" i="875"/>
  <c r="G133" i="875"/>
  <c r="E133" i="875"/>
  <c r="H132" i="875"/>
  <c r="G132" i="875"/>
  <c r="E132" i="875"/>
  <c r="H131" i="875"/>
  <c r="E131" i="875"/>
  <c r="G131" i="875" s="1"/>
  <c r="H130" i="875"/>
  <c r="E130" i="875"/>
  <c r="G130" i="875" s="1"/>
  <c r="H129" i="875"/>
  <c r="G129" i="875"/>
  <c r="E129" i="875"/>
  <c r="H128" i="875"/>
  <c r="E128" i="875"/>
  <c r="G128" i="875" s="1"/>
  <c r="H127" i="875"/>
  <c r="G127" i="875"/>
  <c r="E127" i="875"/>
  <c r="H126" i="875"/>
  <c r="E126" i="875"/>
  <c r="G126" i="875" s="1"/>
  <c r="H125" i="875"/>
  <c r="G125" i="875"/>
  <c r="E125" i="875"/>
  <c r="H124" i="875"/>
  <c r="G124" i="875"/>
  <c r="E124" i="875"/>
  <c r="H123" i="875"/>
  <c r="E123" i="875"/>
  <c r="G123" i="875" s="1"/>
  <c r="H122" i="875"/>
  <c r="E122" i="875"/>
  <c r="G122" i="875" s="1"/>
  <c r="H121" i="875"/>
  <c r="E121" i="875"/>
  <c r="G121" i="875" s="1"/>
  <c r="H120" i="875"/>
  <c r="E120" i="875"/>
  <c r="G120" i="875" s="1"/>
  <c r="H119" i="875"/>
  <c r="G119" i="875"/>
  <c r="E119" i="875"/>
  <c r="H118" i="875"/>
  <c r="E118" i="875"/>
  <c r="G118" i="875" s="1"/>
  <c r="H117" i="875"/>
  <c r="G117" i="875"/>
  <c r="E117" i="875"/>
  <c r="H116" i="875"/>
  <c r="G116" i="875"/>
  <c r="E116" i="875"/>
  <c r="H115" i="875"/>
  <c r="E115" i="875"/>
  <c r="G115" i="875" s="1"/>
  <c r="H114" i="875"/>
  <c r="E114" i="875"/>
  <c r="G114" i="875" s="1"/>
  <c r="H113" i="875"/>
  <c r="E113" i="875"/>
  <c r="G113" i="875" s="1"/>
  <c r="H112" i="875"/>
  <c r="E112" i="875"/>
  <c r="G112" i="875" s="1"/>
  <c r="H111" i="875"/>
  <c r="G111" i="875"/>
  <c r="E111" i="875"/>
  <c r="H105" i="875"/>
  <c r="G105" i="875"/>
  <c r="H104" i="875"/>
  <c r="E104" i="875"/>
  <c r="G104" i="875" s="1"/>
  <c r="H103" i="875"/>
  <c r="G103" i="875"/>
  <c r="E103" i="875"/>
  <c r="H102" i="875"/>
  <c r="E102" i="875"/>
  <c r="G102" i="875" s="1"/>
  <c r="H101" i="875"/>
  <c r="G101" i="875"/>
  <c r="E101" i="875"/>
  <c r="H100" i="875"/>
  <c r="G100" i="875"/>
  <c r="E100" i="875"/>
  <c r="H99" i="875"/>
  <c r="E99" i="875"/>
  <c r="G99" i="875" s="1"/>
  <c r="H98" i="875"/>
  <c r="E98" i="875"/>
  <c r="G98" i="875" s="1"/>
  <c r="H97" i="875"/>
  <c r="E97" i="875"/>
  <c r="G97" i="875" s="1"/>
  <c r="H96" i="875"/>
  <c r="E96" i="875"/>
  <c r="G96" i="875" s="1"/>
  <c r="H95" i="875"/>
  <c r="G95" i="875"/>
  <c r="E95" i="875"/>
  <c r="H94" i="875"/>
  <c r="E94" i="875"/>
  <c r="G94" i="875" s="1"/>
  <c r="H93" i="875"/>
  <c r="G93" i="875"/>
  <c r="E93" i="875"/>
  <c r="H92" i="875"/>
  <c r="G92" i="875"/>
  <c r="E92" i="875"/>
  <c r="H91" i="875"/>
  <c r="E91" i="875"/>
  <c r="G91" i="875" s="1"/>
  <c r="H90" i="875"/>
  <c r="E90" i="875"/>
  <c r="G90" i="875" s="1"/>
  <c r="H89" i="875"/>
  <c r="E89" i="875"/>
  <c r="G89" i="875" s="1"/>
  <c r="H88" i="875"/>
  <c r="E88" i="875"/>
  <c r="G88" i="875" s="1"/>
  <c r="H87" i="875"/>
  <c r="G87" i="875"/>
  <c r="E87" i="875"/>
  <c r="H86" i="875"/>
  <c r="E86" i="875"/>
  <c r="G86" i="875" s="1"/>
  <c r="H85" i="875"/>
  <c r="G85" i="875"/>
  <c r="E85" i="875"/>
  <c r="H84" i="875"/>
  <c r="G84" i="875"/>
  <c r="E84" i="875"/>
  <c r="H83" i="875"/>
  <c r="E83" i="875"/>
  <c r="G83" i="875" s="1"/>
  <c r="H82" i="875"/>
  <c r="E82" i="875"/>
  <c r="G82" i="875" s="1"/>
  <c r="H76" i="875"/>
  <c r="E76" i="875"/>
  <c r="G76" i="875" s="1"/>
  <c r="H75" i="875"/>
  <c r="E75" i="875"/>
  <c r="G75" i="875" s="1"/>
  <c r="H74" i="875"/>
  <c r="G74" i="875"/>
  <c r="E74" i="875"/>
  <c r="H73" i="875"/>
  <c r="E73" i="875"/>
  <c r="G73" i="875" s="1"/>
  <c r="H72" i="875"/>
  <c r="G72" i="875"/>
  <c r="E72" i="875"/>
  <c r="H71" i="875"/>
  <c r="G71" i="875"/>
  <c r="E71" i="875"/>
  <c r="H70" i="875"/>
  <c r="E70" i="875"/>
  <c r="G70" i="875" s="1"/>
  <c r="H69" i="875"/>
  <c r="E69" i="875"/>
  <c r="G69" i="875" s="1"/>
  <c r="H68" i="875"/>
  <c r="E68" i="875"/>
  <c r="G68" i="875" s="1"/>
  <c r="H67" i="875"/>
  <c r="E67" i="875"/>
  <c r="G67" i="875" s="1"/>
  <c r="H66" i="875"/>
  <c r="G66" i="875"/>
  <c r="E66" i="875"/>
  <c r="H65" i="875"/>
  <c r="E65" i="875"/>
  <c r="G65" i="875" s="1"/>
  <c r="H64" i="875"/>
  <c r="G64" i="875"/>
  <c r="E64" i="875"/>
  <c r="H63" i="875"/>
  <c r="G63" i="875"/>
  <c r="E63" i="875"/>
  <c r="H62" i="875"/>
  <c r="E62" i="875"/>
  <c r="G62" i="875" s="1"/>
  <c r="H61" i="875"/>
  <c r="E61" i="875"/>
  <c r="G61" i="875" s="1"/>
  <c r="H60" i="875"/>
  <c r="E60" i="875"/>
  <c r="G60" i="875" s="1"/>
  <c r="H59" i="875"/>
  <c r="E59" i="875"/>
  <c r="G59" i="875" s="1"/>
  <c r="H58" i="875"/>
  <c r="G58" i="875"/>
  <c r="E58" i="875"/>
  <c r="H57" i="875"/>
  <c r="E57" i="875"/>
  <c r="G57" i="875" s="1"/>
  <c r="H56" i="875"/>
  <c r="G56" i="875"/>
  <c r="E56" i="875"/>
  <c r="H55" i="875"/>
  <c r="G55" i="875"/>
  <c r="E55" i="875"/>
  <c r="H54" i="875"/>
  <c r="E54" i="875"/>
  <c r="G54" i="875" s="1"/>
  <c r="H53" i="875"/>
  <c r="E53" i="875"/>
  <c r="G53" i="875" s="1"/>
  <c r="H52" i="875"/>
  <c r="E52" i="875"/>
  <c r="G52" i="875" s="1"/>
  <c r="H51" i="875"/>
  <c r="E51" i="875"/>
  <c r="G51" i="875" s="1"/>
  <c r="H50" i="875"/>
  <c r="G50" i="875"/>
  <c r="E50" i="875"/>
  <c r="H49" i="875"/>
  <c r="E49" i="875"/>
  <c r="G49" i="875" s="1"/>
  <c r="H48" i="875"/>
  <c r="G48" i="875"/>
  <c r="E48" i="875"/>
  <c r="H47" i="875"/>
  <c r="G47" i="875"/>
  <c r="E47" i="875"/>
  <c r="H46" i="875"/>
  <c r="G46" i="875"/>
  <c r="E46" i="875"/>
  <c r="H45" i="875"/>
  <c r="E45" i="875"/>
  <c r="G45" i="875" s="1"/>
  <c r="H44" i="875"/>
  <c r="E44" i="875"/>
  <c r="G44" i="875" s="1"/>
  <c r="H43" i="875"/>
  <c r="E43" i="875"/>
  <c r="G43" i="875" s="1"/>
  <c r="H42" i="875"/>
  <c r="G42" i="875"/>
  <c r="E42" i="875"/>
  <c r="H41" i="875"/>
  <c r="E41" i="875"/>
  <c r="G41" i="875" s="1"/>
  <c r="H35" i="875"/>
  <c r="G35" i="875"/>
  <c r="E35" i="875"/>
  <c r="H34" i="875"/>
  <c r="G34" i="875"/>
  <c r="E34" i="875"/>
  <c r="H33" i="875"/>
  <c r="G33" i="875"/>
  <c r="E33" i="875"/>
  <c r="H32" i="875"/>
  <c r="E32" i="875"/>
  <c r="G32" i="875" s="1"/>
  <c r="H31" i="875"/>
  <c r="E31" i="875"/>
  <c r="G31" i="875" s="1"/>
  <c r="H30" i="875"/>
  <c r="E30" i="875"/>
  <c r="G30" i="875" s="1"/>
  <c r="H29" i="875"/>
  <c r="G29" i="875"/>
  <c r="E29" i="875"/>
  <c r="H28" i="875"/>
  <c r="E28" i="875"/>
  <c r="G28" i="875" s="1"/>
  <c r="H27" i="875"/>
  <c r="G27" i="875"/>
  <c r="E27" i="875"/>
  <c r="H26" i="875"/>
  <c r="E26" i="875"/>
  <c r="G26" i="875" s="1"/>
  <c r="H25" i="875"/>
  <c r="E25" i="875"/>
  <c r="G25" i="875" s="1"/>
  <c r="H24" i="875"/>
  <c r="E24" i="875"/>
  <c r="G24" i="875" s="1"/>
  <c r="H23" i="875"/>
  <c r="E23" i="875"/>
  <c r="G23" i="875" s="1"/>
  <c r="H22" i="875"/>
  <c r="E22" i="875"/>
  <c r="G22" i="875" s="1"/>
  <c r="H21" i="875"/>
  <c r="G21" i="875"/>
  <c r="E21" i="875"/>
  <c r="H20" i="875"/>
  <c r="E20" i="875"/>
  <c r="G20" i="875" s="1"/>
  <c r="H19" i="875"/>
  <c r="G19" i="875"/>
  <c r="E19" i="875"/>
  <c r="H18" i="875"/>
  <c r="G18" i="875"/>
  <c r="E18" i="875"/>
  <c r="H17" i="875"/>
  <c r="E17" i="875"/>
  <c r="G17" i="875" s="1"/>
  <c r="H16" i="875"/>
  <c r="E16" i="875"/>
  <c r="G16" i="875" s="1"/>
  <c r="H15" i="875"/>
  <c r="E15" i="875"/>
  <c r="G15" i="875" s="1"/>
  <c r="H14" i="875"/>
  <c r="E14" i="875"/>
  <c r="G14" i="875" s="1"/>
  <c r="H13" i="875"/>
  <c r="G13" i="875"/>
  <c r="E13" i="875"/>
  <c r="H12" i="875"/>
  <c r="E12" i="875"/>
  <c r="G12" i="875" s="1"/>
  <c r="H11" i="875"/>
  <c r="G11" i="875"/>
  <c r="E11" i="875"/>
  <c r="H10" i="875"/>
  <c r="G10" i="875"/>
  <c r="E10" i="875"/>
  <c r="H194" i="874"/>
  <c r="E194" i="874"/>
  <c r="G194" i="874" s="1"/>
  <c r="H193" i="874"/>
  <c r="E193" i="874"/>
  <c r="G193" i="874" s="1"/>
  <c r="H192" i="874"/>
  <c r="G192" i="874"/>
  <c r="E192" i="874"/>
  <c r="H191" i="874"/>
  <c r="G191" i="874"/>
  <c r="E191" i="874"/>
  <c r="H190" i="874"/>
  <c r="E190" i="874"/>
  <c r="G190" i="874" s="1"/>
  <c r="H189" i="874"/>
  <c r="E189" i="874"/>
  <c r="G189" i="874" s="1"/>
  <c r="H188" i="874"/>
  <c r="E188" i="874"/>
  <c r="G188" i="874" s="1"/>
  <c r="H187" i="874"/>
  <c r="G187" i="874"/>
  <c r="E187" i="874"/>
  <c r="H186" i="874"/>
  <c r="E186" i="874"/>
  <c r="G186" i="874" s="1"/>
  <c r="H185" i="874"/>
  <c r="E185" i="874"/>
  <c r="G185" i="874" s="1"/>
  <c r="H184" i="874"/>
  <c r="G184" i="874"/>
  <c r="E184" i="874"/>
  <c r="H183" i="874"/>
  <c r="G183" i="874"/>
  <c r="E183" i="874"/>
  <c r="H182" i="874"/>
  <c r="E182" i="874"/>
  <c r="G182" i="874" s="1"/>
  <c r="H181" i="874"/>
  <c r="E181" i="874"/>
  <c r="G181" i="874" s="1"/>
  <c r="H180" i="874"/>
  <c r="E180" i="874"/>
  <c r="G180" i="874" s="1"/>
  <c r="H179" i="874"/>
  <c r="G179" i="874"/>
  <c r="E179" i="874"/>
  <c r="H178" i="874"/>
  <c r="E178" i="874"/>
  <c r="G178" i="874" s="1"/>
  <c r="H177" i="874"/>
  <c r="E177" i="874"/>
  <c r="G177" i="874" s="1"/>
  <c r="H176" i="874"/>
  <c r="G176" i="874"/>
  <c r="E176" i="874"/>
  <c r="H175" i="874"/>
  <c r="G175" i="874"/>
  <c r="E175" i="874"/>
  <c r="H174" i="874"/>
  <c r="E174" i="874"/>
  <c r="G174" i="874" s="1"/>
  <c r="H173" i="874"/>
  <c r="E173" i="874"/>
  <c r="G173" i="874" s="1"/>
  <c r="H172" i="874"/>
  <c r="E172" i="874"/>
  <c r="G172" i="874" s="1"/>
  <c r="H171" i="874"/>
  <c r="G171" i="874"/>
  <c r="E171" i="874"/>
  <c r="H170" i="874"/>
  <c r="G170" i="874"/>
  <c r="H164" i="874"/>
  <c r="E164" i="874"/>
  <c r="G164" i="874" s="1"/>
  <c r="H163" i="874"/>
  <c r="G163" i="874"/>
  <c r="E163" i="874"/>
  <c r="H162" i="874"/>
  <c r="E162" i="874"/>
  <c r="G162" i="874" s="1"/>
  <c r="H161" i="874"/>
  <c r="E161" i="874"/>
  <c r="G161" i="874" s="1"/>
  <c r="H160" i="874"/>
  <c r="G160" i="874"/>
  <c r="E160" i="874"/>
  <c r="H159" i="874"/>
  <c r="G159" i="874"/>
  <c r="E159" i="874"/>
  <c r="H158" i="874"/>
  <c r="E158" i="874"/>
  <c r="G158" i="874" s="1"/>
  <c r="H157" i="874"/>
  <c r="E157" i="874"/>
  <c r="G157" i="874" s="1"/>
  <c r="H156" i="874"/>
  <c r="E156" i="874"/>
  <c r="G156" i="874" s="1"/>
  <c r="H155" i="874"/>
  <c r="G155" i="874"/>
  <c r="E155" i="874"/>
  <c r="H154" i="874"/>
  <c r="E154" i="874"/>
  <c r="G154" i="874" s="1"/>
  <c r="H153" i="874"/>
  <c r="E153" i="874"/>
  <c r="G153" i="874" s="1"/>
  <c r="H152" i="874"/>
  <c r="G152" i="874"/>
  <c r="E152" i="874"/>
  <c r="H151" i="874"/>
  <c r="G151" i="874"/>
  <c r="E151" i="874"/>
  <c r="H150" i="874"/>
  <c r="E150" i="874"/>
  <c r="G150" i="874" s="1"/>
  <c r="H149" i="874"/>
  <c r="E149" i="874"/>
  <c r="G149" i="874" s="1"/>
  <c r="H148" i="874"/>
  <c r="G148" i="874"/>
  <c r="E148" i="874"/>
  <c r="H147" i="874"/>
  <c r="G147" i="874"/>
  <c r="E147" i="874"/>
  <c r="H146" i="874"/>
  <c r="E146" i="874"/>
  <c r="G146" i="874" s="1"/>
  <c r="H145" i="874"/>
  <c r="E145" i="874"/>
  <c r="G145" i="874" s="1"/>
  <c r="H144" i="874"/>
  <c r="E144" i="874"/>
  <c r="G144" i="874" s="1"/>
  <c r="H143" i="874"/>
  <c r="G143" i="874"/>
  <c r="E143" i="874"/>
  <c r="H142" i="874"/>
  <c r="E142" i="874"/>
  <c r="G142" i="874" s="1"/>
  <c r="H141" i="874"/>
  <c r="E141" i="874"/>
  <c r="G141" i="874" s="1"/>
  <c r="H140" i="874"/>
  <c r="G140" i="874"/>
  <c r="E140" i="874"/>
  <c r="H134" i="874"/>
  <c r="G134" i="874"/>
  <c r="H133" i="874"/>
  <c r="G133" i="874"/>
  <c r="H132" i="874"/>
  <c r="G132" i="874"/>
  <c r="E132" i="874"/>
  <c r="H131" i="874"/>
  <c r="E131" i="874"/>
  <c r="G131" i="874" s="1"/>
  <c r="H130" i="874"/>
  <c r="E130" i="874"/>
  <c r="G130" i="874" s="1"/>
  <c r="H129" i="874"/>
  <c r="G129" i="874"/>
  <c r="E129" i="874"/>
  <c r="H128" i="874"/>
  <c r="G128" i="874"/>
  <c r="E128" i="874"/>
  <c r="H127" i="874"/>
  <c r="E127" i="874"/>
  <c r="G127" i="874" s="1"/>
  <c r="H126" i="874"/>
  <c r="E126" i="874"/>
  <c r="G126" i="874" s="1"/>
  <c r="H125" i="874"/>
  <c r="E125" i="874"/>
  <c r="G125" i="874" s="1"/>
  <c r="H124" i="874"/>
  <c r="G124" i="874"/>
  <c r="E124" i="874"/>
  <c r="H123" i="874"/>
  <c r="E123" i="874"/>
  <c r="G123" i="874" s="1"/>
  <c r="H122" i="874"/>
  <c r="E122" i="874"/>
  <c r="G122" i="874" s="1"/>
  <c r="H121" i="874"/>
  <c r="G121" i="874"/>
  <c r="E121" i="874"/>
  <c r="H120" i="874"/>
  <c r="G120" i="874"/>
  <c r="E120" i="874"/>
  <c r="H119" i="874"/>
  <c r="E119" i="874"/>
  <c r="G119" i="874" s="1"/>
  <c r="H118" i="874"/>
  <c r="E118" i="874"/>
  <c r="G118" i="874" s="1"/>
  <c r="H117" i="874"/>
  <c r="E117" i="874"/>
  <c r="G117" i="874" s="1"/>
  <c r="H116" i="874"/>
  <c r="G116" i="874"/>
  <c r="E116" i="874"/>
  <c r="H115" i="874"/>
  <c r="E115" i="874"/>
  <c r="G115" i="874" s="1"/>
  <c r="H114" i="874"/>
  <c r="E114" i="874"/>
  <c r="G114" i="874" s="1"/>
  <c r="H113" i="874"/>
  <c r="G113" i="874"/>
  <c r="E113" i="874"/>
  <c r="H112" i="874"/>
  <c r="G112" i="874"/>
  <c r="E112" i="874"/>
  <c r="H106" i="874"/>
  <c r="G106" i="874"/>
  <c r="H105" i="874"/>
  <c r="G105" i="874"/>
  <c r="H104" i="874"/>
  <c r="G104" i="874"/>
  <c r="H103" i="874"/>
  <c r="G103" i="874"/>
  <c r="H102" i="874"/>
  <c r="G102" i="874"/>
  <c r="H101" i="874"/>
  <c r="E101" i="874"/>
  <c r="G101" i="874" s="1"/>
  <c r="H100" i="874"/>
  <c r="G100" i="874"/>
  <c r="E100" i="874"/>
  <c r="H99" i="874"/>
  <c r="E99" i="874"/>
  <c r="G99" i="874" s="1"/>
  <c r="H98" i="874"/>
  <c r="E98" i="874"/>
  <c r="G98" i="874" s="1"/>
  <c r="H97" i="874"/>
  <c r="E97" i="874"/>
  <c r="G97" i="874" s="1"/>
  <c r="H96" i="874"/>
  <c r="G96" i="874"/>
  <c r="E96" i="874"/>
  <c r="H95" i="874"/>
  <c r="E95" i="874"/>
  <c r="G95" i="874" s="1"/>
  <c r="H94" i="874"/>
  <c r="E94" i="874"/>
  <c r="G94" i="874" s="1"/>
  <c r="H93" i="874"/>
  <c r="G93" i="874"/>
  <c r="E93" i="874"/>
  <c r="H92" i="874"/>
  <c r="G92" i="874"/>
  <c r="E92" i="874"/>
  <c r="H91" i="874"/>
  <c r="E91" i="874"/>
  <c r="G91" i="874" s="1"/>
  <c r="H90" i="874"/>
  <c r="E90" i="874"/>
  <c r="G90" i="874" s="1"/>
  <c r="H89" i="874"/>
  <c r="E89" i="874"/>
  <c r="G89" i="874" s="1"/>
  <c r="H88" i="874"/>
  <c r="G88" i="874"/>
  <c r="E88" i="874"/>
  <c r="H87" i="874"/>
  <c r="E87" i="874"/>
  <c r="G87" i="874" s="1"/>
  <c r="H86" i="874"/>
  <c r="E86" i="874"/>
  <c r="G86" i="874" s="1"/>
  <c r="H85" i="874"/>
  <c r="G85" i="874"/>
  <c r="E85" i="874"/>
  <c r="H84" i="874"/>
  <c r="G84" i="874"/>
  <c r="E84" i="874"/>
  <c r="H83" i="874"/>
  <c r="E83" i="874"/>
  <c r="G83" i="874" s="1"/>
  <c r="H82" i="874"/>
  <c r="E82" i="874"/>
  <c r="G82" i="874" s="1"/>
  <c r="H81" i="874"/>
  <c r="E81" i="874"/>
  <c r="G81" i="874" s="1"/>
  <c r="H80" i="874"/>
  <c r="G80" i="874"/>
  <c r="E80" i="874"/>
  <c r="H79" i="874"/>
  <c r="E79" i="874"/>
  <c r="G79" i="874" s="1"/>
  <c r="H73" i="874"/>
  <c r="E73" i="874"/>
  <c r="G73" i="874" s="1"/>
  <c r="H72" i="874"/>
  <c r="G72" i="874"/>
  <c r="E72" i="874"/>
  <c r="H71" i="874"/>
  <c r="G71" i="874"/>
  <c r="E71" i="874"/>
  <c r="H70" i="874"/>
  <c r="E70" i="874"/>
  <c r="G70" i="874" s="1"/>
  <c r="H69" i="874"/>
  <c r="E69" i="874"/>
  <c r="G69" i="874" s="1"/>
  <c r="H68" i="874"/>
  <c r="E68" i="874"/>
  <c r="G68" i="874" s="1"/>
  <c r="H67" i="874"/>
  <c r="G67" i="874"/>
  <c r="E67" i="874"/>
  <c r="H66" i="874"/>
  <c r="E66" i="874"/>
  <c r="G66" i="874" s="1"/>
  <c r="H65" i="874"/>
  <c r="E65" i="874"/>
  <c r="G65" i="874" s="1"/>
  <c r="H64" i="874"/>
  <c r="E64" i="874"/>
  <c r="G64" i="874" s="1"/>
  <c r="H63" i="874"/>
  <c r="G63" i="874"/>
  <c r="E63" i="874"/>
  <c r="H62" i="874"/>
  <c r="E62" i="874"/>
  <c r="G62" i="874" s="1"/>
  <c r="H61" i="874"/>
  <c r="E61" i="874"/>
  <c r="G61" i="874" s="1"/>
  <c r="H60" i="874"/>
  <c r="E60" i="874"/>
  <c r="G60" i="874" s="1"/>
  <c r="H59" i="874"/>
  <c r="G59" i="874"/>
  <c r="E59" i="874"/>
  <c r="H58" i="874"/>
  <c r="E58" i="874"/>
  <c r="G58" i="874" s="1"/>
  <c r="H57" i="874"/>
  <c r="E57" i="874"/>
  <c r="G57" i="874" s="1"/>
  <c r="H56" i="874"/>
  <c r="G56" i="874"/>
  <c r="E56" i="874"/>
  <c r="H55" i="874"/>
  <c r="G55" i="874"/>
  <c r="E55" i="874"/>
  <c r="H54" i="874"/>
  <c r="E54" i="874"/>
  <c r="G54" i="874" s="1"/>
  <c r="H53" i="874"/>
  <c r="E53" i="874"/>
  <c r="G53" i="874" s="1"/>
  <c r="H52" i="874"/>
  <c r="E52" i="874"/>
  <c r="G52" i="874" s="1"/>
  <c r="H51" i="874"/>
  <c r="G51" i="874"/>
  <c r="E51" i="874"/>
  <c r="H50" i="874"/>
  <c r="E50" i="874"/>
  <c r="G50" i="874" s="1"/>
  <c r="H49" i="874"/>
  <c r="E49" i="874"/>
  <c r="G49" i="874" s="1"/>
  <c r="H48" i="874"/>
  <c r="E48" i="874"/>
  <c r="G48" i="874" s="1"/>
  <c r="H47" i="874"/>
  <c r="G47" i="874"/>
  <c r="E47" i="874"/>
  <c r="H46" i="874"/>
  <c r="G46" i="874"/>
  <c r="H45" i="874"/>
  <c r="E45" i="874"/>
  <c r="G45" i="874" s="1"/>
  <c r="H39" i="874"/>
  <c r="G39" i="874"/>
  <c r="E39" i="874"/>
  <c r="H38" i="874"/>
  <c r="E38" i="874"/>
  <c r="G38" i="874" s="1"/>
  <c r="H37" i="874"/>
  <c r="E37" i="874"/>
  <c r="G37" i="874" s="1"/>
  <c r="H36" i="874"/>
  <c r="E36" i="874"/>
  <c r="G36" i="874" s="1"/>
  <c r="H35" i="874"/>
  <c r="G35" i="874"/>
  <c r="E35" i="874"/>
  <c r="H34" i="874"/>
  <c r="E34" i="874"/>
  <c r="G34" i="874" s="1"/>
  <c r="H33" i="874"/>
  <c r="E33" i="874"/>
  <c r="G33" i="874" s="1"/>
  <c r="H32" i="874"/>
  <c r="E32" i="874"/>
  <c r="G32" i="874" s="1"/>
  <c r="H31" i="874"/>
  <c r="G31" i="874"/>
  <c r="E31" i="874"/>
  <c r="H30" i="874"/>
  <c r="G30" i="874"/>
  <c r="E30" i="874"/>
  <c r="H29" i="874"/>
  <c r="E29" i="874"/>
  <c r="G29" i="874" s="1"/>
  <c r="H28" i="874"/>
  <c r="E28" i="874"/>
  <c r="G28" i="874" s="1"/>
  <c r="H27" i="874"/>
  <c r="G27" i="874"/>
  <c r="E27" i="874"/>
  <c r="H26" i="874"/>
  <c r="G26" i="874"/>
  <c r="H25" i="874"/>
  <c r="G25" i="874"/>
  <c r="H24" i="874"/>
  <c r="G24" i="874"/>
  <c r="H23" i="874"/>
  <c r="G23" i="874"/>
  <c r="H22" i="874"/>
  <c r="G22" i="874"/>
  <c r="H21" i="874"/>
  <c r="G21" i="874"/>
  <c r="H20" i="874"/>
  <c r="G20" i="874"/>
  <c r="H19" i="874"/>
  <c r="G19" i="874"/>
  <c r="H18" i="874"/>
  <c r="G18" i="874"/>
  <c r="H17" i="874"/>
  <c r="E17" i="874"/>
  <c r="G17" i="874" s="1"/>
  <c r="H16" i="874"/>
  <c r="G16" i="874"/>
  <c r="E16" i="874"/>
  <c r="H15" i="874"/>
  <c r="E15" i="874"/>
  <c r="G15" i="874" s="1"/>
  <c r="H14" i="874"/>
  <c r="E14" i="874"/>
  <c r="G14" i="874" s="1"/>
  <c r="H13" i="874"/>
  <c r="E13" i="874"/>
  <c r="G13" i="874" s="1"/>
  <c r="H12" i="874"/>
  <c r="G12" i="874"/>
  <c r="E12" i="874"/>
  <c r="H11" i="874"/>
  <c r="E11" i="874"/>
  <c r="G11" i="874" s="1"/>
  <c r="E10" i="874"/>
  <c r="H10" i="874" s="1"/>
  <c r="H208" i="873"/>
  <c r="G208" i="873"/>
  <c r="E208" i="873"/>
  <c r="H207" i="873"/>
  <c r="E207" i="873"/>
  <c r="G207" i="873" s="1"/>
  <c r="H206" i="873"/>
  <c r="G206" i="873"/>
  <c r="E206" i="873"/>
  <c r="H205" i="873"/>
  <c r="E205" i="873"/>
  <c r="G205" i="873" s="1"/>
  <c r="H204" i="873"/>
  <c r="E204" i="873"/>
  <c r="G204" i="873" s="1"/>
  <c r="H203" i="873"/>
  <c r="E203" i="873"/>
  <c r="G203" i="873" s="1"/>
  <c r="H202" i="873"/>
  <c r="E202" i="873"/>
  <c r="G202" i="873" s="1"/>
  <c r="H201" i="873"/>
  <c r="E201" i="873"/>
  <c r="G201" i="873" s="1"/>
  <c r="H200" i="873"/>
  <c r="G200" i="873"/>
  <c r="E200" i="873"/>
  <c r="H199" i="873"/>
  <c r="E199" i="873"/>
  <c r="G199" i="873" s="1"/>
  <c r="H198" i="873"/>
  <c r="G198" i="873"/>
  <c r="E198" i="873"/>
  <c r="H197" i="873"/>
  <c r="E197" i="873"/>
  <c r="G197" i="873" s="1"/>
  <c r="H196" i="873"/>
  <c r="E196" i="873"/>
  <c r="G196" i="873" s="1"/>
  <c r="H195" i="873"/>
  <c r="G195" i="873"/>
  <c r="E195" i="873"/>
  <c r="H194" i="873"/>
  <c r="G194" i="873"/>
  <c r="E194" i="873"/>
  <c r="H193" i="873"/>
  <c r="E193" i="873"/>
  <c r="G193" i="873" s="1"/>
  <c r="H192" i="873"/>
  <c r="G192" i="873"/>
  <c r="E192" i="873"/>
  <c r="H191" i="873"/>
  <c r="E191" i="873"/>
  <c r="G191" i="873" s="1"/>
  <c r="H190" i="873"/>
  <c r="G190" i="873"/>
  <c r="H184" i="873"/>
  <c r="G184" i="873"/>
  <c r="E184" i="873"/>
  <c r="H183" i="873"/>
  <c r="E183" i="873"/>
  <c r="G183" i="873" s="1"/>
  <c r="H182" i="873"/>
  <c r="G182" i="873"/>
  <c r="H181" i="873"/>
  <c r="G181" i="873"/>
  <c r="E181" i="873"/>
  <c r="H180" i="873"/>
  <c r="E180" i="873"/>
  <c r="G180" i="873" s="1"/>
  <c r="H179" i="873"/>
  <c r="G179" i="873"/>
  <c r="E179" i="873"/>
  <c r="H178" i="873"/>
  <c r="E178" i="873"/>
  <c r="G178" i="873" s="1"/>
  <c r="H177" i="873"/>
  <c r="E177" i="873"/>
  <c r="G177" i="873" s="1"/>
  <c r="H176" i="873"/>
  <c r="G176" i="873"/>
  <c r="E176" i="873"/>
  <c r="H175" i="873"/>
  <c r="G175" i="873"/>
  <c r="E175" i="873"/>
  <c r="H174" i="873"/>
  <c r="E174" i="873"/>
  <c r="G174" i="873" s="1"/>
  <c r="H173" i="873"/>
  <c r="G173" i="873"/>
  <c r="E173" i="873"/>
  <c r="H172" i="873"/>
  <c r="E172" i="873"/>
  <c r="G172" i="873" s="1"/>
  <c r="H171" i="873"/>
  <c r="G171" i="873"/>
  <c r="E171" i="873"/>
  <c r="H170" i="873"/>
  <c r="E170" i="873"/>
  <c r="G170" i="873" s="1"/>
  <c r="H169" i="873"/>
  <c r="E169" i="873"/>
  <c r="G169" i="873" s="1"/>
  <c r="H168" i="873"/>
  <c r="G168" i="873"/>
  <c r="E168" i="873"/>
  <c r="H167" i="873"/>
  <c r="G167" i="873"/>
  <c r="E167" i="873"/>
  <c r="H166" i="873"/>
  <c r="E166" i="873"/>
  <c r="G166" i="873" s="1"/>
  <c r="H165" i="873"/>
  <c r="G165" i="873"/>
  <c r="E165" i="873"/>
  <c r="H164" i="873"/>
  <c r="E164" i="873"/>
  <c r="G164" i="873" s="1"/>
  <c r="H163" i="873"/>
  <c r="G163" i="873"/>
  <c r="E163" i="873"/>
  <c r="H162" i="873"/>
  <c r="E162" i="873"/>
  <c r="G162" i="873" s="1"/>
  <c r="H161" i="873"/>
  <c r="E161" i="873"/>
  <c r="G161" i="873" s="1"/>
  <c r="H160" i="873"/>
  <c r="G160" i="873"/>
  <c r="E160" i="873"/>
  <c r="H159" i="873"/>
  <c r="E159" i="873"/>
  <c r="G159" i="873" s="1"/>
  <c r="H158" i="873"/>
  <c r="E158" i="873"/>
  <c r="G158" i="873" s="1"/>
  <c r="H157" i="873"/>
  <c r="G157" i="873"/>
  <c r="E157" i="873"/>
  <c r="H156" i="873"/>
  <c r="E156" i="873"/>
  <c r="G156" i="873" s="1"/>
  <c r="H150" i="873"/>
  <c r="G150" i="873"/>
  <c r="E150" i="873"/>
  <c r="H149" i="873"/>
  <c r="E149" i="873"/>
  <c r="G149" i="873" s="1"/>
  <c r="H148" i="873"/>
  <c r="E148" i="873"/>
  <c r="G148" i="873" s="1"/>
  <c r="H147" i="873"/>
  <c r="G147" i="873"/>
  <c r="E147" i="873"/>
  <c r="H146" i="873"/>
  <c r="G146" i="873"/>
  <c r="E146" i="873"/>
  <c r="H145" i="873"/>
  <c r="E145" i="873"/>
  <c r="G145" i="873" s="1"/>
  <c r="H144" i="873"/>
  <c r="G144" i="873"/>
  <c r="E144" i="873"/>
  <c r="H143" i="873"/>
  <c r="E143" i="873"/>
  <c r="G143" i="873" s="1"/>
  <c r="H142" i="873"/>
  <c r="G142" i="873"/>
  <c r="E142" i="873"/>
  <c r="H141" i="873"/>
  <c r="E141" i="873"/>
  <c r="G141" i="873" s="1"/>
  <c r="H140" i="873"/>
  <c r="E140" i="873"/>
  <c r="G140" i="873" s="1"/>
  <c r="H139" i="873"/>
  <c r="E139" i="873"/>
  <c r="G139" i="873" s="1"/>
  <c r="H138" i="873"/>
  <c r="E138" i="873"/>
  <c r="G138" i="873" s="1"/>
  <c r="H137" i="873"/>
  <c r="E137" i="873"/>
  <c r="G137" i="873" s="1"/>
  <c r="H136" i="873"/>
  <c r="G136" i="873"/>
  <c r="E136" i="873"/>
  <c r="H135" i="873"/>
  <c r="E135" i="873"/>
  <c r="G135" i="873" s="1"/>
  <c r="H134" i="873"/>
  <c r="G134" i="873"/>
  <c r="E134" i="873"/>
  <c r="H133" i="873"/>
  <c r="E133" i="873"/>
  <c r="G133" i="873" s="1"/>
  <c r="H132" i="873"/>
  <c r="E132" i="873"/>
  <c r="G132" i="873" s="1"/>
  <c r="H131" i="873"/>
  <c r="E131" i="873"/>
  <c r="G131" i="873" s="1"/>
  <c r="H130" i="873"/>
  <c r="E130" i="873"/>
  <c r="G130" i="873" s="1"/>
  <c r="H129" i="873"/>
  <c r="E129" i="873"/>
  <c r="G129" i="873" s="1"/>
  <c r="H128" i="873"/>
  <c r="G128" i="873"/>
  <c r="E128" i="873"/>
  <c r="H127" i="873"/>
  <c r="E127" i="873"/>
  <c r="G127" i="873" s="1"/>
  <c r="H126" i="873"/>
  <c r="G126" i="873"/>
  <c r="E126" i="873"/>
  <c r="H125" i="873"/>
  <c r="E125" i="873"/>
  <c r="G125" i="873" s="1"/>
  <c r="H124" i="873"/>
  <c r="E124" i="873"/>
  <c r="G124" i="873" s="1"/>
  <c r="H123" i="873"/>
  <c r="E123" i="873"/>
  <c r="G123" i="873" s="1"/>
  <c r="H122" i="873"/>
  <c r="E122" i="873"/>
  <c r="G122" i="873" s="1"/>
  <c r="H121" i="873"/>
  <c r="E121" i="873"/>
  <c r="G121" i="873" s="1"/>
  <c r="H120" i="873"/>
  <c r="G120" i="873"/>
  <c r="H114" i="873"/>
  <c r="E114" i="873"/>
  <c r="G114" i="873" s="1"/>
  <c r="H113" i="873"/>
  <c r="E113" i="873"/>
  <c r="G113" i="873" s="1"/>
  <c r="H112" i="873"/>
  <c r="G112" i="873"/>
  <c r="E112" i="873"/>
  <c r="H111" i="873"/>
  <c r="E111" i="873"/>
  <c r="G111" i="873" s="1"/>
  <c r="H110" i="873"/>
  <c r="G110" i="873"/>
  <c r="E110" i="873"/>
  <c r="H109" i="873"/>
  <c r="E109" i="873"/>
  <c r="G109" i="873" s="1"/>
  <c r="H108" i="873"/>
  <c r="E108" i="873"/>
  <c r="G108" i="873" s="1"/>
  <c r="H107" i="873"/>
  <c r="E107" i="873"/>
  <c r="G107" i="873" s="1"/>
  <c r="H106" i="873"/>
  <c r="G106" i="873"/>
  <c r="E106" i="873"/>
  <c r="H105" i="873"/>
  <c r="E105" i="873"/>
  <c r="G105" i="873" s="1"/>
  <c r="H104" i="873"/>
  <c r="G104" i="873"/>
  <c r="E104" i="873"/>
  <c r="H103" i="873"/>
  <c r="E103" i="873"/>
  <c r="G103" i="873" s="1"/>
  <c r="H102" i="873"/>
  <c r="G102" i="873"/>
  <c r="E102" i="873"/>
  <c r="H101" i="873"/>
  <c r="E101" i="873"/>
  <c r="G101" i="873" s="1"/>
  <c r="H100" i="873"/>
  <c r="E100" i="873"/>
  <c r="G100" i="873" s="1"/>
  <c r="H99" i="873"/>
  <c r="E99" i="873"/>
  <c r="G99" i="873" s="1"/>
  <c r="H98" i="873"/>
  <c r="G98" i="873"/>
  <c r="E98" i="873"/>
  <c r="H97" i="873"/>
  <c r="E97" i="873"/>
  <c r="G97" i="873" s="1"/>
  <c r="H96" i="873"/>
  <c r="G96" i="873"/>
  <c r="E96" i="873"/>
  <c r="H95" i="873"/>
  <c r="E95" i="873"/>
  <c r="G95" i="873" s="1"/>
  <c r="H94" i="873"/>
  <c r="G94" i="873"/>
  <c r="E94" i="873"/>
  <c r="H93" i="873"/>
  <c r="E93" i="873"/>
  <c r="G93" i="873" s="1"/>
  <c r="H92" i="873"/>
  <c r="E92" i="873"/>
  <c r="G92" i="873" s="1"/>
  <c r="H91" i="873"/>
  <c r="E91" i="873"/>
  <c r="G91" i="873" s="1"/>
  <c r="H90" i="873"/>
  <c r="E90" i="873"/>
  <c r="G90" i="873" s="1"/>
  <c r="H89" i="873"/>
  <c r="E89" i="873"/>
  <c r="G89" i="873" s="1"/>
  <c r="H88" i="873"/>
  <c r="G88" i="873"/>
  <c r="E88" i="873"/>
  <c r="H87" i="873"/>
  <c r="E87" i="873"/>
  <c r="G87" i="873" s="1"/>
  <c r="H81" i="873"/>
  <c r="G81" i="873"/>
  <c r="H80" i="873"/>
  <c r="G80" i="873"/>
  <c r="E80" i="873"/>
  <c r="H79" i="873"/>
  <c r="E79" i="873"/>
  <c r="G79" i="873" s="1"/>
  <c r="H78" i="873"/>
  <c r="G78" i="873"/>
  <c r="E78" i="873"/>
  <c r="H77" i="873"/>
  <c r="E77" i="873"/>
  <c r="G77" i="873" s="1"/>
  <c r="H76" i="873"/>
  <c r="E76" i="873"/>
  <c r="G76" i="873" s="1"/>
  <c r="H75" i="873"/>
  <c r="E75" i="873"/>
  <c r="G75" i="873" s="1"/>
  <c r="H74" i="873"/>
  <c r="E74" i="873"/>
  <c r="G74" i="873" s="1"/>
  <c r="H73" i="873"/>
  <c r="E73" i="873"/>
  <c r="G73" i="873" s="1"/>
  <c r="H72" i="873"/>
  <c r="G72" i="873"/>
  <c r="E72" i="873"/>
  <c r="H71" i="873"/>
  <c r="E71" i="873"/>
  <c r="G71" i="873" s="1"/>
  <c r="H70" i="873"/>
  <c r="G70" i="873"/>
  <c r="E70" i="873"/>
  <c r="H69" i="873"/>
  <c r="G69" i="873"/>
  <c r="E69" i="873"/>
  <c r="H68" i="873"/>
  <c r="E68" i="873"/>
  <c r="G68" i="873" s="1"/>
  <c r="H67" i="873"/>
  <c r="E67" i="873"/>
  <c r="G67" i="873" s="1"/>
  <c r="H66" i="873"/>
  <c r="G66" i="873"/>
  <c r="E66" i="873"/>
  <c r="H65" i="873"/>
  <c r="E65" i="873"/>
  <c r="G65" i="873" s="1"/>
  <c r="H64" i="873"/>
  <c r="G64" i="873"/>
  <c r="E64" i="873"/>
  <c r="H63" i="873"/>
  <c r="E63" i="873"/>
  <c r="G63" i="873" s="1"/>
  <c r="H62" i="873"/>
  <c r="G62" i="873"/>
  <c r="E62" i="873"/>
  <c r="H61" i="873"/>
  <c r="E61" i="873"/>
  <c r="G61" i="873" s="1"/>
  <c r="H60" i="873"/>
  <c r="E60" i="873"/>
  <c r="G60" i="873" s="1"/>
  <c r="H59" i="873"/>
  <c r="E59" i="873"/>
  <c r="G59" i="873" s="1"/>
  <c r="H58" i="873"/>
  <c r="E58" i="873"/>
  <c r="G58" i="873" s="1"/>
  <c r="H57" i="873"/>
  <c r="E57" i="873"/>
  <c r="G57" i="873" s="1"/>
  <c r="H56" i="873"/>
  <c r="G56" i="873"/>
  <c r="E56" i="873"/>
  <c r="H55" i="873"/>
  <c r="E55" i="873"/>
  <c r="G55" i="873" s="1"/>
  <c r="H54" i="873"/>
  <c r="G54" i="873"/>
  <c r="E54" i="873"/>
  <c r="H53" i="873"/>
  <c r="E53" i="873"/>
  <c r="G53" i="873" s="1"/>
  <c r="H52" i="873"/>
  <c r="E52" i="873"/>
  <c r="G52" i="873" s="1"/>
  <c r="H51" i="873"/>
  <c r="E51" i="873"/>
  <c r="G51" i="873" s="1"/>
  <c r="H50" i="873"/>
  <c r="E50" i="873"/>
  <c r="G50" i="873" s="1"/>
  <c r="H49" i="873"/>
  <c r="E49" i="873"/>
  <c r="G49" i="873" s="1"/>
  <c r="H48" i="873"/>
  <c r="G48" i="873"/>
  <c r="E48" i="873"/>
  <c r="H47" i="873"/>
  <c r="E47" i="873"/>
  <c r="G47" i="873" s="1"/>
  <c r="H46" i="873"/>
  <c r="G46" i="873"/>
  <c r="E46" i="873"/>
  <c r="H45" i="873"/>
  <c r="E45" i="873"/>
  <c r="G45" i="873" s="1"/>
  <c r="H39" i="873"/>
  <c r="G39" i="873"/>
  <c r="H38" i="873"/>
  <c r="G38" i="873"/>
  <c r="E38" i="873"/>
  <c r="H37" i="873"/>
  <c r="E37" i="873"/>
  <c r="G37" i="873" s="1"/>
  <c r="H36" i="873"/>
  <c r="E36" i="873"/>
  <c r="G36" i="873" s="1"/>
  <c r="H35" i="873"/>
  <c r="E35" i="873"/>
  <c r="G35" i="873" s="1"/>
  <c r="H34" i="873"/>
  <c r="E34" i="873"/>
  <c r="G34" i="873" s="1"/>
  <c r="H33" i="873"/>
  <c r="E33" i="873"/>
  <c r="G33" i="873" s="1"/>
  <c r="H32" i="873"/>
  <c r="G32" i="873"/>
  <c r="E32" i="873"/>
  <c r="H31" i="873"/>
  <c r="E31" i="873"/>
  <c r="G31" i="873" s="1"/>
  <c r="H30" i="873"/>
  <c r="G30" i="873"/>
  <c r="E30" i="873"/>
  <c r="H29" i="873"/>
  <c r="E29" i="873"/>
  <c r="G29" i="873" s="1"/>
  <c r="H28" i="873"/>
  <c r="E28" i="873"/>
  <c r="G28" i="873" s="1"/>
  <c r="H27" i="873"/>
  <c r="E27" i="873"/>
  <c r="G27" i="873" s="1"/>
  <c r="H26" i="873"/>
  <c r="E26" i="873"/>
  <c r="G26" i="873" s="1"/>
  <c r="H25" i="873"/>
  <c r="E25" i="873"/>
  <c r="G25" i="873" s="1"/>
  <c r="H24" i="873"/>
  <c r="G24" i="873"/>
  <c r="E24" i="873"/>
  <c r="H23" i="873"/>
  <c r="E23" i="873"/>
  <c r="G23" i="873" s="1"/>
  <c r="H22" i="873"/>
  <c r="G22" i="873"/>
  <c r="E22" i="873"/>
  <c r="H21" i="873"/>
  <c r="E21" i="873"/>
  <c r="G21" i="873" s="1"/>
  <c r="H20" i="873"/>
  <c r="E20" i="873"/>
  <c r="G20" i="873" s="1"/>
  <c r="H19" i="873"/>
  <c r="E19" i="873"/>
  <c r="G19" i="873" s="1"/>
  <c r="H18" i="873"/>
  <c r="G18" i="873"/>
  <c r="E18" i="873"/>
  <c r="H17" i="873"/>
  <c r="E17" i="873"/>
  <c r="G17" i="873" s="1"/>
  <c r="H16" i="873"/>
  <c r="G16" i="873"/>
  <c r="E16" i="873"/>
  <c r="H15" i="873"/>
  <c r="E15" i="873"/>
  <c r="G15" i="873" s="1"/>
  <c r="H14" i="873"/>
  <c r="G14" i="873"/>
  <c r="E14" i="873"/>
  <c r="H13" i="873"/>
  <c r="E13" i="873"/>
  <c r="G13" i="873" s="1"/>
  <c r="H12" i="873"/>
  <c r="E12" i="873"/>
  <c r="G12" i="873" s="1"/>
  <c r="H11" i="873"/>
  <c r="E11" i="873"/>
  <c r="G11" i="873" s="1"/>
  <c r="H10" i="873"/>
  <c r="G10" i="873"/>
  <c r="E10" i="873"/>
  <c r="H228" i="872"/>
  <c r="E228" i="872"/>
  <c r="G228" i="872" s="1"/>
  <c r="H227" i="872"/>
  <c r="E227" i="872"/>
  <c r="G227" i="872" s="1"/>
  <c r="H226" i="872"/>
  <c r="E226" i="872"/>
  <c r="G226" i="872" s="1"/>
  <c r="H225" i="872"/>
  <c r="E225" i="872"/>
  <c r="G225" i="872" s="1"/>
  <c r="H224" i="872"/>
  <c r="E224" i="872"/>
  <c r="G224" i="872" s="1"/>
  <c r="H223" i="872"/>
  <c r="E223" i="872"/>
  <c r="G223" i="872" s="1"/>
  <c r="H222" i="872"/>
  <c r="E222" i="872"/>
  <c r="G222" i="872" s="1"/>
  <c r="H221" i="872"/>
  <c r="E221" i="872"/>
  <c r="G221" i="872" s="1"/>
  <c r="H220" i="872"/>
  <c r="G220" i="872"/>
  <c r="E220" i="872"/>
  <c r="H219" i="872"/>
  <c r="G219" i="872"/>
  <c r="E219" i="872"/>
  <c r="H218" i="872"/>
  <c r="G218" i="872"/>
  <c r="E218" i="872"/>
  <c r="H217" i="872"/>
  <c r="E217" i="872"/>
  <c r="G217" i="872" s="1"/>
  <c r="H216" i="872"/>
  <c r="G216" i="872"/>
  <c r="E216" i="872"/>
  <c r="H215" i="872"/>
  <c r="G215" i="872"/>
  <c r="H214" i="872"/>
  <c r="G214" i="872"/>
  <c r="H213" i="872"/>
  <c r="G213" i="872"/>
  <c r="H212" i="872"/>
  <c r="G212" i="872"/>
  <c r="H211" i="872"/>
  <c r="G211" i="872"/>
  <c r="H210" i="872"/>
  <c r="G210" i="872"/>
  <c r="H209" i="872"/>
  <c r="G209" i="872"/>
  <c r="H208" i="872"/>
  <c r="E208" i="872"/>
  <c r="G208" i="872" s="1"/>
  <c r="H207" i="872"/>
  <c r="G207" i="872"/>
  <c r="E207" i="872"/>
  <c r="H206" i="872"/>
  <c r="G206" i="872"/>
  <c r="E206" i="872"/>
  <c r="H205" i="872"/>
  <c r="G205" i="872"/>
  <c r="E205" i="872"/>
  <c r="H204" i="872"/>
  <c r="E204" i="872"/>
  <c r="G204" i="872" s="1"/>
  <c r="H203" i="872"/>
  <c r="G203" i="872"/>
  <c r="E203" i="872"/>
  <c r="H202" i="872"/>
  <c r="E202" i="872"/>
  <c r="G202" i="872" s="1"/>
  <c r="H201" i="872"/>
  <c r="E201" i="872"/>
  <c r="G201" i="872" s="1"/>
  <c r="H200" i="872"/>
  <c r="E200" i="872"/>
  <c r="G200" i="872" s="1"/>
  <c r="H199" i="872"/>
  <c r="E199" i="872"/>
  <c r="G199" i="872" s="1"/>
  <c r="H198" i="872"/>
  <c r="G198" i="872"/>
  <c r="H192" i="872"/>
  <c r="G192" i="872"/>
  <c r="H191" i="872"/>
  <c r="G191" i="872"/>
  <c r="H190" i="872"/>
  <c r="E190" i="872"/>
  <c r="G190" i="872" s="1"/>
  <c r="H189" i="872"/>
  <c r="G189" i="872"/>
  <c r="E189" i="872"/>
  <c r="H188" i="872"/>
  <c r="E188" i="872"/>
  <c r="G188" i="872" s="1"/>
  <c r="H187" i="872"/>
  <c r="E187" i="872"/>
  <c r="G187" i="872" s="1"/>
  <c r="H186" i="872"/>
  <c r="G186" i="872"/>
  <c r="E186" i="872"/>
  <c r="H185" i="872"/>
  <c r="E185" i="872"/>
  <c r="G185" i="872" s="1"/>
  <c r="H184" i="872"/>
  <c r="G184" i="872"/>
  <c r="E184" i="872"/>
  <c r="H183" i="872"/>
  <c r="E183" i="872"/>
  <c r="G183" i="872" s="1"/>
  <c r="H182" i="872"/>
  <c r="E182" i="872"/>
  <c r="G182" i="872" s="1"/>
  <c r="H181" i="872"/>
  <c r="G181" i="872"/>
  <c r="E181" i="872"/>
  <c r="H180" i="872"/>
  <c r="E180" i="872"/>
  <c r="G180" i="872" s="1"/>
  <c r="H179" i="872"/>
  <c r="E179" i="872"/>
  <c r="G179" i="872" s="1"/>
  <c r="H178" i="872"/>
  <c r="E178" i="872"/>
  <c r="G178" i="872" s="1"/>
  <c r="H177" i="872"/>
  <c r="E177" i="872"/>
  <c r="G177" i="872" s="1"/>
  <c r="H176" i="872"/>
  <c r="G176" i="872"/>
  <c r="E176" i="872"/>
  <c r="H175" i="872"/>
  <c r="E175" i="872"/>
  <c r="G175" i="872" s="1"/>
  <c r="H174" i="872"/>
  <c r="E174" i="872"/>
  <c r="G174" i="872" s="1"/>
  <c r="H173" i="872"/>
  <c r="G173" i="872"/>
  <c r="E173" i="872"/>
  <c r="H172" i="872"/>
  <c r="E172" i="872"/>
  <c r="G172" i="872" s="1"/>
  <c r="H171" i="872"/>
  <c r="E171" i="872"/>
  <c r="G171" i="872" s="1"/>
  <c r="H170" i="872"/>
  <c r="E170" i="872"/>
  <c r="G170" i="872" s="1"/>
  <c r="H169" i="872"/>
  <c r="E169" i="872"/>
  <c r="G169" i="872" s="1"/>
  <c r="H168" i="872"/>
  <c r="G168" i="872"/>
  <c r="E168" i="872"/>
  <c r="H167" i="872"/>
  <c r="E167" i="872"/>
  <c r="G167" i="872" s="1"/>
  <c r="H166" i="872"/>
  <c r="E166" i="872"/>
  <c r="G166" i="872" s="1"/>
  <c r="H165" i="872"/>
  <c r="G165" i="872"/>
  <c r="E165" i="872"/>
  <c r="H159" i="872"/>
  <c r="G159" i="872"/>
  <c r="H158" i="872"/>
  <c r="E158" i="872"/>
  <c r="G158" i="872" s="1"/>
  <c r="H157" i="872"/>
  <c r="G157" i="872"/>
  <c r="E157" i="872"/>
  <c r="H156" i="872"/>
  <c r="E156" i="872"/>
  <c r="G156" i="872" s="1"/>
  <c r="H155" i="872"/>
  <c r="E155" i="872"/>
  <c r="G155" i="872" s="1"/>
  <c r="H154" i="872"/>
  <c r="E154" i="872"/>
  <c r="G154" i="872" s="1"/>
  <c r="H153" i="872"/>
  <c r="E153" i="872"/>
  <c r="G153" i="872" s="1"/>
  <c r="H152" i="872"/>
  <c r="G152" i="872"/>
  <c r="E152" i="872"/>
  <c r="H151" i="872"/>
  <c r="E151" i="872"/>
  <c r="G151" i="872" s="1"/>
  <c r="H150" i="872"/>
  <c r="E150" i="872"/>
  <c r="G150" i="872" s="1"/>
  <c r="H149" i="872"/>
  <c r="G149" i="872"/>
  <c r="E149" i="872"/>
  <c r="H148" i="872"/>
  <c r="E148" i="872"/>
  <c r="G148" i="872" s="1"/>
  <c r="H147" i="872"/>
  <c r="E147" i="872"/>
  <c r="G147" i="872" s="1"/>
  <c r="H146" i="872"/>
  <c r="E146" i="872"/>
  <c r="G146" i="872" s="1"/>
  <c r="H145" i="872"/>
  <c r="E145" i="872"/>
  <c r="G145" i="872" s="1"/>
  <c r="H144" i="872"/>
  <c r="G144" i="872"/>
  <c r="E144" i="872"/>
  <c r="H143" i="872"/>
  <c r="E143" i="872"/>
  <c r="G143" i="872" s="1"/>
  <c r="H142" i="872"/>
  <c r="E142" i="872"/>
  <c r="G142" i="872" s="1"/>
  <c r="H141" i="872"/>
  <c r="G141" i="872"/>
  <c r="E141" i="872"/>
  <c r="H140" i="872"/>
  <c r="E140" i="872"/>
  <c r="G140" i="872" s="1"/>
  <c r="H139" i="872"/>
  <c r="E139" i="872"/>
  <c r="G139" i="872" s="1"/>
  <c r="H138" i="872"/>
  <c r="E138" i="872"/>
  <c r="G138" i="872" s="1"/>
  <c r="H137" i="872"/>
  <c r="E137" i="872"/>
  <c r="G137" i="872" s="1"/>
  <c r="H136" i="872"/>
  <c r="G136" i="872"/>
  <c r="E136" i="872"/>
  <c r="H135" i="872"/>
  <c r="E135" i="872"/>
  <c r="G135" i="872" s="1"/>
  <c r="H134" i="872"/>
  <c r="E134" i="872"/>
  <c r="G134" i="872" s="1"/>
  <c r="H133" i="872"/>
  <c r="G133" i="872"/>
  <c r="E133" i="872"/>
  <c r="H132" i="872"/>
  <c r="E132" i="872"/>
  <c r="G132" i="872" s="1"/>
  <c r="H131" i="872"/>
  <c r="E131" i="872"/>
  <c r="G131" i="872" s="1"/>
  <c r="H130" i="872"/>
  <c r="E130" i="872"/>
  <c r="G130" i="872" s="1"/>
  <c r="H129" i="872"/>
  <c r="E129" i="872"/>
  <c r="G129" i="872" s="1"/>
  <c r="H128" i="872"/>
  <c r="G128" i="872"/>
  <c r="E128" i="872"/>
  <c r="H122" i="872"/>
  <c r="E122" i="872"/>
  <c r="G122" i="872" s="1"/>
  <c r="H121" i="872"/>
  <c r="E121" i="872"/>
  <c r="G121" i="872" s="1"/>
  <c r="H120" i="872"/>
  <c r="G120" i="872"/>
  <c r="E120" i="872"/>
  <c r="H119" i="872"/>
  <c r="E119" i="872"/>
  <c r="G119" i="872" s="1"/>
  <c r="H118" i="872"/>
  <c r="E118" i="872"/>
  <c r="G118" i="872" s="1"/>
  <c r="H117" i="872"/>
  <c r="E117" i="872"/>
  <c r="G117" i="872" s="1"/>
  <c r="H116" i="872"/>
  <c r="E116" i="872"/>
  <c r="G116" i="872" s="1"/>
  <c r="H115" i="872"/>
  <c r="G115" i="872"/>
  <c r="E115" i="872"/>
  <c r="H114" i="872"/>
  <c r="E114" i="872"/>
  <c r="G114" i="872" s="1"/>
  <c r="H113" i="872"/>
  <c r="E113" i="872"/>
  <c r="G113" i="872" s="1"/>
  <c r="H112" i="872"/>
  <c r="G112" i="872"/>
  <c r="E112" i="872"/>
  <c r="H111" i="872"/>
  <c r="E111" i="872"/>
  <c r="G111" i="872" s="1"/>
  <c r="H110" i="872"/>
  <c r="E110" i="872"/>
  <c r="G110" i="872" s="1"/>
  <c r="H109" i="872"/>
  <c r="E109" i="872"/>
  <c r="G109" i="872" s="1"/>
  <c r="H108" i="872"/>
  <c r="E108" i="872"/>
  <c r="G108" i="872" s="1"/>
  <c r="H107" i="872"/>
  <c r="G107" i="872"/>
  <c r="E107" i="872"/>
  <c r="H106" i="872"/>
  <c r="E106" i="872"/>
  <c r="G106" i="872" s="1"/>
  <c r="H105" i="872"/>
  <c r="E105" i="872"/>
  <c r="G105" i="872" s="1"/>
  <c r="H104" i="872"/>
  <c r="G104" i="872"/>
  <c r="E104" i="872"/>
  <c r="H103" i="872"/>
  <c r="E103" i="872"/>
  <c r="G103" i="872" s="1"/>
  <c r="H102" i="872"/>
  <c r="E102" i="872"/>
  <c r="G102" i="872" s="1"/>
  <c r="H101" i="872"/>
  <c r="E101" i="872"/>
  <c r="G101" i="872" s="1"/>
  <c r="H100" i="872"/>
  <c r="E100" i="872"/>
  <c r="G100" i="872" s="1"/>
  <c r="H99" i="872"/>
  <c r="G99" i="872"/>
  <c r="E99" i="872"/>
  <c r="H98" i="872"/>
  <c r="E98" i="872"/>
  <c r="G98" i="872" s="1"/>
  <c r="H97" i="872"/>
  <c r="E97" i="872"/>
  <c r="G97" i="872" s="1"/>
  <c r="H96" i="872"/>
  <c r="G96" i="872"/>
  <c r="E96" i="872"/>
  <c r="H95" i="872"/>
  <c r="E95" i="872"/>
  <c r="G95" i="872" s="1"/>
  <c r="H94" i="872"/>
  <c r="E94" i="872"/>
  <c r="G94" i="872" s="1"/>
  <c r="H93" i="872"/>
  <c r="E93" i="872"/>
  <c r="G93" i="872" s="1"/>
  <c r="H92" i="872"/>
  <c r="E92" i="872"/>
  <c r="G92" i="872" s="1"/>
  <c r="H91" i="872"/>
  <c r="G91" i="872"/>
  <c r="E91" i="872"/>
  <c r="H90" i="872"/>
  <c r="E90" i="872"/>
  <c r="G90" i="872" s="1"/>
  <c r="H84" i="872"/>
  <c r="E84" i="872"/>
  <c r="G84" i="872" s="1"/>
  <c r="H83" i="872"/>
  <c r="G83" i="872"/>
  <c r="E83" i="872"/>
  <c r="H82" i="872"/>
  <c r="E82" i="872"/>
  <c r="G82" i="872" s="1"/>
  <c r="H81" i="872"/>
  <c r="E81" i="872"/>
  <c r="G81" i="872" s="1"/>
  <c r="H80" i="872"/>
  <c r="E80" i="872"/>
  <c r="G80" i="872" s="1"/>
  <c r="H79" i="872"/>
  <c r="E79" i="872"/>
  <c r="G79" i="872" s="1"/>
  <c r="H78" i="872"/>
  <c r="G78" i="872"/>
  <c r="E78" i="872"/>
  <c r="H77" i="872"/>
  <c r="E77" i="872"/>
  <c r="G77" i="872" s="1"/>
  <c r="H76" i="872"/>
  <c r="E76" i="872"/>
  <c r="G76" i="872" s="1"/>
  <c r="H75" i="872"/>
  <c r="G75" i="872"/>
  <c r="E75" i="872"/>
  <c r="H74" i="872"/>
  <c r="E74" i="872"/>
  <c r="G74" i="872" s="1"/>
  <c r="H73" i="872"/>
  <c r="E73" i="872"/>
  <c r="G73" i="872" s="1"/>
  <c r="H72" i="872"/>
  <c r="E72" i="872"/>
  <c r="G72" i="872" s="1"/>
  <c r="H71" i="872"/>
  <c r="E71" i="872"/>
  <c r="G71" i="872" s="1"/>
  <c r="H70" i="872"/>
  <c r="G70" i="872"/>
  <c r="E70" i="872"/>
  <c r="H69" i="872"/>
  <c r="E69" i="872"/>
  <c r="G69" i="872" s="1"/>
  <c r="H68" i="872"/>
  <c r="E68" i="872"/>
  <c r="G68" i="872" s="1"/>
  <c r="H67" i="872"/>
  <c r="G67" i="872"/>
  <c r="E67" i="872"/>
  <c r="H66" i="872"/>
  <c r="E66" i="872"/>
  <c r="G66" i="872" s="1"/>
  <c r="H65" i="872"/>
  <c r="E65" i="872"/>
  <c r="G65" i="872" s="1"/>
  <c r="H64" i="872"/>
  <c r="E64" i="872"/>
  <c r="G64" i="872" s="1"/>
  <c r="H63" i="872"/>
  <c r="E63" i="872"/>
  <c r="G63" i="872" s="1"/>
  <c r="H62" i="872"/>
  <c r="G62" i="872"/>
  <c r="E62" i="872"/>
  <c r="H61" i="872"/>
  <c r="E61" i="872"/>
  <c r="G61" i="872" s="1"/>
  <c r="H60" i="872"/>
  <c r="E60" i="872"/>
  <c r="G60" i="872" s="1"/>
  <c r="H59" i="872"/>
  <c r="G59" i="872"/>
  <c r="E59" i="872"/>
  <c r="H58" i="872"/>
  <c r="E58" i="872"/>
  <c r="G58" i="872" s="1"/>
  <c r="H57" i="872"/>
  <c r="E57" i="872"/>
  <c r="G57" i="872" s="1"/>
  <c r="H56" i="872"/>
  <c r="E56" i="872"/>
  <c r="G56" i="872" s="1"/>
  <c r="H55" i="872"/>
  <c r="E55" i="872"/>
  <c r="G55" i="872" s="1"/>
  <c r="H54" i="872"/>
  <c r="G54" i="872"/>
  <c r="E54" i="872"/>
  <c r="H53" i="872"/>
  <c r="E53" i="872"/>
  <c r="G53" i="872" s="1"/>
  <c r="H52" i="872"/>
  <c r="E52" i="872"/>
  <c r="G52" i="872" s="1"/>
  <c r="H51" i="872"/>
  <c r="G51" i="872"/>
  <c r="E51" i="872"/>
  <c r="H50" i="872"/>
  <c r="E50" i="872"/>
  <c r="G50" i="872" s="1"/>
  <c r="H49" i="872"/>
  <c r="E49" i="872"/>
  <c r="G49" i="872" s="1"/>
  <c r="H48" i="872"/>
  <c r="G48" i="872"/>
  <c r="H47" i="872"/>
  <c r="E47" i="872"/>
  <c r="G47" i="872" s="1"/>
  <c r="H46" i="872"/>
  <c r="E46" i="872"/>
  <c r="G46" i="872" s="1"/>
  <c r="H40" i="872"/>
  <c r="E40" i="872"/>
  <c r="G40" i="872" s="1"/>
  <c r="H39" i="872"/>
  <c r="E39" i="872"/>
  <c r="G39" i="872" s="1"/>
  <c r="H38" i="872"/>
  <c r="G38" i="872"/>
  <c r="E38" i="872"/>
  <c r="H37" i="872"/>
  <c r="E37" i="872"/>
  <c r="G37" i="872" s="1"/>
  <c r="H36" i="872"/>
  <c r="E36" i="872"/>
  <c r="G36" i="872" s="1"/>
  <c r="H35" i="872"/>
  <c r="G35" i="872"/>
  <c r="E35" i="872"/>
  <c r="H34" i="872"/>
  <c r="E34" i="872"/>
  <c r="G34" i="872" s="1"/>
  <c r="H33" i="872"/>
  <c r="E33" i="872"/>
  <c r="G33" i="872" s="1"/>
  <c r="H32" i="872"/>
  <c r="E32" i="872"/>
  <c r="G32" i="872" s="1"/>
  <c r="H31" i="872"/>
  <c r="E31" i="872"/>
  <c r="G31" i="872" s="1"/>
  <c r="H30" i="872"/>
  <c r="G30" i="872"/>
  <c r="E30" i="872"/>
  <c r="H29" i="872"/>
  <c r="E29" i="872"/>
  <c r="G29" i="872" s="1"/>
  <c r="H28" i="872"/>
  <c r="E28" i="872"/>
  <c r="G28" i="872" s="1"/>
  <c r="H27" i="872"/>
  <c r="G27" i="872"/>
  <c r="E27" i="872"/>
  <c r="H26" i="872"/>
  <c r="E26" i="872"/>
  <c r="G26" i="872" s="1"/>
  <c r="H25" i="872"/>
  <c r="E25" i="872"/>
  <c r="G25" i="872" s="1"/>
  <c r="H24" i="872"/>
  <c r="E24" i="872"/>
  <c r="G24" i="872" s="1"/>
  <c r="H23" i="872"/>
  <c r="E23" i="872"/>
  <c r="G23" i="872" s="1"/>
  <c r="H22" i="872"/>
  <c r="G22" i="872"/>
  <c r="E22" i="872"/>
  <c r="H21" i="872"/>
  <c r="E21" i="872"/>
  <c r="G21" i="872" s="1"/>
  <c r="H20" i="872"/>
  <c r="E20" i="872"/>
  <c r="G20" i="872" s="1"/>
  <c r="H19" i="872"/>
  <c r="G19" i="872"/>
  <c r="E19" i="872"/>
  <c r="H18" i="872"/>
  <c r="E18" i="872"/>
  <c r="G18" i="872" s="1"/>
  <c r="H17" i="872"/>
  <c r="E17" i="872"/>
  <c r="G17" i="872" s="1"/>
  <c r="H16" i="872"/>
  <c r="E16" i="872"/>
  <c r="G16" i="872" s="1"/>
  <c r="H15" i="872"/>
  <c r="E15" i="872"/>
  <c r="G15" i="872" s="1"/>
  <c r="H14" i="872"/>
  <c r="G14" i="872"/>
  <c r="E14" i="872"/>
  <c r="H13" i="872"/>
  <c r="E13" i="872"/>
  <c r="G13" i="872" s="1"/>
  <c r="H12" i="872"/>
  <c r="E12" i="872"/>
  <c r="G12" i="872" s="1"/>
  <c r="H11" i="872"/>
  <c r="G11" i="872"/>
  <c r="H10" i="872"/>
  <c r="E10" i="872"/>
  <c r="G10" i="872" s="1"/>
  <c r="G10" i="876" l="1"/>
  <c r="G87" i="876"/>
  <c r="G10" i="874"/>
</calcChain>
</file>

<file path=xl/sharedStrings.xml><?xml version="1.0" encoding="utf-8"?>
<sst xmlns="http://schemas.openxmlformats.org/spreadsheetml/2006/main" count="1568" uniqueCount="493">
  <si>
    <t>원아수</t>
  </si>
  <si>
    <t>1~2세</t>
  </si>
  <si>
    <t>3~5세</t>
  </si>
  <si>
    <t>구분</t>
  </si>
  <si>
    <t>메뉴명</t>
  </si>
  <si>
    <t>식재료명</t>
  </si>
  <si>
    <t>1인 제공량(g)</t>
  </si>
  <si>
    <t>총 발주량</t>
  </si>
  <si>
    <t>만드는방법</t>
  </si>
  <si>
    <t>오전간식</t>
  </si>
  <si>
    <t>점심</t>
  </si>
  <si>
    <t>오후간식</t>
  </si>
  <si>
    <t>점심</t>
    <phoneticPr fontId="2" type="noConversion"/>
  </si>
  <si>
    <t>깨</t>
  </si>
  <si>
    <t>참기름</t>
  </si>
  <si>
    <t>소금</t>
  </si>
  <si>
    <t>마늘</t>
  </si>
  <si>
    <t>물엿</t>
  </si>
  <si>
    <t>간장</t>
  </si>
  <si>
    <t>콩기름</t>
  </si>
  <si>
    <t>설탕</t>
  </si>
  <si>
    <t>당근</t>
  </si>
  <si>
    <t>양파</t>
  </si>
  <si>
    <t>양배추</t>
  </si>
  <si>
    <t>파</t>
  </si>
  <si>
    <t>무</t>
  </si>
  <si>
    <t>쑥갓</t>
  </si>
  <si>
    <t>멸치</t>
  </si>
  <si>
    <t>다시마</t>
  </si>
  <si>
    <t>밀가루</t>
  </si>
  <si>
    <t>전분</t>
  </si>
  <si>
    <t>두부</t>
  </si>
  <si>
    <t>시금치</t>
  </si>
  <si>
    <t>우유</t>
  </si>
  <si>
    <t>식초</t>
  </si>
  <si>
    <t>사과</t>
  </si>
  <si>
    <t>후추</t>
  </si>
  <si>
    <t>빵가루</t>
  </si>
  <si>
    <t>돼지고기</t>
  </si>
  <si>
    <t>느타리버섯</t>
  </si>
  <si>
    <t>쌀밥½</t>
  </si>
  <si>
    <t>배추김치</t>
  </si>
  <si>
    <t>훈제오리</t>
  </si>
  <si>
    <t>백미</t>
  </si>
  <si>
    <t>숙주</t>
  </si>
  <si>
    <t>호상요구르트</t>
  </si>
  <si>
    <t>오이</t>
  </si>
  <si>
    <t>감자</t>
  </si>
  <si>
    <t>쇠고기</t>
  </si>
  <si>
    <t>콩나물</t>
  </si>
  <si>
    <t>올리고당</t>
  </si>
  <si>
    <t>케첩</t>
  </si>
  <si>
    <t>메추리알</t>
  </si>
  <si>
    <t>미소된장</t>
  </si>
  <si>
    <t>유부</t>
  </si>
  <si>
    <t>파래김</t>
  </si>
  <si>
    <t>삼치</t>
  </si>
  <si>
    <t>차조</t>
  </si>
  <si>
    <t>차조밥</t>
  </si>
  <si>
    <t>애호박</t>
  </si>
  <si>
    <t>단호박</t>
  </si>
  <si>
    <t>돈까스소스</t>
  </si>
  <si>
    <t>실파</t>
  </si>
  <si>
    <t>잔멸치</t>
  </si>
  <si>
    <t>국간장</t>
  </si>
  <si>
    <t>건미역</t>
  </si>
  <si>
    <t>고사리</t>
  </si>
  <si>
    <t>숙주나물</t>
  </si>
  <si>
    <t>다진마늘</t>
  </si>
  <si>
    <t>김가루</t>
  </si>
  <si>
    <t>고등어</t>
  </si>
  <si>
    <t>된장</t>
  </si>
  <si>
    <t>식빵</t>
  </si>
  <si>
    <t>피망</t>
  </si>
  <si>
    <t>청경채</t>
  </si>
  <si>
    <t>씨리얼</t>
  </si>
  <si>
    <t>양상추</t>
  </si>
  <si>
    <t>밤</t>
  </si>
  <si>
    <t>들깨가루</t>
  </si>
  <si>
    <t>고구마</t>
  </si>
  <si>
    <t>배추</t>
  </si>
  <si>
    <t>굴소스</t>
  </si>
  <si>
    <t>수수</t>
  </si>
  <si>
    <t>스파게티면</t>
  </si>
  <si>
    <t>양송이버섯</t>
  </si>
  <si>
    <t>토마토</t>
  </si>
  <si>
    <t>달걀</t>
  </si>
  <si>
    <t>우동면</t>
  </si>
  <si>
    <t>모닝빵</t>
  </si>
  <si>
    <t>물만두</t>
  </si>
  <si>
    <t>닭살</t>
  </si>
  <si>
    <t>들기름</t>
  </si>
  <si>
    <t>동태살</t>
  </si>
  <si>
    <t>카레가루</t>
  </si>
  <si>
    <t>칼국수면</t>
  </si>
  <si>
    <t>적채</t>
  </si>
  <si>
    <t>가쓰오부시</t>
  </si>
  <si>
    <t>올리브유</t>
  </si>
  <si>
    <t>&lt;조리지시서&gt;</t>
    <phoneticPr fontId="2" type="noConversion"/>
  </si>
  <si>
    <t>① 누룽지에 물을 부어 끓인다.</t>
  </si>
  <si>
    <t>핫도그</t>
  </si>
  <si>
    <t>① 쌀과 수수를 씻은 후, 물에 불린다.
② 적당량의 물을 부어 밥을 짓는다.</t>
  </si>
  <si>
    <t>① 쌀과 흑미를 씻은 후, 물에 불린다.
② 적당량의 물을 부어 밥을 짓는다.</t>
  </si>
  <si>
    <t>① 쌀을 씻어 물에 불린 후, 적당량의 물을 부어 밥을 짓는다.</t>
  </si>
  <si>
    <t>① 케이크는 한입 크기로 잘라 제공한다.</t>
  </si>
  <si>
    <t>① 사과는 껍질을 벗기고 한입 크기로 잘라 제공한다.</t>
  </si>
  <si>
    <t>① 바나나는 껍질을 벗기고 한입 크기로 잘라 제공한다.</t>
  </si>
  <si>
    <t>① 쌀과 차조를 씻은 후, 물에 불린다.
② 적당량의 물을 부어 밥을 짓는다.</t>
  </si>
  <si>
    <t>배추김치⑨</t>
  </si>
  <si>
    <t xml:space="preserve"> → 이곳에 급식인원을 입력해주세요. 레시피에 자동으로 발주량이 계산됩니다. </t>
    <phoneticPr fontId="2" type="noConversion"/>
  </si>
  <si>
    <t>검정깨</t>
  </si>
  <si>
    <t>도넛</t>
  </si>
  <si>
    <t>① 도넛은 한입 크기로 잘라 제공한다.</t>
  </si>
  <si>
    <t>① 깍두기는 1x1cm 이하 크기로 작게 잘라 제공한다.</t>
  </si>
  <si>
    <t>① 멸치와 다시마로 육수를 낸 후, 미소된장을 풀어 끓인다.
② 실파는 송송 썬다.
③ '①'에 '②', 다진 마늘을 넣고 끓인다.</t>
  </si>
  <si>
    <t>① 배추김치는 1x1cm 이하 크기로 작게 잘라 제공한다.</t>
  </si>
  <si>
    <t>2025년 12월 1일 (월)</t>
  </si>
  <si>
    <t>당근스틱</t>
    <phoneticPr fontId="2" type="noConversion"/>
  </si>
  <si>
    <t>당근</t>
    <phoneticPr fontId="2" type="noConversion"/>
  </si>
  <si>
    <t>① 당근은 깨끗이 씻은 후 껍질을 벗긴다.
② 스틱 모양으로 썬다.
Tip. 영아에게는 데친 당근을 스틱모양으로 썰어서 제공한다.</t>
    <phoneticPr fontId="2" type="noConversion"/>
  </si>
  <si>
    <t>어린이치즈②</t>
    <phoneticPr fontId="2" type="noConversion"/>
  </si>
  <si>
    <t>치즈</t>
    <phoneticPr fontId="2" type="noConversion"/>
  </si>
  <si>
    <t>쌀밥</t>
    <phoneticPr fontId="2" type="noConversion"/>
  </si>
  <si>
    <t>백미</t>
    <phoneticPr fontId="2" type="noConversion"/>
  </si>
  <si>
    <t>① 쌀을 씻어 물에 불린 후, 적당량의 물을 부어 밥을 짓는다.</t>
    <phoneticPr fontId="2" type="noConversion"/>
  </si>
  <si>
    <t>들깨미역국⑤⑥</t>
    <phoneticPr fontId="2" type="noConversion"/>
  </si>
  <si>
    <t>① 미역은 물에 불려 염분기를 빼고, 먹기 좋은 크기로 자른다.
② 멸치와 다시마로 육수를 낸다.
③ 냄비에 참기름을 두르고 '①'을 넣어 볶는다.
④ '③'에 육수를 넣고 끓이다가 다진마늘, 들깨가루, 간장,
     소금으로 간한다.</t>
    <phoneticPr fontId="2" type="noConversion"/>
  </si>
  <si>
    <t>다진마늘</t>
    <phoneticPr fontId="2" type="noConversion"/>
  </si>
  <si>
    <r>
      <t>쇠고기메추리알장조림
①⑤⑥</t>
    </r>
    <r>
      <rPr>
        <sz val="9"/>
        <color rgb="FF000000"/>
        <rFont val="맑은 고딕"/>
        <family val="3"/>
        <charset val="128"/>
      </rPr>
      <t>⑯</t>
    </r>
    <phoneticPr fontId="2" type="noConversion"/>
  </si>
  <si>
    <t>쇠고기</t>
    <phoneticPr fontId="2" type="noConversion"/>
  </si>
  <si>
    <t>① 쇠고기는 한입 크기로 썰고, 메추리알은 삶아서 껍질을 
     벗긴다.
② 분량의 양념으로 양념장을 만든다.
③ 냄비에 '①'의 재료가 잠기도록 물을 붓고 '②'를 넣어 조린다.
④ 메추리알을 ½로 잘라 제공한다.</t>
    <phoneticPr fontId="2" type="noConversion"/>
  </si>
  <si>
    <t>청경채나물⑤⑥</t>
    <phoneticPr fontId="2" type="noConversion"/>
  </si>
  <si>
    <t>① 청경채는 끓는 물에 소금을 넣고 데친 후 찬물에 헹궈 2cm 
     이하 길이로 자른다.
② ‘①’에 분량의 양념을 넣어 무친다.</t>
    <phoneticPr fontId="2" type="noConversion"/>
  </si>
  <si>
    <t>간장</t>
    <phoneticPr fontId="2" type="noConversion"/>
  </si>
  <si>
    <t>깨</t>
    <phoneticPr fontId="2" type="noConversion"/>
  </si>
  <si>
    <t>배추김치⑨</t>
    <phoneticPr fontId="2" type="noConversion"/>
  </si>
  <si>
    <t>배추김치</t>
    <phoneticPr fontId="2" type="noConversion"/>
  </si>
  <si>
    <t>① 배추김치는 1x1cm 이하 크기로 작게 잘라 제공한다.</t>
    <phoneticPr fontId="2" type="noConversion"/>
  </si>
  <si>
    <t>오후간식</t>
    <phoneticPr fontId="2" type="noConversion"/>
  </si>
  <si>
    <t>잔치국수⑤⑥</t>
    <phoneticPr fontId="2" type="noConversion"/>
  </si>
  <si>
    <t>소면</t>
    <phoneticPr fontId="2" type="noConversion"/>
  </si>
  <si>
    <t>① 채소는 채 썰어 기름을 두른 팬에 볶는다.
② 냄비에 멸치와 다시마로 육수를 만들고 간장으로 간한다.
③ 끓는 물에 소면을 삶아 찬물에 헹궈 물기를 뺀 후 그릇에 담고 
     '①'을 올려 육수를 부어낸다.</t>
    <phoneticPr fontId="2" type="noConversion"/>
  </si>
  <si>
    <t>애호박</t>
    <phoneticPr fontId="2" type="noConversion"/>
  </si>
  <si>
    <t>2025년 12월 2일 (화)</t>
    <phoneticPr fontId="2" type="noConversion"/>
  </si>
  <si>
    <t>씨리얼⑤⑥</t>
    <phoneticPr fontId="2" type="noConversion"/>
  </si>
  <si>
    <t>① 그릇에 씨리얼을 담고 우유를 부어 제공한다.</t>
    <phoneticPr fontId="2" type="noConversion"/>
  </si>
  <si>
    <t>(후레쉬번①②⑤⑥)</t>
    <phoneticPr fontId="2" type="noConversion"/>
  </si>
  <si>
    <t>후레쉬번</t>
    <phoneticPr fontId="2" type="noConversion"/>
  </si>
  <si>
    <t>① 후레쉬번을 한입 크기로 잘라 제공한다.</t>
    <phoneticPr fontId="2" type="noConversion"/>
  </si>
  <si>
    <t>우유②</t>
    <phoneticPr fontId="2" type="noConversion"/>
  </si>
  <si>
    <t>흑미밥</t>
    <phoneticPr fontId="2" type="noConversion"/>
  </si>
  <si>
    <t>흑미</t>
    <phoneticPr fontId="2" type="noConversion"/>
  </si>
  <si>
    <t>애호박새우젓국⑨</t>
    <phoneticPr fontId="2" type="noConversion"/>
  </si>
  <si>
    <t>① 멸치와 다시마로 육수를 낸다.
② 애호박과 양파는 먹기좋은 크기로 썬다.
③ '①'에 '②'를 넣고 다진 마늘과 새우젓으로 간한다.</t>
  </si>
  <si>
    <t>새우젓</t>
  </si>
  <si>
    <t>돈육양파볶음
⑤⑥⑩</t>
    <phoneticPr fontId="2" type="noConversion"/>
  </si>
  <si>
    <r>
      <t>① 양파와 돼지고기는 한입 크기로 썰고 파는 송송 어슷썬다.
② 돼지고기는 소금, 후추로 밑간한다.
③ 분량의 양념을 섞어 양념장을 만든다.
④ 기름을 두른 팬에 양파와 돼지고기를 넣고 볶다가 '③'과 파를 
    넣어 더</t>
    </r>
    <r>
      <rPr>
        <sz val="10"/>
        <color indexed="8"/>
        <rFont val="한컴산뜻돋움"/>
        <family val="3"/>
        <charset val="129"/>
      </rPr>
      <t xml:space="preserve"> 볶아 완성한다.</t>
    </r>
    <phoneticPr fontId="2" type="noConversion"/>
  </si>
  <si>
    <t>양파</t>
    <phoneticPr fontId="2" type="noConversion"/>
  </si>
  <si>
    <t>파</t>
    <phoneticPr fontId="2" type="noConversion"/>
  </si>
  <si>
    <t>소금</t>
    <phoneticPr fontId="2" type="noConversion"/>
  </si>
  <si>
    <t>후추</t>
    <phoneticPr fontId="2" type="noConversion"/>
  </si>
  <si>
    <t>콩기름</t>
    <phoneticPr fontId="2" type="noConversion"/>
  </si>
  <si>
    <t>무생채</t>
    <phoneticPr fontId="2" type="noConversion"/>
  </si>
  <si>
    <t>무</t>
    <phoneticPr fontId="2" type="noConversion"/>
  </si>
  <si>
    <t>① 무는 먹기 좋게 채 썰고 파는 다진다. 
② 채 썬 무는 소금으로 살짝 절인다.
③ 볼에 '①', 식초, 설탕, 다진마늘을 넣고 버무린다.</t>
    <phoneticPr fontId="2" type="noConversion"/>
  </si>
  <si>
    <t>식초</t>
    <phoneticPr fontId="2" type="noConversion"/>
  </si>
  <si>
    <t>설탕</t>
    <phoneticPr fontId="2" type="noConversion"/>
  </si>
  <si>
    <t>유부초밥⑤⑥</t>
    <phoneticPr fontId="2" type="noConversion"/>
  </si>
  <si>
    <t>① 쌀은 불린 후 적당량의 물을 부어 밥을 짓는다.
② 유부는 어슷하게 반으로 썰어 끓는 물에 데치고 찬물에 
     헹군 후 물기를 뺀다.
③ 당근, 피망은 다지고 기름을 두른 팬에 볶는다.
④ 그릇에 '①'과 '③', 설탕, 식초, 간장, 참기름, 소금, 검정깨를 
     넣고 골고루 섞는다.
⑤ '②'에 '④'를 채워 넣는다.</t>
    <phoneticPr fontId="2" type="noConversion"/>
  </si>
  <si>
    <t>2025년 12월 3일 (수)</t>
  </si>
  <si>
    <t>단감</t>
    <phoneticPr fontId="2" type="noConversion"/>
  </si>
  <si>
    <t>① 단감은 껍질을 벗기고 한입 크기로 잘라 제공한다.</t>
    <phoneticPr fontId="2" type="noConversion"/>
  </si>
  <si>
    <r>
      <t>닭살굴소스볶음밥
⑤⑥⑨</t>
    </r>
    <r>
      <rPr>
        <sz val="10"/>
        <rFont val="Segoe UI Symbol"/>
        <family val="3"/>
      </rPr>
      <t>⑮</t>
    </r>
    <r>
      <rPr>
        <sz val="10"/>
        <rFont val="MS Gothic"/>
        <family val="3"/>
      </rPr>
      <t>⑱</t>
    </r>
    <phoneticPr fontId="2" type="noConversion"/>
  </si>
  <si>
    <t xml:space="preserve">① 쌀을 씻은 후 밥을 짓는다.
② 당근, 피망, 양파, 닭살은 각각 잘게 다진다.
③ 팬에 기름을 두르고 닭살을 볶다가 당근-피망-양파 순으로 
     볶는다.
④ '③'에 밥을 넣고 볶은 후 굴소스로 간하여 더 볶는다. </t>
    <phoneticPr fontId="2" type="noConversion"/>
  </si>
  <si>
    <t>닭살</t>
    <phoneticPr fontId="2" type="noConversion"/>
  </si>
  <si>
    <t>팽이버섯장국⑤⑥</t>
    <phoneticPr fontId="2" type="noConversion"/>
  </si>
  <si>
    <t>팽이버섯</t>
  </si>
  <si>
    <t>① 다시마와 멸치로 육수를 낸다.
② 팽이버섯은 먹기 좋은 길이로 썰고 파는 송송 썬다.
③ 육수에 된장을 풀고 끓으면 '②'와 다진 마늘을 넣고 끓인다.</t>
  </si>
  <si>
    <t>다시마</t>
    <phoneticPr fontId="2" type="noConversion"/>
  </si>
  <si>
    <t>멸치</t>
    <phoneticPr fontId="2" type="noConversion"/>
  </si>
  <si>
    <r>
      <t>게살오이무침
①②⑤⑥⑧⑫</t>
    </r>
    <r>
      <rPr>
        <sz val="10"/>
        <color theme="1"/>
        <rFont val="Segoe UI Symbol"/>
        <family val="3"/>
      </rPr>
      <t>⑯</t>
    </r>
    <phoneticPr fontId="2" type="noConversion"/>
  </si>
  <si>
    <t>오이</t>
    <phoneticPr fontId="2" type="noConversion"/>
  </si>
  <si>
    <t>① 오이는 적당한 크기로 썰고, 게맛살은 잘게 찢는다.
② 파는 송송 썬다.
③ 그릇에 파, 다진마늘을 담고, 간장, 설탕을 넣어 양념을
     만든다.
④ '①'에 양념을 넣어 골고루 버무리고 참깨로 마무리한다.</t>
    <phoneticPr fontId="2" type="noConversion"/>
  </si>
  <si>
    <t>게맛살</t>
    <phoneticPr fontId="2" type="noConversion"/>
  </si>
  <si>
    <t>수제비⑤⑥</t>
    <phoneticPr fontId="2" type="noConversion"/>
  </si>
  <si>
    <t>① 멸치와 다시마로 육수를 낸다.
② 밀가루에 소금, 물, 콩기름을 넣어 반죽하여 비닐에 싸서 
     휴지 시킨다.
③ 채소는 채썬 후, 다진 마늘과 '①'에 넣고 끓인다.
④ '②'를 한입 크기로 떼어 '③'에 넣어 익히다가 간장, 후추, 
     참기름으로 간한다.</t>
    <phoneticPr fontId="2" type="noConversion"/>
  </si>
  <si>
    <t>참기름</t>
    <phoneticPr fontId="2" type="noConversion"/>
  </si>
  <si>
    <t>2025년 12월 4일 (목)</t>
  </si>
  <si>
    <r>
      <rPr>
        <sz val="10"/>
        <color rgb="FF00B050"/>
        <rFont val="한컴산뜻돋움"/>
        <family val="3"/>
        <charset val="129"/>
      </rPr>
      <t xml:space="preserve">step1 </t>
    </r>
    <r>
      <rPr>
        <sz val="10"/>
        <color rgb="FF000000"/>
        <rFont val="한컴산뜻돋움"/>
        <family val="3"/>
        <charset val="129"/>
      </rPr>
      <t>시금치리조또
①②⑤⑥⑩⑮</t>
    </r>
    <r>
      <rPr>
        <sz val="10"/>
        <color rgb="FF000000"/>
        <rFont val="Segoe UI Symbol"/>
        <family val="3"/>
      </rPr>
      <t>⑯⑱</t>
    </r>
    <phoneticPr fontId="2" type="noConversion"/>
  </si>
  <si>
    <t>우유</t>
    <phoneticPr fontId="2" type="noConversion"/>
  </si>
  <si>
    <t>① 쌀을 씻은 후 밥을 짓는다.
② 시금치는 데친 후, 물기를 빼고 잘게 다진다.
③ 양파는 0.3cm 크기로 썬다.
④ 가열된 팬에 버터를 녹이고, 약불에서 다진마늘,  ③을 넣어
     볶다가 '①','②'을 넣어 조금 더 볶은 후 우유를 넣어 저으며 
     농도를 잡는다.
⑤ '④'에 치즈를 넣어 녹여주고 소금, 후춧가루로 간을 한 뒤 
     접시에 담아 완성한다.</t>
    <phoneticPr fontId="2" type="noConversion"/>
  </si>
  <si>
    <t>시금치</t>
    <phoneticPr fontId="2" type="noConversion"/>
  </si>
  <si>
    <t>버터</t>
    <phoneticPr fontId="2" type="noConversion"/>
  </si>
  <si>
    <r>
      <t>쇠고기무국⑤⑥</t>
    </r>
    <r>
      <rPr>
        <sz val="11"/>
        <color theme="1"/>
        <rFont val="Segoe UI Symbol"/>
        <family val="3"/>
      </rPr>
      <t>⑯</t>
    </r>
    <phoneticPr fontId="2" type="noConversion"/>
  </si>
  <si>
    <t>① 무는 나박썰고 파는 다진다.
② 잘게 썬 쇠고기에 소금, 후추를 넣어 밑간한다.
③ 냄비에 참기름을 두르고 '②'를 넣어 볶다가 '①'을 넣고 함께
     볶는다. 
④ '③'에 물을 넣고 끓인다. 
⑤ 분량의 양념으로 간을 맞춘다.</t>
    <phoneticPr fontId="2" type="noConversion"/>
  </si>
  <si>
    <t>달걀찜①</t>
    <phoneticPr fontId="2" type="noConversion"/>
  </si>
  <si>
    <t>① 당근, 파는 다진다.
② 볼에 달걀을 풀고 '①', 소금, 참기름을 넣고 섞어 찜기를 
     이용하거나 냄비에 중탕하여 찐다.</t>
    <phoneticPr fontId="2" type="noConversion"/>
  </si>
  <si>
    <t>연근조림⑤⑥</t>
    <phoneticPr fontId="2" type="noConversion"/>
  </si>
  <si>
    <t>연근</t>
    <phoneticPr fontId="2" type="noConversion"/>
  </si>
  <si>
    <t>① 연근은 껍질을 벗기고 한입 크기로 썰어 끓는 물에 식초를 
     넣어 데친다.
② 분량의 양념장에 물과 ‘①’을 넣고 연해지도록 졸인다.</t>
    <phoneticPr fontId="2" type="noConversion"/>
  </si>
  <si>
    <r>
      <t>미니핫도그
①②⑤⑥⑧⑩</t>
    </r>
    <r>
      <rPr>
        <sz val="10"/>
        <color theme="1"/>
        <rFont val="Segoe UI Symbol"/>
        <family val="3"/>
      </rPr>
      <t>⑯</t>
    </r>
    <phoneticPr fontId="2" type="noConversion"/>
  </si>
  <si>
    <t>① 핫도그는 따뜻하게 데운 후, 한입 크기로 잘라 제공한다.</t>
    <phoneticPr fontId="2" type="noConversion"/>
  </si>
  <si>
    <t>2025년 12월 5일 (금)</t>
  </si>
  <si>
    <t>배</t>
    <phoneticPr fontId="2" type="noConversion"/>
  </si>
  <si>
    <t>① 배는 껍질을 벗기고 한입 크기로 잘라 제공한다.</t>
    <phoneticPr fontId="2" type="noConversion"/>
  </si>
  <si>
    <t>수수밥</t>
    <phoneticPr fontId="2" type="noConversion"/>
  </si>
  <si>
    <t>닭살채소국⑤⑥⑮</t>
    <phoneticPr fontId="2" type="noConversion"/>
  </si>
  <si>
    <t>닭고기</t>
    <phoneticPr fontId="2" type="noConversion"/>
  </si>
  <si>
    <t>① 냄비에 물을 붓고 닭으로 육수를 우려낸 후, 닭이 익으면 건져
     살을 바른다.
② 양파, 당근, 무는 먹기 좋은 크기로 썰고, 파는 송송썬다.
③ '①'의 육수에 살을 발라 둔 닭고기와 '②', 다진마늘을 넣고 
      끓이다가 간장, 소금으로 간을 하고 후추로 마무리한다.</t>
    <phoneticPr fontId="2" type="noConversion"/>
  </si>
  <si>
    <t>두부조림⑤⑥</t>
    <phoneticPr fontId="2" type="noConversion"/>
  </si>
  <si>
    <t>① 두부는 편썰고, 파는 어슷썬다.
② 키친타월로 두부의 물기를 제거한 후, 기름을 두른 팬에 
     노릇하게 지진다. 
③ 분량의 양념을 섞어 양념장을 만든다.
④ 냄비에 '②'를 담고 '③'과 물을 섞어 고루 끼얹은 후, 파를
     얹어 조린다.</t>
    <phoneticPr fontId="2" type="noConversion"/>
  </si>
  <si>
    <r>
      <t>브로콜리참깨소스무침
①⑤⑥</t>
    </r>
    <r>
      <rPr>
        <sz val="11"/>
        <rFont val="Segoe UI Symbol"/>
        <family val="3"/>
      </rPr>
      <t>⑯</t>
    </r>
    <phoneticPr fontId="2" type="noConversion"/>
  </si>
  <si>
    <t>브로콜리</t>
    <phoneticPr fontId="2" type="noConversion"/>
  </si>
  <si>
    <t>① 브로콜리는 한입 크기로 썰어 끓는 물에 데치고 찬물에 
     헹군 후 물기를 뺀다.
② 믹서에 참깨와 분량의 양념을 넣고 갈아 소스를 만든다.
③ ‘②’에 ‘①’을 넣어 무친다.</t>
    <phoneticPr fontId="2" type="noConversion"/>
  </si>
  <si>
    <t>참깨</t>
    <phoneticPr fontId="2" type="noConversion"/>
  </si>
  <si>
    <t>마요네즈</t>
    <phoneticPr fontId="2" type="noConversion"/>
  </si>
  <si>
    <t>진간장</t>
    <phoneticPr fontId="2" type="noConversion"/>
  </si>
  <si>
    <r>
      <t>찐만두①②⑤⑥⑩</t>
    </r>
    <r>
      <rPr>
        <sz val="11"/>
        <color theme="1"/>
        <rFont val="Segoe UI Symbol"/>
        <family val="3"/>
      </rPr>
      <t>⑯⑱</t>
    </r>
    <phoneticPr fontId="2" type="noConversion"/>
  </si>
  <si>
    <t>만두</t>
    <phoneticPr fontId="2" type="noConversion"/>
  </si>
  <si>
    <t>① 찜통에 만두를 담아 찐 후, 한입 크기로 잘라 제공한다.</t>
  </si>
  <si>
    <t>2025년 12월 6일 (토)</t>
  </si>
  <si>
    <t>두유⑤</t>
    <phoneticPr fontId="2" type="noConversion"/>
  </si>
  <si>
    <t>두유</t>
    <phoneticPr fontId="2" type="noConversion"/>
  </si>
  <si>
    <r>
      <t>짜장면②⑤⑥⑩⑮</t>
    </r>
    <r>
      <rPr>
        <sz val="9"/>
        <rFont val="함초롬돋움"/>
        <family val="3"/>
        <charset val="129"/>
      </rPr>
      <t>⑯</t>
    </r>
    <phoneticPr fontId="2" type="noConversion"/>
  </si>
  <si>
    <t>짜장면</t>
    <phoneticPr fontId="2" type="noConversion"/>
  </si>
  <si>
    <t>① 돼지고기, 감자, 양배추, 양파, 호박을 한입 크기로 썬다.
② 기름을 두른 팬에 '①'을 볶는다.
③ '②'에 짜장분말을 넣고 볶은 후, 물을 부어 끓인다.
④ 전분과 물을 1:1 비율로 섞어 넣는다.
⑤ 설탕으로 간을 하고 적당한 농도가 날 때까지 끓인다.
⑥ 끓는물에 면을 삶는다.
⑦ 삶아진 면에'⑤'를 넣고 살짝 볶아준다.</t>
    <phoneticPr fontId="2" type="noConversion"/>
  </si>
  <si>
    <t>짜장분말</t>
    <phoneticPr fontId="2" type="noConversion"/>
  </si>
  <si>
    <t>돼지고기</t>
    <phoneticPr fontId="2" type="noConversion"/>
  </si>
  <si>
    <t>감자</t>
    <phoneticPr fontId="2" type="noConversion"/>
  </si>
  <si>
    <t>양배추</t>
    <phoneticPr fontId="2" type="noConversion"/>
  </si>
  <si>
    <t>호박</t>
    <phoneticPr fontId="2" type="noConversion"/>
  </si>
  <si>
    <t>전분가루</t>
    <phoneticPr fontId="2" type="noConversion"/>
  </si>
  <si>
    <t>감자국⑤⑥</t>
    <phoneticPr fontId="2" type="noConversion"/>
  </si>
  <si>
    <t xml:space="preserve">① 감자는 먹기 좋은 크기로 썬다.
② 다시마와 멸치로 육수를 낸다.
③ 육수에 '①'을 넣고 끓이다가 간장, 소금, 다진 마늘, 파로 
    간한다.             </t>
  </si>
  <si>
    <r>
      <t>탕수육
①②⑤⑥⑩⑫⑮</t>
    </r>
    <r>
      <rPr>
        <sz val="10"/>
        <color theme="1"/>
        <rFont val="Segoe UI Symbol"/>
        <family val="3"/>
      </rPr>
      <t>⑯</t>
    </r>
    <phoneticPr fontId="2" type="noConversion"/>
  </si>
  <si>
    <t>① 돼지고기는 한입 크기로 썰어 소금, 후추로 밑간한 후 밀가루,
     달걀, 물로 튀김옷을 만들어 입힌 후 튀긴다.
② 당근, 오이는 모양대로 얇게 편썬다.
③ 그릇에 간장, 설탕, 소금, 식초, 물을 넣고 섞는다.
④ 기름을 두른 팬에 '②'를 넣어 볶다가 '③'을 넣어 끓이고 개어
     놓은 전분물을 넣어 농도를 맞춘다. 
 ⑤ '①'에 '④'를 부어 낸다.</t>
  </si>
  <si>
    <t>2025년 12월 8일 (월)</t>
  </si>
  <si>
    <t>귤</t>
    <phoneticPr fontId="2" type="noConversion"/>
  </si>
  <si>
    <t>① 귤은 껍질을 벗기고 한입 크기로 제공한다.</t>
    <phoneticPr fontId="2" type="noConversion"/>
  </si>
  <si>
    <t>콩나물국⑤</t>
    <phoneticPr fontId="2" type="noConversion"/>
  </si>
  <si>
    <t>① 멸치와 다시마로 육수를 낸다. 
② 콩나물은 먹기 좋은 길이로 썰고 파는 송송 썬다. 
③ '①'에 '②'와 다진 마늘을 넣고 끓인 후, 소금으로 간한다.</t>
    <phoneticPr fontId="2" type="noConversion"/>
  </si>
  <si>
    <t>제육볶음⑤⑥⑩</t>
    <phoneticPr fontId="2" type="noConversion"/>
  </si>
  <si>
    <t>① 채소는 채 썰고 돼지고기는 한입 크기로 썬다.
② 파는 송송 썬다.
③ 분량의 양념을 섞어 양념장을 만든다.
④ 기름을 두른 팬에 다진 마늘과 '①'을 넣어 볶다가 '③'과 파를 
     넣어 양념이 배어들게 볶는다.</t>
  </si>
  <si>
    <t>물엿</t>
    <phoneticPr fontId="2" type="noConversion"/>
  </si>
  <si>
    <t>느타리버섯나물⑤</t>
    <phoneticPr fontId="2" type="noConversion"/>
  </si>
  <si>
    <t>① 느타리버섯은 한입 크기로 찢고 끓는 물에 살짝 데친 후, 
     물기를 짠다.
② 당근과 양파는 채 썰어 기름을 두른 팬에 볶는다.
③ 당근이 살짝 익으면 ‘②’에 ‘①’을 넣어 한번 더 볶는다.
④ 다진마늘, 소금으로 간하고 깨를 뿌린다.</t>
    <phoneticPr fontId="2" type="noConversion"/>
  </si>
  <si>
    <t>고구마맛탕⑤</t>
    <phoneticPr fontId="2" type="noConversion"/>
  </si>
  <si>
    <t>① 고구마는 한입 크기로 자른 후 기름에 튀겨 식힌다.
② '①'에 물엿과 깨를 넣어 버무린다.</t>
  </si>
  <si>
    <t>2025년 12월 9일 (화)</t>
  </si>
  <si>
    <t>영양닭죽⑮</t>
    <phoneticPr fontId="2" type="noConversion"/>
  </si>
  <si>
    <t>① 쌀은 씻어서 물에 불리고 당근, 양파는 다진다.
② 물에 닭가슴살, 대파, 마늘을 넣어 푹 삶아 육수는 거르고 
     닭고기는 건져 식힌 후 찢는다.
③ 육수에 불린 쌀을 넣고 저으면서 끓인다.
④ 쌀알이 퍼지면 썰어놓은 채소와 닭고기를 넣고 더 끓이다가 
     소금, 참기름으로 간한다.</t>
    <phoneticPr fontId="2" type="noConversion"/>
  </si>
  <si>
    <t>닭가슴살</t>
  </si>
  <si>
    <t>기장밥</t>
    <phoneticPr fontId="2" type="noConversion"/>
  </si>
  <si>
    <t>① 쌀과 기장을 씻은 후, 물에 불린다.
② 적당량의 물을 부어 밥을 짓는다.</t>
    <phoneticPr fontId="2" type="noConversion"/>
  </si>
  <si>
    <t>기장</t>
    <phoneticPr fontId="2" type="noConversion"/>
  </si>
  <si>
    <t>북어감자국⑤⑥</t>
    <phoneticPr fontId="2" type="noConversion"/>
  </si>
  <si>
    <t>북어</t>
    <phoneticPr fontId="2" type="noConversion"/>
  </si>
  <si>
    <t>① 북어는 불린 후, 적당한 크기로 찢는다.
② 감자는 한입 크기로 썰고 파는 송송 썬다.
③ 냄비에 참기름을 두르고 북어를 볶다가 물을 붓고 다진 마늘,
     파, 소금, 간장으로 간을 한 후 후춧가루로 마무리한다.</t>
    <phoneticPr fontId="2" type="noConversion"/>
  </si>
  <si>
    <r>
      <t>쇠불고기⑤⑥</t>
    </r>
    <r>
      <rPr>
        <sz val="11"/>
        <rFont val="Segoe UI Symbol"/>
        <family val="3"/>
      </rPr>
      <t>⑯</t>
    </r>
    <phoneticPr fontId="2" type="noConversion"/>
  </si>
  <si>
    <t>① 쇠고기는 한입 크기로 썰고 당근, 양파는 채 썬다.
② 파는 다진다.
③ 분량의 양념을 섞어 '①'을 재운다.
④ 기름을 두른 팬에 '③'을 넣어 볶는다.</t>
    <phoneticPr fontId="2" type="noConversion"/>
  </si>
  <si>
    <t>숙주나물무침</t>
    <phoneticPr fontId="2" type="noConversion"/>
  </si>
  <si>
    <t>① 숙주나물은 끓는 물에 데친 후 물기를 빼고 먹기 좋은 길이로 
     썰고, 파는 송송 썬다.
② '①'에 분량의 양념을 넣고 무친다.</t>
    <phoneticPr fontId="2" type="noConversion"/>
  </si>
  <si>
    <t>모닝빵①②⑤⑥</t>
    <phoneticPr fontId="2" type="noConversion"/>
  </si>
  <si>
    <t>① 모닝빵을 한입 크기로 잘라 제공한다.</t>
    <phoneticPr fontId="2" type="noConversion"/>
  </si>
  <si>
    <t>2025년 12월 10일 (수)</t>
  </si>
  <si>
    <t>바나나</t>
    <phoneticPr fontId="2" type="noConversion"/>
  </si>
  <si>
    <r>
      <t>돈육카레라이스
②⑤⑥⑩⑫⑮</t>
    </r>
    <r>
      <rPr>
        <sz val="11"/>
        <color theme="1"/>
        <rFont val="Segoe UI Symbol"/>
        <family val="3"/>
      </rPr>
      <t>⑯⑱</t>
    </r>
    <phoneticPr fontId="2" type="noConversion"/>
  </si>
  <si>
    <t>① 쌀을 씻어 밥을 짓는다.
② 돼지고기와 채소들을 한입 크기로 깍둑 썬 후 기름을
    두른 팬에 볶는다.
③ 카레가루와 물을 섞어 잘 풀어준 후 '②'에 넣고 끓인다.
④ 적당한 농도가 될 때까지 저어가며 끓인 후 밥 위에 부어낸다.</t>
    <phoneticPr fontId="2" type="noConversion"/>
  </si>
  <si>
    <t>무채국⑤⑥</t>
    <phoneticPr fontId="2" type="noConversion"/>
  </si>
  <si>
    <t>① 다시마로 육수를 낸다.
② 무는 채 썬다.
③ 들기름을 두른 냄비에 다진 마늘과 '②'를 넣고 볶다가 
     '①'을 부어 끓인 후, 간장으로 간한다.</t>
  </si>
  <si>
    <r>
      <t>과일샐러드①⑤</t>
    </r>
    <r>
      <rPr>
        <sz val="11"/>
        <rFont val="Segoe UI Symbol"/>
        <family val="3"/>
      </rPr>
      <t>⑯</t>
    </r>
    <phoneticPr fontId="2" type="noConversion"/>
  </si>
  <si>
    <t>① 과일은 껍질을 벗기고 한입 크기로 자른다.
② '①'을 마요네즈와 설탕에 버무려 낸다.</t>
    <phoneticPr fontId="2" type="noConversion"/>
  </si>
  <si>
    <t>영양주먹밥⑤</t>
    <phoneticPr fontId="2" type="noConversion"/>
  </si>
  <si>
    <t>① 쌀을 불려 밥을 짓는다.
② 양파, 청피망, 당근은 1x1xm 보다 작게 다진다.
③ 기름을 두른 팬에 양파, 당근, 청피망을 볶는다.
④ 볼에 볶은 채소, 밥, 참기름, 깨, 소금, 김가루를 넣어 골고루 
    섞어 동그랗게 주먹밥을 만든다.</t>
    <phoneticPr fontId="2" type="noConversion"/>
  </si>
  <si>
    <t>피망</t>
    <phoneticPr fontId="2" type="noConversion"/>
  </si>
  <si>
    <t>김가루</t>
    <phoneticPr fontId="2" type="noConversion"/>
  </si>
  <si>
    <t>2025년 12월 11일 (목)</t>
  </si>
  <si>
    <t>오전간식</t>
    <phoneticPr fontId="2" type="noConversion"/>
  </si>
  <si>
    <t>호상요구르트②</t>
    <phoneticPr fontId="2" type="noConversion"/>
  </si>
  <si>
    <t>호상요구르트</t>
    <phoneticPr fontId="2" type="noConversion"/>
  </si>
  <si>
    <t>모듬버섯국⑤⑥</t>
    <phoneticPr fontId="2" type="noConversion"/>
  </si>
  <si>
    <t>느타리버섯</t>
    <phoneticPr fontId="2" type="noConversion"/>
  </si>
  <si>
    <t>① 멸치와 다시마로 육수를 낸다.
② 느타리버섯은 잘게 찢고, 팽이버섯과 표고버섯은 한입 
     크기로, 파는 송송 썬다.
③ 육수에 '②', 다진 마늘, 간장을 넣고 끓인다.</t>
    <phoneticPr fontId="2" type="noConversion"/>
  </si>
  <si>
    <t>팽이버섯</t>
    <phoneticPr fontId="2" type="noConversion"/>
  </si>
  <si>
    <t>표고버섯</t>
    <phoneticPr fontId="2" type="noConversion"/>
  </si>
  <si>
    <t>고등어구이⑤⑦</t>
    <phoneticPr fontId="2" type="noConversion"/>
  </si>
  <si>
    <t>① 고등어를 깨끗이 씻어 소금을 뿌려 놓는다.    
② 기름을 두른 팬에 '①'을 속까지 익도록 앞뒤로 노릇하게
     구운 후, 살을 발라내어 제공한다.</t>
    <phoneticPr fontId="2" type="noConversion"/>
  </si>
  <si>
    <t>청포묵김무침⑤⑥</t>
    <phoneticPr fontId="2" type="noConversion"/>
  </si>
  <si>
    <t>청포묵</t>
  </si>
  <si>
    <t>① 청포묵은 먹기 좋은 크기로 자른 후 끓는 물에 데친다.
② '①'에 김과 간장, 참기름, 깨를 넣고 버무린다.</t>
    <phoneticPr fontId="2" type="noConversion"/>
  </si>
  <si>
    <t>김</t>
    <phoneticPr fontId="2" type="noConversion"/>
  </si>
  <si>
    <t>칼국수⑤⑥</t>
    <phoneticPr fontId="2" type="noConversion"/>
  </si>
  <si>
    <t>① 멸치와 다시마로 육수를 낸다.
② 애호박, 당근, 양파는 채썰고, 파는 다진다.
③ '①'에 '②'와 칼국수면을 넣고 끓이다가 다진 파, 마늘, 간장,
      소금으로 간한다.
④ 칼국수면이 익으면 그릇에 담은 후 김가루를 올린다.</t>
    <phoneticPr fontId="2" type="noConversion"/>
  </si>
  <si>
    <t>2025년 12월 12일 (금)</t>
  </si>
  <si>
    <t>사과</t>
    <phoneticPr fontId="2" type="noConversion"/>
  </si>
  <si>
    <t>ㄷ</t>
    <phoneticPr fontId="2" type="noConversion"/>
  </si>
  <si>
    <t>맑은두부국⑤⑥</t>
    <phoneticPr fontId="2" type="noConversion"/>
  </si>
  <si>
    <t xml:space="preserve">① 다시마와 멸치로 육수를 낸다.
② 양파, 두부는 먹기 좋은 크기로 썰고, 파는 송송 썬다.
③ '①'에 '②'를 넣고 끓이다가 다진 마늘, 간장, 소금으로
     간한다. </t>
    <phoneticPr fontId="2" type="noConversion"/>
  </si>
  <si>
    <t>닭살양파볶음⑤⑥⑮</t>
    <phoneticPr fontId="2" type="noConversion"/>
  </si>
  <si>
    <t>① 닭고기는 적당한 크기로 썰고, 양파는 채썬다.
② 파는 송송 썬다.
③ 닭고기에 다진 마늘, 간장, 참기름, 후추가루를 넣어 
     골고루 버무린다.
④ 기름을 두른 팬에 '③'을 넣어 볶다가 파와 양파를 넣고 
     함께 볶는다.</t>
    <phoneticPr fontId="2" type="noConversion"/>
  </si>
  <si>
    <t>오이생채</t>
    <phoneticPr fontId="2" type="noConversion"/>
  </si>
  <si>
    <t>① 오이는 반달모양으로 썰어 소금에 절인다.
② '①'을 헹궈 소금기를 제거한 후, 분량의 양념을 넣어 무친다.</t>
    <phoneticPr fontId="2" type="noConversion"/>
  </si>
  <si>
    <t>찐단호박</t>
    <phoneticPr fontId="2" type="noConversion"/>
  </si>
  <si>
    <t>① 단호박은 깨끗이 씻어 찜기에 쪄낸다.
② ‘①’의 껍질을 벗겨 한입 크기로 잘라 제공한다.</t>
    <phoneticPr fontId="2" type="noConversion"/>
  </si>
  <si>
    <t>(삶은달걀①)</t>
    <phoneticPr fontId="2" type="noConversion"/>
  </si>
  <si>
    <t>① 달걀은 끓는 물에 삶아 껍질을 벗긴 후, 한입 크기로 잘라 
    제공한다.</t>
    <phoneticPr fontId="2" type="noConversion"/>
  </si>
  <si>
    <t>둥글레차</t>
    <phoneticPr fontId="2" type="noConversion"/>
  </si>
  <si>
    <t>둥굴레차</t>
    <phoneticPr fontId="2" type="noConversion"/>
  </si>
  <si>
    <t>2025년 12월 13일 (토)</t>
  </si>
  <si>
    <r>
      <t>쇠고기청경채덮밥⑤⑥</t>
    </r>
    <r>
      <rPr>
        <sz val="11"/>
        <color theme="1"/>
        <rFont val="Segoe UI Symbol"/>
        <family val="3"/>
      </rPr>
      <t>⑯</t>
    </r>
    <phoneticPr fontId="2" type="noConversion"/>
  </si>
  <si>
    <t>① 쌀은 씻어 밥을 짓는다.
② 쇠고기, 양파는 다지고 청경채는 한입 크기로 썬다.
③ 기름을 두른 팬에 쇠고기, 양파를 넣어 볶는다.
④ ‘③’에 밥과 청경채를 넣고 분량의 양념으로 간하여
    볶아낸다.</t>
    <phoneticPr fontId="2" type="noConversion"/>
  </si>
  <si>
    <t>청경채</t>
    <phoneticPr fontId="2" type="noConversion"/>
  </si>
  <si>
    <t>미소장국⑤⑥</t>
    <phoneticPr fontId="2" type="noConversion"/>
  </si>
  <si>
    <t>메추리알장조림①⑤⑥</t>
    <phoneticPr fontId="2" type="noConversion"/>
  </si>
  <si>
    <t>① 메추리알은 삶아서 찬물에 담근 후 껍질을 벗긴다.
② 분량의 양념을 만들어 '①'을 넣고 조린다.
③ 메추리알을 ½로 잘라 제공한다.</t>
    <phoneticPr fontId="2" type="noConversion"/>
  </si>
  <si>
    <t>2025년 12월 15일 (월)</t>
  </si>
  <si>
    <t>미역국⑤⑥</t>
    <phoneticPr fontId="2" type="noConversion"/>
  </si>
  <si>
    <t>① 미역은 물에 불려 염분기를 빼고, 먹기 좋은 크기로 자른다.
② 냄비에 참기름을 두르고 '①'과 다진 마늘을 넣어 볶는다.
③ '②'에 물을 넣고 끓이다가 간장, 소금으로 간을 한다.</t>
    <phoneticPr fontId="2" type="noConversion"/>
  </si>
  <si>
    <t>닭살간장조림⑤⑥⑮</t>
  </si>
  <si>
    <t>① 닭살과 양파, 당근은 한입 크기로 썬다. 
② 분량의 양념을 섞어 양념장을 만든다.
③ 냄비에 '①', '②'와 물을 넣어 조린 후 깨와 참기름으로 
    완성한다.</t>
  </si>
  <si>
    <t>애호박나물⑤</t>
    <phoneticPr fontId="2" type="noConversion"/>
  </si>
  <si>
    <t>① 애호박은 4등분하여 얇게 썬다.
② 기름을 두른 팬에 '①'과 다진 마늘, 소금을 넣고 볶은 후 깨를 
     뿌린다.</t>
    <phoneticPr fontId="2" type="noConversion"/>
  </si>
  <si>
    <t>채소전①⑤⑥</t>
    <phoneticPr fontId="2" type="noConversion"/>
  </si>
  <si>
    <t>달걀</t>
    <phoneticPr fontId="2" type="noConversion"/>
  </si>
  <si>
    <t>① 채소는 먹기 좋은 길이로 채썬다.
② 부침가루, 물, 소금, 달걀을 넣고 반죽을 만든다. 
③ '②'에 '①'을 넣고 버무려 기름을 두른 팬에 앞뒤로 노릇하게
     부친다.</t>
    <phoneticPr fontId="2" type="noConversion"/>
  </si>
  <si>
    <t>부침가루</t>
    <phoneticPr fontId="2" type="noConversion"/>
  </si>
  <si>
    <t>2025년 12월 16일 (화)</t>
  </si>
  <si>
    <t>카스테라①②⑤⑥</t>
    <phoneticPr fontId="2" type="noConversion"/>
  </si>
  <si>
    <t>카스테라</t>
    <phoneticPr fontId="2" type="noConversion"/>
  </si>
  <si>
    <t>① 카스테라는 한입 크기로 잘라 제공한다.</t>
    <phoneticPr fontId="2" type="noConversion"/>
  </si>
  <si>
    <t>새송이버섯된장국⑤⑥</t>
    <phoneticPr fontId="2" type="noConversion"/>
  </si>
  <si>
    <t>새송이버섯</t>
    <phoneticPr fontId="2" type="noConversion"/>
  </si>
  <si>
    <t>① 다시마와 멸치로 육수를 낸다.
② 새송이버섯은 먹기 좋은 길이로 썰고 파는 송송 썬다.
③ 육수에 된장을 풀고 끓으면 새송이버섯과 파, 다진 마늘을 
     넣고 끓인다.</t>
    <phoneticPr fontId="2" type="noConversion"/>
  </si>
  <si>
    <r>
      <t>훈제오리양배추볶음
①②⑤⑥⑫</t>
    </r>
    <r>
      <rPr>
        <sz val="10"/>
        <rFont val="MS Gothic"/>
        <family val="3"/>
        <charset val="128"/>
      </rPr>
      <t>⑯</t>
    </r>
    <phoneticPr fontId="2" type="noConversion"/>
  </si>
  <si>
    <t>① 훈제오리와 양배추는 한입 크기로 썬다.
② 기름을 두른 팬에 훈제오리를 넣어 볶다가 양배추、 소금을 
     넣고 더 볶는다.</t>
    <phoneticPr fontId="2" type="noConversion"/>
  </si>
  <si>
    <t>콩나물무침⑤</t>
    <phoneticPr fontId="2" type="noConversion"/>
  </si>
  <si>
    <t xml:space="preserve">① 콩나물은 끓는 물에 데친 후 찬물에 헹궈 물기를 빼고
     먹기 좋은 길이로 썰고 파는 다진다.
② '①'에 분량의 양념을 넣어 무친다.  </t>
    <phoneticPr fontId="2" type="noConversion"/>
  </si>
  <si>
    <t>깍두기⑨</t>
    <phoneticPr fontId="2" type="noConversion"/>
  </si>
  <si>
    <t>깍두기</t>
    <phoneticPr fontId="2" type="noConversion"/>
  </si>
  <si>
    <t>2025년 12월 17일 (수)</t>
  </si>
  <si>
    <t>파인애플</t>
    <phoneticPr fontId="2" type="noConversion"/>
  </si>
  <si>
    <t>① 파인애플은 껍질을 벗기고 한입 크기로 잘라 제공한다.</t>
    <phoneticPr fontId="2" type="noConversion"/>
  </si>
  <si>
    <r>
      <t>쇠고기채소비빔밥⑤⑥</t>
    </r>
    <r>
      <rPr>
        <sz val="9"/>
        <rFont val="함초롬돋움"/>
        <family val="3"/>
        <charset val="129"/>
      </rPr>
      <t>⑯</t>
    </r>
    <phoneticPr fontId="2" type="noConversion"/>
  </si>
  <si>
    <t>① 쌀을 씻어 밥을 짓는다.
② 애호박, 무는 채썰고 콩나물은 먹기 좋은 길이로 자른다.
③ 애호박과 무는 참기름을 두른 팬에 소금을 넣어 볶고, 
     콩나물은 끓는 물에 데친 후 소금과 참기름으로 양념한다.
④ 다진 쇠고기는 키친타월에 핏물을 뺀 후 분량의 양념으로 
     밑간하여 콩기름을 두른 팬에 볶는다.
⑤ 밥 위에 '②'와 '③'을 얹고 간장과 깨를 넣어 비벼 제공한다.</t>
    <phoneticPr fontId="2" type="noConversion"/>
  </si>
  <si>
    <t>다진쇠고기</t>
    <phoneticPr fontId="2" type="noConversion"/>
  </si>
  <si>
    <t>콩나물</t>
    <phoneticPr fontId="2" type="noConversion"/>
  </si>
  <si>
    <r>
      <t>모둠어묵국①②⑤⑥⑧⑨</t>
    </r>
    <r>
      <rPr>
        <sz val="11"/>
        <color theme="1"/>
        <rFont val="Segoe UI Symbol"/>
        <family val="3"/>
      </rPr>
      <t>⑱</t>
    </r>
    <phoneticPr fontId="2" type="noConversion"/>
  </si>
  <si>
    <t>어묵</t>
  </si>
  <si>
    <t xml:space="preserve">
① 멸치와 다시마로 육수를 낸다.
② 어묵과 양파는 한입 크기로 썰고, 파는 송송 썬다.
③ '①'에 '②'를 넣고 끓인 후 다진마늘, 간장으로 간한다.  
</t>
    <phoneticPr fontId="2" type="noConversion"/>
  </si>
  <si>
    <t>잔멸치조림⑤⑥</t>
    <phoneticPr fontId="2" type="noConversion"/>
  </si>
  <si>
    <t>① 잔멸치는 체에 쳐서 불순물을 제거한다.
② 팬에 멸치를 볶다가 분량의 양념과 물을 넣어 조린다.</t>
    <phoneticPr fontId="2" type="noConversion"/>
  </si>
  <si>
    <t>당근참깨주먹밥⑤</t>
    <phoneticPr fontId="2" type="noConversion"/>
  </si>
  <si>
    <t>① 쌀을 씻은 후 밥을 짓는다.
② 당근을 잘게 다진 후 기름을 두른 팬에 살짝 볶는다.
③ 볼에 '①','②'와 소금, 깨를 넣고 섞은 후 주먹밥 모양을
     만든다.</t>
    <phoneticPr fontId="2" type="noConversion"/>
  </si>
  <si>
    <t>2025년 12월 18일 (목)</t>
  </si>
  <si>
    <t>누룽지죽</t>
    <phoneticPr fontId="2" type="noConversion"/>
  </si>
  <si>
    <t>누룽지</t>
    <phoneticPr fontId="2" type="noConversion"/>
  </si>
  <si>
    <r>
      <t>물만두국①②⑤⑥⑩</t>
    </r>
    <r>
      <rPr>
        <sz val="11"/>
        <color theme="1"/>
        <rFont val="Segoe UI Symbol"/>
        <family val="3"/>
      </rPr>
      <t>⑯⑱</t>
    </r>
    <phoneticPr fontId="2" type="noConversion"/>
  </si>
  <si>
    <t>① 다시마와 멸치로 육수를 낸다.
② 양파는 채 썰고, 파는 다진다.
③ '①'에 물만두를 넣고 끓이다가 '②'와 다진 파, 마늘을 
     넣어 끓인다. 
④ 간장, 참기름으로 간한다.</t>
    <phoneticPr fontId="2" type="noConversion"/>
  </si>
  <si>
    <r>
      <rPr>
        <sz val="10"/>
        <color rgb="FF00B050"/>
        <rFont val="한컴산뜻돋움"/>
        <family val="3"/>
        <charset val="129"/>
      </rPr>
      <t>step2</t>
    </r>
    <r>
      <rPr>
        <sz val="10"/>
        <rFont val="한컴산뜻돋움"/>
        <family val="3"/>
        <charset val="129"/>
      </rPr>
      <t xml:space="preserve"> 시금치달걀말이
①⑤</t>
    </r>
    <phoneticPr fontId="2" type="noConversion"/>
  </si>
  <si>
    <t>① 달걀은 곱게 풀어 준비하고 시금치는 손질하여 살짝 데친 후 
     다져준다.
② 풀어 둔 달걀물에 시금치, 소금을 넣고 섞어준다.
③ 기름을 두른 팬에 ②를 넣고 돌돌 말아 완성한다.</t>
    <phoneticPr fontId="2" type="noConversion"/>
  </si>
  <si>
    <t>김자반⑤</t>
    <phoneticPr fontId="2" type="noConversion"/>
  </si>
  <si>
    <t>① 참기름을 두른 팬에 파래김을 볶는다.
② 소금, 설탕, 깨를 넣어 버무린다.</t>
    <phoneticPr fontId="2" type="noConversion"/>
  </si>
  <si>
    <t>도넛①②⑤⑥</t>
    <phoneticPr fontId="2" type="noConversion"/>
  </si>
  <si>
    <t>2025년 12월 19일 (금)</t>
  </si>
  <si>
    <t>키위</t>
    <phoneticPr fontId="2" type="noConversion"/>
  </si>
  <si>
    <t>① 키위는 껍질을 벗기고 한입 크기로 제공한다.</t>
    <phoneticPr fontId="2" type="noConversion"/>
  </si>
  <si>
    <t>아욱된장국⑤⑥</t>
    <phoneticPr fontId="2" type="noConversion"/>
  </si>
  <si>
    <t>아욱</t>
  </si>
  <si>
    <t>① 다시마와 멸치로 육수를 낸다.
② 아욱은 먹기 좋은 크기로 썬다.
③ 파는 송송 썬다.
④ '①'에 된장을 풀고 '②'를 넣고 끓인다.
⑤ '④'에 '③', 다진 마늘을 넣어 간한다.</t>
  </si>
  <si>
    <r>
      <t>돈육데리야끼조림
⑤⑥⑩⑫⑮</t>
    </r>
    <r>
      <rPr>
        <sz val="9"/>
        <color theme="1"/>
        <rFont val="함초롬바탕"/>
        <family val="1"/>
        <charset val="129"/>
      </rPr>
      <t>⑯⑱</t>
    </r>
    <phoneticPr fontId="2" type="noConversion"/>
  </si>
  <si>
    <t>① 돼지고기는 한입 크기로 썰어 소금, 후추로 밑간한다.
② 양파는 한입 크기로 썬다.
③ 기름을 두른 팬에 '①'과 '②'를 넣고 볶는다.
④ '③'에 데리야끼소스를 넣고 더 볶는다.</t>
    <phoneticPr fontId="2" type="noConversion"/>
  </si>
  <si>
    <t>데리야끼소스</t>
    <phoneticPr fontId="2" type="noConversion"/>
  </si>
  <si>
    <t xml:space="preserve">소금 </t>
    <phoneticPr fontId="2" type="noConversion"/>
  </si>
  <si>
    <t>들깨배추나물⑤⑥</t>
    <phoneticPr fontId="2" type="noConversion"/>
  </si>
  <si>
    <t>① 배추는 데쳐서 찬물에 헹구고 물기를 제거한 후 한입 크기로 
     썬다.
② 파는 다진다.
③ '①'에 분량의 양념을 넣어 무친다.</t>
    <phoneticPr fontId="2" type="noConversion"/>
  </si>
  <si>
    <t>들깨가루</t>
    <phoneticPr fontId="2" type="noConversion"/>
  </si>
  <si>
    <t>군고구마</t>
    <phoneticPr fontId="2" type="noConversion"/>
  </si>
  <si>
    <t>고구마</t>
    <phoneticPr fontId="2" type="noConversion"/>
  </si>
  <si>
    <t>① 오븐이나 에어프라이어 등 조리기구를 사용하여 고구마를
     굽는다.
② ‘①’의 껍질을 벗겨 한입 크기로 잘라 제공한다.</t>
    <phoneticPr fontId="2" type="noConversion"/>
  </si>
  <si>
    <t>옥수수차</t>
    <phoneticPr fontId="2" type="noConversion"/>
  </si>
  <si>
    <t>2025년 12월 20일 (토)</t>
  </si>
  <si>
    <r>
      <t>토마토스파게티
②⑤⑥⑫⑮</t>
    </r>
    <r>
      <rPr>
        <sz val="12"/>
        <color theme="1"/>
        <rFont val="Segoe UI Symbol"/>
        <family val="3"/>
      </rPr>
      <t>⑯⑱</t>
    </r>
    <phoneticPr fontId="2" type="noConversion"/>
  </si>
  <si>
    <t>① 토마토는 칼집을 내어 끓는 물에 데쳐 껍질을 벗겨내고 
     잘게 다진다. 
② 양송이버섯과 양파도 다진다.
③ 올리브유를 두른 팬에 '②'와 다진 마늘, 다진 쇠고기를 넣어 
    센 불에 볶다가 '①', 케첩, 설탕을 넣고 볶아 소스를 만든다.
④ 끓는물에 소금과 올리브유를 넣고 스파게티면을 삶아 물기를 
     뺀 후 '③'에 버무려 낸다.</t>
    <phoneticPr fontId="2" type="noConversion"/>
  </si>
  <si>
    <r>
      <t>크림스프②⑤⑥⑮</t>
    </r>
    <r>
      <rPr>
        <sz val="9"/>
        <color theme="1"/>
        <rFont val="함초롬돋움"/>
        <family val="3"/>
        <charset val="129"/>
      </rPr>
      <t>⑯</t>
    </r>
    <phoneticPr fontId="2" type="noConversion"/>
  </si>
  <si>
    <t>① 버터를 팬에 두르고 밀가루를 넣어 볶아준다.
② 우유를 넣고 섞어준다.
③ 소금, 후추를 넣고 간을 한다.</t>
    <phoneticPr fontId="2" type="noConversion"/>
  </si>
  <si>
    <t>버터</t>
  </si>
  <si>
    <t>게살채소볶음
①②⑤⑥⑧⑫</t>
    <phoneticPr fontId="2" type="noConversion"/>
  </si>
  <si>
    <t>① 게살, 당근, 양파는 적당한 크기로 썬다.
② 파는 송송 썬다.
③ 기름을 두른 팬에 다진 마늘을 볶다가 당근, 양파를 넣고 
     함께 볶는다.
④ '③'에 맛살과 파를 넣고 함께 볶다가 간장으로 간을 
     한 후 참기름으로 마무리한다.</t>
    <phoneticPr fontId="2" type="noConversion"/>
  </si>
  <si>
    <t>2025년 12월 22일 (월)</t>
  </si>
  <si>
    <t>① 다시마로 육수를 낸다.
② 무는 채썬다.
③ 냄비에 들기름을 두르고 다진 마늘과 '②'를 넣고 볶다가 
    '①'을 부어 끓인 후, 간장으로 간한다.</t>
    <phoneticPr fontId="2" type="noConversion"/>
  </si>
  <si>
    <r>
      <t>쇠고기당근조림⑤⑥</t>
    </r>
    <r>
      <rPr>
        <sz val="9"/>
        <color theme="1"/>
        <rFont val="함초롬돋움"/>
        <family val="3"/>
        <charset val="129"/>
      </rPr>
      <t>⑯</t>
    </r>
    <phoneticPr fontId="2" type="noConversion"/>
  </si>
  <si>
    <t>① 쇠고기와 당근은 한입 크기로 썰고 양파는 채썬다.
② 분량의 양념을 섞어 양념장을 만든다.
③ 냄비에 '①', '②'와 물을 넣어 조린 후 깨와 참기름으로 
    완성한다.</t>
    <phoneticPr fontId="2" type="noConversion"/>
  </si>
  <si>
    <t>브로콜리나물</t>
    <phoneticPr fontId="2" type="noConversion"/>
  </si>
  <si>
    <t>① 브로콜리는 끓는 물에 데친 후 2x2cm 크기로 자른다.
② ‘①’에 소금, 참기름, 깨를 넣어 무친다.</t>
    <phoneticPr fontId="2" type="noConversion"/>
  </si>
  <si>
    <t>동지팥죽⑤</t>
    <phoneticPr fontId="2" type="noConversion"/>
  </si>
  <si>
    <t>팥</t>
  </si>
  <si>
    <t>① 멥쌀과 팥은 각각 물에 불린다.
② 불린 팥은 한번 삶아 첫 물은 버리고 다시 한 번 푹 삶아준다.
③ 삶은 팥과 팥물을 분리하여 팥은 믹서에 갈아준다.
④ 팥 삶은 물에 ‘②’와 불린 멥쌀을 넣고 저어가며 끓인 후 소금, 
     설탕으로 간한다.</t>
    <phoneticPr fontId="2" type="noConversion"/>
  </si>
  <si>
    <t>멥쌀</t>
  </si>
  <si>
    <t>2025년 12월 23일 (화)</t>
  </si>
  <si>
    <t>고구마죽</t>
    <phoneticPr fontId="2" type="noConversion"/>
  </si>
  <si>
    <t>① 쌀은 불리고, 고구마는 잘게 다진다.
② 냄비에 참기름을 두르고 '①'의 불린 쌀을 넣고 볶다가 고구마를 
     함께 넣어 볶는다.
③ ②에 물을 붓고 끓이다가 소금으로 간을 한다.</t>
    <phoneticPr fontId="2" type="noConversion"/>
  </si>
  <si>
    <t>① 쌀과 흑미를 씻은 후, 물에 불린다.
② 적당량의 물을 부어 밥을 짓는다.</t>
    <phoneticPr fontId="2" type="noConversion"/>
  </si>
  <si>
    <t>닭개장⑤⑥⑮</t>
    <phoneticPr fontId="2" type="noConversion"/>
  </si>
  <si>
    <t>닭가슴살</t>
    <phoneticPr fontId="2" type="noConversion"/>
  </si>
  <si>
    <t xml:space="preserve">① 닭가슴살, 파, 마늘을 넣고 끓여 국물은 육수로 사용한다.
② 삶은 닭가슴살은 찢고, 무는 나박썬다.
③ 숙주는 다듬고 고사리와 먹기 좋은 길이로 썬다.
④ 파는 먹기좋은 크기로 썬다.
⑤ 육수에 '②',  '③', 파를 넣고 맛이 어우러질 때까지 끓인다.
⑥ 간장, 다진 마늘, 참기름으로 간한다.  </t>
    <phoneticPr fontId="2" type="noConversion"/>
  </si>
  <si>
    <t>마늘</t>
    <phoneticPr fontId="2" type="noConversion"/>
  </si>
  <si>
    <t>두부구이⑤&amp;양념장⑤⑥</t>
    <phoneticPr fontId="2" type="noConversion"/>
  </si>
  <si>
    <t>① 두부를 먹기 좋게 썰고 소금을 뿌려 물기를 제거한다.
② 기름을 두른 팬에 두부를 앞뒤로 익힌다.
③ 양념장을 만들어 곁들인다.</t>
    <phoneticPr fontId="2" type="noConversion"/>
  </si>
  <si>
    <r>
      <rPr>
        <sz val="10"/>
        <color rgb="FF00B050"/>
        <rFont val="한컴산뜻돋움"/>
        <family val="3"/>
        <charset val="129"/>
      </rPr>
      <t xml:space="preserve"> step3 </t>
    </r>
    <r>
      <rPr>
        <sz val="10"/>
        <color theme="1"/>
        <rFont val="한컴산뜻돋움"/>
        <family val="3"/>
        <charset val="129"/>
      </rPr>
      <t>시금치나물⑤⑥</t>
    </r>
    <phoneticPr fontId="2" type="noConversion"/>
  </si>
  <si>
    <t>① 시금치는 끓는물에 소금을 넣고 데친 후 찬물에 헹궈 물기를
     빼고 2cm 길이로 썬다.
② '①'에 분량의 양념을 넣고 무친다.</t>
    <phoneticPr fontId="2" type="noConversion"/>
  </si>
  <si>
    <r>
      <t>미니우동⑤⑥⑦⑨</t>
    </r>
    <r>
      <rPr>
        <sz val="10"/>
        <color theme="1"/>
        <rFont val="Segoe UI Symbol"/>
        <family val="3"/>
      </rPr>
      <t>⑯⑱</t>
    </r>
    <phoneticPr fontId="2" type="noConversion"/>
  </si>
  <si>
    <t>① 멸치, 다시마, 가쓰오부시로 육수를 낸다. 
     (국수장국과 물을 1:3으로 섞어 활용 가능하다.)
② 우동면은 끓는물에 삶아 건져 찬물로 씻은 후 물기를 뺀다.
③ 파는 송송 썰고, 쑥갓은 먹기 좋은 크기로 썬다.
④ '①'에 다진 마늘과 간장을 넣고 끓이다가 파, 쑥갓,  소금을 
     넣어 함께 끓인다.
⑤ 그릇에 '②'를 담고 '④'를 부어낸다.</t>
    <phoneticPr fontId="2" type="noConversion"/>
  </si>
  <si>
    <t>쑥갓</t>
    <phoneticPr fontId="2" type="noConversion"/>
  </si>
  <si>
    <t>2025년 12월 24일 (수)</t>
  </si>
  <si>
    <r>
      <t>돈까스
①②⑤⑥⑩⑮</t>
    </r>
    <r>
      <rPr>
        <sz val="11"/>
        <color theme="1"/>
        <rFont val="Segoe UI Symbol"/>
        <family val="3"/>
      </rPr>
      <t>⑯</t>
    </r>
    <r>
      <rPr>
        <sz val="10"/>
        <color theme="1"/>
        <rFont val="Segoe UI Symbol"/>
        <family val="3"/>
      </rPr>
      <t xml:space="preserve">
</t>
    </r>
    <r>
      <rPr>
        <sz val="10"/>
        <color theme="1"/>
        <rFont val="한컴산뜻돋움"/>
        <family val="3"/>
        <charset val="129"/>
      </rPr>
      <t>&amp;돈까스소스
②⑤⑥⑩⑫</t>
    </r>
    <r>
      <rPr>
        <sz val="11"/>
        <color theme="1"/>
        <rFont val="Segoe UI Symbol"/>
        <family val="3"/>
      </rPr>
      <t>⑯⑱</t>
    </r>
    <phoneticPr fontId="2" type="noConversion"/>
  </si>
  <si>
    <t xml:space="preserve">① 돼지고기는 넓게 펴서 소금과 후추로 밑간을 한다.
② 달걀은 풀어 알끈을 제거한다.
③ '①'에 밀가루-달걀-빵가루 순으로 묻힌다.
④ 기름을 충분히 부은 후 '③'을 튀긴 후 소스와 함께 제공한다. </t>
  </si>
  <si>
    <r>
      <t>가쓰오장국
⑤⑥⑦⑨</t>
    </r>
    <r>
      <rPr>
        <sz val="11"/>
        <rFont val="Segoe UI Symbol"/>
        <family val="3"/>
      </rPr>
      <t>⑯⑱</t>
    </r>
    <phoneticPr fontId="2" type="noConversion"/>
  </si>
  <si>
    <t>① 멸치, 다시마, 가쓰오부시로 육수를 낸다. 
    (국수장국과 물을 1:3으로 섞어 활용 가능하다.)
② 파는 송송 썰고 쑥갓은 먹기 좋은 크기로 썬다.
③ '①'에 다진 마늘과 간장을 넣고 끓이다가 '②'를 넣어 함께
     끓인다.</t>
    <phoneticPr fontId="2" type="noConversion"/>
  </si>
  <si>
    <t>양상추샐러드②</t>
    <phoneticPr fontId="2" type="noConversion"/>
  </si>
  <si>
    <t xml:space="preserve">① 양상추는 씻은 후 먹기 좋은 크기로 찢는다.
② 당근, 적채는 채 썬다.
③ '①', '②'에 호상요구르트를 넣어 버무린다. </t>
    <phoneticPr fontId="2" type="noConversion"/>
  </si>
  <si>
    <t>케이크①②⑤⑥</t>
    <phoneticPr fontId="2" type="noConversion"/>
  </si>
  <si>
    <t>조각케이크</t>
    <phoneticPr fontId="2" type="noConversion"/>
  </si>
  <si>
    <t xml:space="preserve"> </t>
    <phoneticPr fontId="2" type="noConversion"/>
  </si>
  <si>
    <t>2025년 12월 26일 (금)</t>
  </si>
  <si>
    <r>
      <t>쇠고기탕국⑤⑥</t>
    </r>
    <r>
      <rPr>
        <sz val="11"/>
        <rFont val="Segoe UI Symbol"/>
        <family val="3"/>
      </rPr>
      <t>⑯</t>
    </r>
    <phoneticPr fontId="2" type="noConversion"/>
  </si>
  <si>
    <t>① 냄비에 참기름을 두르고 먹기 좋은 크기로 썬 무와 쇠고기를 
     넣고 볶는다.
② 다진 마늘을 넣어 볶다가 물을 자작하게 넣어 끓인다.
③ 두부, 파를 넣고 간장으로 간을 맞춘다.</t>
    <phoneticPr fontId="2" type="noConversion"/>
  </si>
  <si>
    <t>두부</t>
    <phoneticPr fontId="2" type="noConversion"/>
  </si>
  <si>
    <t>삼치조림⑤⑥</t>
    <phoneticPr fontId="2" type="noConversion"/>
  </si>
  <si>
    <t>① 삼치는 흐르는 물에 씻어, 핏물을 제거해 물기를 뺀다.
② 양파는 채 썰고 파는 다진다.
③ 분량의 양념을 섞어 양념장을 만든다.
④ 냄비에 양파를 깔고 '①'을 올린 뒤 양념장, 물을 부어 조린 후,
     살을 발라내어 제공한다.</t>
    <phoneticPr fontId="2" type="noConversion"/>
  </si>
  <si>
    <r>
      <rPr>
        <sz val="10"/>
        <color theme="5" tint="-0.249977111117893"/>
        <rFont val="한컴산뜻돋움"/>
        <family val="3"/>
        <charset val="129"/>
      </rPr>
      <t xml:space="preserve"> </t>
    </r>
    <r>
      <rPr>
        <sz val="10"/>
        <color theme="1"/>
        <rFont val="한컴산뜻돋움"/>
        <family val="3"/>
        <charset val="129"/>
      </rPr>
      <t>무나물</t>
    </r>
    <phoneticPr fontId="2" type="noConversion"/>
  </si>
  <si>
    <t>① 무는 껍질을 벗겨 채썰고 2cm 이하 길이로 자른다.
② 들기름을 두른 팬에 '①', 다진 마늘, 소금을 넣고 볶는다.
③ 깨를 뿌려 담아낸다.</t>
    <phoneticPr fontId="2" type="noConversion"/>
  </si>
  <si>
    <t>2025년 12월 27일 (토)</t>
  </si>
  <si>
    <r>
      <t>참치채소비빔밥⑤⑥</t>
    </r>
    <r>
      <rPr>
        <sz val="9"/>
        <rFont val="함초롬돋움"/>
        <family val="3"/>
        <charset val="129"/>
      </rPr>
      <t>⑯⑱</t>
    </r>
    <phoneticPr fontId="2" type="noConversion"/>
  </si>
  <si>
    <t>① 쌀을 씻어 밥을 짓는다.
② 당근, 양배추, 깻잎은 2cm 길이로 채 썰고, 당근과 양배추는 
     소금으로 간하여 기름에 두른 팬에 볶는다.
③ 통조림참치는 체에 밭쳐 기름기를 뺀다.
④ 밥에 '②', '③'을 담고 양념장(간장, 다진 파, 깨, 참기름)을 
     비빈 후 제공한다.</t>
    <phoneticPr fontId="2" type="noConversion"/>
  </si>
  <si>
    <t>참치</t>
    <phoneticPr fontId="2" type="noConversion"/>
  </si>
  <si>
    <t>깻잎</t>
    <phoneticPr fontId="2" type="noConversion"/>
  </si>
  <si>
    <t>유부장국⑤⑥</t>
    <phoneticPr fontId="2" type="noConversion"/>
  </si>
  <si>
    <t>① 다시마와 멸치로 육수를 낸다. 
② 유부는 한입 크기로 썰고, 파는 다진다.
③ 육수에 된장을 풀어 넣고 '②', 다진 마늘을 넣어 끓인다.</t>
  </si>
  <si>
    <t>2025년 12월 29일 (월)</t>
  </si>
  <si>
    <t>방울토마토⑫</t>
    <phoneticPr fontId="2" type="noConversion"/>
  </si>
  <si>
    <t>방울토마토</t>
  </si>
  <si>
    <t>① 방울토마토는 ½로 잘라 제공한다.</t>
    <phoneticPr fontId="2" type="noConversion"/>
  </si>
  <si>
    <t>배추된장국⑤⑥</t>
    <phoneticPr fontId="2" type="noConversion"/>
  </si>
  <si>
    <t>배추</t>
    <phoneticPr fontId="2" type="noConversion"/>
  </si>
  <si>
    <t>① 냄비에 물을 붓고 멸치로 육수를 우려낸 후 된장을 푼다.
② 배추는 적당한 크기로 썬다.
③ 파는 송송 썬다.
④ '①'에 '②'와 '③', 다진마늘을 넣고 끓인다.</t>
    <phoneticPr fontId="2" type="noConversion"/>
  </si>
  <si>
    <t>된장</t>
    <phoneticPr fontId="2" type="noConversion"/>
  </si>
  <si>
    <t>순살닭갈비⑤⑥⑮</t>
    <phoneticPr fontId="2" type="noConversion"/>
  </si>
  <si>
    <t>① 채소는 한입 크기로 썰고 파는 어슷썬다.
② 닭살은 한입 크기로 썬 후 소금, 후추로 밑간한다.
③ 콩기름을 두른 팬에 다진 마늘, 닭살을 넣고 볶다가 채소와 
    분량의 양념을 넣어 더 볶는다.</t>
    <phoneticPr fontId="2" type="noConversion"/>
  </si>
  <si>
    <t>미역오이무침⑤⑥</t>
    <phoneticPr fontId="2" type="noConversion"/>
  </si>
  <si>
    <t>① 오이는 적당하게 썰고, 미역은 여러 번 물에 헹구고 끓는 물에
    데쳐 적당한 크기로 썬다.
② 파는 다진다.
③ 그릇에 ①, ②, 간장, 설탕, 식초, 깨소금으로 양념하여 골고루 
    버무린다.</t>
    <phoneticPr fontId="2" type="noConversion"/>
  </si>
  <si>
    <t>미역</t>
    <phoneticPr fontId="2" type="noConversion"/>
  </si>
  <si>
    <t>김가루주먹밥</t>
    <phoneticPr fontId="2" type="noConversion"/>
  </si>
  <si>
    <t>① 쌀을 씻어 밥을 짓는다.
② 밥에 깨, 참기름을 넣고 섞은 후 주먹밥 모양을 만든다.
③ 김가루에 주먹밥을 굴려 묻힌 후, 손으로 감싸 눌러준다.</t>
    <phoneticPr fontId="2" type="noConversion"/>
  </si>
  <si>
    <t>2025년 12월 30일 (화)</t>
  </si>
  <si>
    <t>흑임자죽</t>
    <phoneticPr fontId="2" type="noConversion"/>
  </si>
  <si>
    <t>① 쌀은 불린다.
② 믹서기에 불린 쌀과 흑임자를 넣고 물을 부어 곱게 간다.
③ 냄비에 '②'를 붓고 끓이다가 소금으로 간을 한다.</t>
    <phoneticPr fontId="2" type="noConversion"/>
  </si>
  <si>
    <t>검은깨</t>
    <phoneticPr fontId="2" type="noConversion"/>
  </si>
  <si>
    <t>순두부국⑤⑨</t>
    <phoneticPr fontId="2" type="noConversion"/>
  </si>
  <si>
    <t>순두부</t>
  </si>
  <si>
    <t>① 다시마와 멸치로 육수를 낸다.
② 양파는 한입 크기로 썰고 파는 송송 썬다.
③ '①'에 '②'와 순두부를 넣어 끓인다.
④ '③'이 끓으면 분량의 양념을 넣어 더 끓인다.</t>
  </si>
  <si>
    <t>흰살생선전①⑤⑥</t>
    <phoneticPr fontId="2" type="noConversion"/>
  </si>
  <si>
    <t>① 달걀은 풀어 달걀물을 만든다.
② 동태포는 소금, 후추로 밑간한 후, 밀가루-달걀물 순으로 입혀 
     기름을 두른 팬에 부친다.</t>
    <phoneticPr fontId="2" type="noConversion"/>
  </si>
  <si>
    <t>표고버섯나물</t>
    <phoneticPr fontId="2" type="noConversion"/>
  </si>
  <si>
    <t>① 표고버섯은 먹기 좋은 길이로 자르고 파는 송송 썬다.
② 끓는 물에 표고버섯을 데쳐 찬물에 한번 헹군 뒤, 분량의 
     양념과 송송 썬 파를 넣어 무친다.</t>
    <phoneticPr fontId="2" type="noConversion"/>
  </si>
  <si>
    <r>
      <t>로제스파게티
①②⑤⑥⑩⑫⑮</t>
    </r>
    <r>
      <rPr>
        <sz val="10"/>
        <rFont val="Segoe UI Symbol"/>
        <family val="3"/>
      </rPr>
      <t>⑯⑱</t>
    </r>
    <phoneticPr fontId="2" type="noConversion"/>
  </si>
  <si>
    <t>① 스파게티면은 끓는 물에 10분간 삶은 후, 채반에 건져
     물기를 뺀다.
② 베이컨은 한입 크기로 잘라 끓는 물에 데친 후 물기를 뺀다.
③ 양파, 양송이 버섯은 다진다.
④ 기름을 두른 팬에 '②',' ③'를 볶다가 토마토소스, 우유,
     생크림을 넣어 끓인다.
⑤ '④'에 후춧가루를 넣어 소스를 완성하고 '①'을 넣어 골고루 
      섞으며 볶는다.</t>
    <phoneticPr fontId="2" type="noConversion"/>
  </si>
  <si>
    <t>양송이버섯</t>
    <phoneticPr fontId="2" type="noConversion"/>
  </si>
  <si>
    <t>베이컨</t>
    <phoneticPr fontId="2" type="noConversion"/>
  </si>
  <si>
    <t>토마토소스</t>
    <phoneticPr fontId="2" type="noConversion"/>
  </si>
  <si>
    <t>생크림</t>
    <phoneticPr fontId="2" type="noConversion"/>
  </si>
  <si>
    <t>2025년 12월 31일 (수)</t>
    <phoneticPr fontId="2" type="noConversion"/>
  </si>
  <si>
    <t>돈육불고기덮밥⑤⑥⑩</t>
    <phoneticPr fontId="2" type="noConversion"/>
  </si>
  <si>
    <t>① 쌀을 씻은 후 밥을 짓는다.
② 돼지고기, 양파, 당근은 적당한 크기로 썰고, 파는 송송 썬다.
③ 돼지고기를 분량의 양념과 함께 골고루 버무린다.
④ 팬에 콩기름을 두르고 '③'을 넣어 볶다가 당근, 양파, 파를 
     넣고 볶는다.
⑤ 그릇에 '①'을 담고 그 위에 '④'를 올린다.</t>
    <phoneticPr fontId="2" type="noConversion"/>
  </si>
  <si>
    <t>달걀파국①</t>
    <phoneticPr fontId="2" type="noConversion"/>
  </si>
  <si>
    <t>① 다시마와 멸치로 육수를 낸다.
② 달걀은 풀고, 파는 송송 썬다.
③ '①'에 다진 마늘과 소금을 넣고 끓인다.
④ 중불로 낮추어 달걀물을 천천히 붓고 가볍게 저어준 후, 파를
     넣어 끓인다.</t>
    <phoneticPr fontId="2" type="noConversion"/>
  </si>
  <si>
    <r>
      <t>어묵감자채볶음
①②⑤⑥⑧⑨</t>
    </r>
    <r>
      <rPr>
        <sz val="10"/>
        <rFont val="Segoe UI Symbol"/>
        <family val="3"/>
      </rPr>
      <t>⑱</t>
    </r>
    <phoneticPr fontId="2" type="noConversion"/>
  </si>
  <si>
    <t>어묵</t>
    <phoneticPr fontId="2" type="noConversion"/>
  </si>
  <si>
    <t>① 어묵, 감자는 채 썬다.
② 기름을 두른 팬에 '①'을 볶는다.
③ 다진 마늘, 소금, 참기름으로 간하고 살짝 더 볶는다.</t>
    <phoneticPr fontId="2" type="noConversion"/>
  </si>
  <si>
    <t>딸기잼샌드위치①②⑤⑥</t>
    <phoneticPr fontId="2" type="noConversion"/>
  </si>
  <si>
    <t>① 식빵에 딸기잼을 바른 후, 한입 크기로 잘라 제공한다.</t>
    <phoneticPr fontId="2" type="noConversion"/>
  </si>
  <si>
    <t>딸기잼</t>
    <phoneticPr fontId="2" type="noConversion"/>
  </si>
  <si>
    <t xml:space="preserve">★Birthday식단           </t>
    <phoneticPr fontId="2" type="noConversion"/>
  </si>
  <si>
    <t>새우살미역국⑤⑥⑨</t>
    <phoneticPr fontId="2" type="noConversion"/>
  </si>
  <si>
    <t>새우</t>
    <phoneticPr fontId="2" type="noConversion"/>
  </si>
  <si>
    <t>① 미역은 불려 적당한 크기로 썬다.
② 새우는 적당한 크기로 썰어서 준비한다.
③ 냄비에 참기름을 두르고 다진마늘과 '①'을 넣어 볶는다.
④ '③'에 물을 붓고 새우를 넣어 끓이다가 소금, 간장으로 간을 
      한다.</t>
    <phoneticPr fontId="2" type="noConversion"/>
  </si>
  <si>
    <t>돈육갈비찜⑤⑥⑩</t>
    <phoneticPr fontId="2" type="noConversion"/>
  </si>
  <si>
    <t>돼지갈비</t>
    <phoneticPr fontId="2" type="noConversion"/>
  </si>
  <si>
    <t>① 돼지갈비는 한입 크기로 자른 후, 물에 담궈 핏물을 제거한다.
② 감자, 양파는 한입 크기로 썰고, 파는 다진다.
③ 분량의 양념을 섞어 양념장을 만든다.
④ 냄비에 '①', '③'과 물을 넣어 약불에서 끓이다가 반쯤 익으면
     '②'와 대추, 밤을 넣어 푹 익힌다.</t>
    <phoneticPr fontId="2" type="noConversion"/>
  </si>
  <si>
    <t>대추</t>
    <phoneticPr fontId="2" type="noConversion"/>
  </si>
  <si>
    <t>맛술</t>
    <phoneticPr fontId="2" type="noConversion"/>
  </si>
  <si>
    <t>버섯잡채⑤⑥</t>
    <phoneticPr fontId="2" type="noConversion"/>
  </si>
  <si>
    <t xml:space="preserve">① 당면은 물에 불린다.
② 느타리버섯은 잘게 찢고 표고버섯, 양파, 당근은 채 썬다. 
③ 기름을 두른 팬에 다진 마늘과 ‘②’를 넣고 소금으로 간하여
     볶는다.
④ 당면은 삶아서 물기 제거 후, 먹기 좋은 길이로 잘라 간장, 
     설탕, 참기름으로 간을 하여 볶는다.
⑤ 모든 재료를 잘 섞은 후 깨를 뿌려 마무리한다. </t>
    <phoneticPr fontId="2" type="noConversion"/>
  </si>
  <si>
    <t>당면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</si>
</sst>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"/>
    <numFmt numFmtId="177" formatCode="0_ "/>
    <numFmt numFmtId="178" formatCode="0.0_);[Red]\(0.0\)"/>
    <numFmt numFmtId="179" formatCode="0_);[Red]\(0\)"/>
    <numFmt numFmtId="180" formatCode="0.0_ "/>
  </numFmts>
  <fonts count="3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9"/>
      <name val="Arial"/>
      <family val="2"/>
    </font>
    <font>
      <sz val="11"/>
      <color theme="1"/>
      <name val="한컴산뜻돋움"/>
      <family val="3"/>
      <charset val="129"/>
    </font>
    <font>
      <b/>
      <sz val="11"/>
      <color theme="1"/>
      <name val="한컴산뜻돋움"/>
      <family val="3"/>
      <charset val="129"/>
    </font>
    <font>
      <b/>
      <sz val="40"/>
      <name val="한컴산뜻돋움"/>
      <family val="3"/>
      <charset val="129"/>
    </font>
    <font>
      <sz val="12"/>
      <color rgb="FFFF0000"/>
      <name val="한컴산뜻돋움"/>
      <family val="3"/>
      <charset val="129"/>
    </font>
    <font>
      <b/>
      <sz val="14"/>
      <name val="한컴산뜻돋움"/>
      <family val="3"/>
      <charset val="129"/>
    </font>
    <font>
      <sz val="10"/>
      <color theme="1"/>
      <name val="한컴산뜻돋움"/>
      <family val="3"/>
      <charset val="129"/>
    </font>
    <font>
      <sz val="10"/>
      <name val="한컴산뜻돋움"/>
      <family val="3"/>
      <charset val="129"/>
    </font>
    <font>
      <b/>
      <sz val="12"/>
      <color theme="1"/>
      <name val="한컴산뜻돋움"/>
      <family val="3"/>
      <charset val="129"/>
    </font>
    <font>
      <sz val="10"/>
      <color rgb="FF000000"/>
      <name val="한컴산뜻돋움"/>
      <family val="3"/>
      <charset val="129"/>
    </font>
    <font>
      <sz val="9"/>
      <color rgb="FF000000"/>
      <name val="맑은 고딕"/>
      <family val="3"/>
      <charset val="128"/>
    </font>
    <font>
      <sz val="9"/>
      <name val="한컴산뜻돋움"/>
      <family val="3"/>
      <charset val="129"/>
    </font>
    <font>
      <sz val="10"/>
      <color indexed="8"/>
      <name val="한컴산뜻돋움"/>
      <family val="3"/>
      <charset val="129"/>
    </font>
    <font>
      <sz val="10"/>
      <color rgb="FFFF0000"/>
      <name val="한컴산뜻돋움"/>
      <family val="3"/>
      <charset val="129"/>
    </font>
    <font>
      <sz val="10"/>
      <name val="Segoe UI Symbol"/>
      <family val="3"/>
    </font>
    <font>
      <sz val="10"/>
      <name val="MS Gothic"/>
      <family val="3"/>
    </font>
    <font>
      <sz val="10"/>
      <color theme="1"/>
      <name val="Segoe UI Symbol"/>
      <family val="3"/>
    </font>
    <font>
      <sz val="10"/>
      <color rgb="FF00B050"/>
      <name val="한컴산뜻돋움"/>
      <family val="3"/>
      <charset val="129"/>
    </font>
    <font>
      <sz val="10"/>
      <color rgb="FF000000"/>
      <name val="Segoe UI Symbol"/>
      <family val="3"/>
    </font>
    <font>
      <sz val="11"/>
      <color theme="1"/>
      <name val="Segoe UI Symbol"/>
      <family val="3"/>
    </font>
    <font>
      <sz val="11"/>
      <name val="Segoe UI Symbol"/>
      <family val="3"/>
    </font>
    <font>
      <sz val="9"/>
      <name val="함초롬돋움"/>
      <family val="3"/>
      <charset val="129"/>
    </font>
    <font>
      <sz val="11"/>
      <color theme="1"/>
      <name val="함초롬돋움"/>
      <family val="3"/>
      <charset val="129"/>
    </font>
    <font>
      <sz val="10"/>
      <name val="MS Gothic"/>
      <family val="3"/>
      <charset val="128"/>
    </font>
    <font>
      <sz val="9"/>
      <color theme="1"/>
      <name val="함초롬바탕"/>
      <family val="1"/>
      <charset val="129"/>
    </font>
    <font>
      <sz val="12"/>
      <color theme="1"/>
      <name val="Segoe UI Symbol"/>
      <family val="3"/>
    </font>
    <font>
      <sz val="9"/>
      <color theme="1"/>
      <name val="함초롬돋움"/>
      <family val="3"/>
      <charset val="129"/>
    </font>
    <font>
      <sz val="10"/>
      <color theme="5" tint="-0.249977111117893"/>
      <name val="한컴산뜻돋움"/>
      <family val="3"/>
      <charset val="129"/>
    </font>
  </fonts>
  <fills count="10">
    <fill>
      <patternFill patternType="none"/>
    </fill>
    <fill>
      <patternFill patternType="gray125"/>
    </fill>
    <fill>
      <patternFill patternType="solid">
        <fgColor rgb="FFFFFF9F"/>
        <bgColor indexed="64"/>
      </patternFill>
    </fill>
    <fill>
      <patternFill patternType="solid">
        <fgColor rgb="FFFF9B9B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7D8EC"/>
        <bgColor indexed="64"/>
      </patternFill>
    </fill>
    <fill>
      <patternFill patternType="solid">
        <fgColor rgb="FFFFDBAB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ck">
        <color rgb="FF0000FF"/>
      </left>
      <right style="thick">
        <color rgb="FF0000FF"/>
      </right>
      <top style="thick">
        <color rgb="FF0000FF"/>
      </top>
      <bottom style="thick">
        <color rgb="FF0000FF"/>
      </bottom>
      <diagonal/>
    </border>
    <border>
      <left style="thick">
        <color rgb="FF0000FF"/>
      </left>
      <right/>
      <top/>
      <bottom/>
      <diagonal/>
    </border>
    <border>
      <left style="thick">
        <color rgb="FF0000FF"/>
      </left>
      <right style="thick">
        <color rgb="FF0000FF"/>
      </right>
      <top style="thick">
        <color rgb="FF0000FF"/>
      </top>
      <bottom/>
      <diagonal/>
    </border>
    <border>
      <left style="thick">
        <color rgb="FF0000FF"/>
      </left>
      <right style="thick">
        <color rgb="FF0000FF"/>
      </right>
      <top/>
      <bottom style="thick">
        <color rgb="FF0000FF"/>
      </bottom>
      <diagonal/>
    </border>
    <border>
      <left/>
      <right/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indexed="64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double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double">
        <color auto="1"/>
      </right>
      <top/>
      <bottom style="thin">
        <color auto="1"/>
      </bottom>
      <diagonal/>
    </border>
    <border>
      <left style="double">
        <color auto="1"/>
      </left>
      <right/>
      <top style="thin">
        <color auto="1"/>
      </top>
      <bottom/>
      <diagonal/>
    </border>
    <border>
      <left style="double">
        <color auto="1"/>
      </left>
      <right/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/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/>
      <top style="double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/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 style="double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indexed="64"/>
      </right>
      <top style="thin">
        <color auto="1"/>
      </top>
      <bottom/>
      <diagonal/>
    </border>
  </borders>
  <cellStyleXfs count="12">
    <xf numFmtId="0" fontId="0" fillId="0" borderId="0">
      <alignment vertical="center"/>
    </xf>
    <xf numFmtId="0" fontId="1" fillId="0" borderId="0">
      <alignment vertical="center"/>
    </xf>
    <xf numFmtId="0" fontId="3" fillId="0" borderId="0"/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335">
    <xf numFmtId="0" fontId="0" fillId="0" borderId="0" xfId="0">
      <alignment vertical="center"/>
    </xf>
    <xf numFmtId="0" fontId="6" fillId="0" borderId="0" xfId="0" applyFo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7" fillId="6" borderId="6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0" fontId="7" fillId="7" borderId="12" xfId="0" applyFont="1" applyFill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177" fontId="11" fillId="0" borderId="6" xfId="0" applyNumberFormat="1" applyFont="1" applyBorder="1" applyAlignment="1">
      <alignment horizontal="center" vertical="center"/>
    </xf>
    <xf numFmtId="0" fontId="11" fillId="0" borderId="14" xfId="4" applyFont="1" applyBorder="1" applyAlignment="1">
      <alignment horizontal="center" vertical="center" shrinkToFit="1"/>
    </xf>
    <xf numFmtId="0" fontId="11" fillId="0" borderId="18" xfId="1" applyFont="1" applyBorder="1" applyAlignment="1">
      <alignment horizontal="center" vertical="center" wrapText="1" shrinkToFit="1"/>
    </xf>
    <xf numFmtId="0" fontId="12" fillId="0" borderId="6" xfId="0" applyFont="1" applyBorder="1" applyAlignment="1">
      <alignment horizontal="center" vertical="center" shrinkToFit="1"/>
    </xf>
    <xf numFmtId="0" fontId="11" fillId="0" borderId="14" xfId="0" applyFont="1" applyBorder="1" applyAlignment="1">
      <alignment horizontal="center" vertical="center" shrinkToFit="1"/>
    </xf>
    <xf numFmtId="0" fontId="11" fillId="0" borderId="6" xfId="0" applyFont="1" applyBorder="1" applyAlignment="1">
      <alignment horizontal="center" vertical="center" shrinkToFit="1"/>
    </xf>
    <xf numFmtId="178" fontId="11" fillId="0" borderId="6" xfId="0" applyNumberFormat="1" applyFont="1" applyBorder="1" applyAlignment="1">
      <alignment horizontal="center" vertical="center"/>
    </xf>
    <xf numFmtId="0" fontId="11" fillId="0" borderId="13" xfId="1" applyFont="1" applyBorder="1" applyAlignment="1">
      <alignment horizontal="center" vertical="center" wrapText="1" shrinkToFit="1"/>
    </xf>
    <xf numFmtId="0" fontId="11" fillId="0" borderId="6" xfId="1" applyFont="1" applyBorder="1" applyAlignment="1">
      <alignment horizontal="center" vertical="center" shrinkToFit="1"/>
    </xf>
    <xf numFmtId="0" fontId="11" fillId="0" borderId="22" xfId="1" applyFont="1" applyBorder="1" applyAlignment="1">
      <alignment horizontal="center" vertical="center" shrinkToFit="1"/>
    </xf>
    <xf numFmtId="179" fontId="11" fillId="0" borderId="6" xfId="0" applyNumberFormat="1" applyFont="1" applyBorder="1" applyAlignment="1">
      <alignment horizontal="center" vertical="center"/>
    </xf>
    <xf numFmtId="180" fontId="11" fillId="0" borderId="6" xfId="0" applyNumberFormat="1" applyFont="1" applyBorder="1" applyAlignment="1">
      <alignment horizontal="center" vertical="center"/>
    </xf>
    <xf numFmtId="176" fontId="11" fillId="0" borderId="6" xfId="0" applyNumberFormat="1" applyFont="1" applyBorder="1" applyAlignment="1">
      <alignment horizontal="center" vertical="center"/>
    </xf>
    <xf numFmtId="0" fontId="11" fillId="0" borderId="13" xfId="1" applyFont="1" applyBorder="1" applyAlignment="1">
      <alignment horizontal="center" vertical="center" shrinkToFit="1"/>
    </xf>
    <xf numFmtId="0" fontId="11" fillId="0" borderId="22" xfId="1" applyFont="1" applyBorder="1" applyAlignment="1">
      <alignment horizontal="center" vertical="center" wrapText="1" shrinkToFit="1"/>
    </xf>
    <xf numFmtId="1" fontId="11" fillId="0" borderId="6" xfId="0" applyNumberFormat="1" applyFont="1" applyBorder="1" applyAlignment="1">
      <alignment horizontal="center" vertical="center"/>
    </xf>
    <xf numFmtId="0" fontId="11" fillId="0" borderId="32" xfId="0" applyFont="1" applyBorder="1" applyAlignment="1">
      <alignment horizontal="center" vertical="center" shrinkToFit="1"/>
    </xf>
    <xf numFmtId="176" fontId="11" fillId="0" borderId="32" xfId="0" applyNumberFormat="1" applyFont="1" applyBorder="1" applyAlignment="1">
      <alignment horizontal="center" vertical="center"/>
    </xf>
    <xf numFmtId="0" fontId="11" fillId="0" borderId="32" xfId="0" applyFont="1" applyBorder="1" applyAlignment="1">
      <alignment horizontal="center" vertical="center"/>
    </xf>
    <xf numFmtId="0" fontId="16" fillId="0" borderId="0" xfId="3" applyFont="1">
      <alignment vertical="center"/>
    </xf>
    <xf numFmtId="0" fontId="13" fillId="0" borderId="0" xfId="0" applyFont="1" applyAlignment="1">
      <alignment horizontal="center" vertical="center" shrinkToFit="1"/>
    </xf>
    <xf numFmtId="0" fontId="11" fillId="0" borderId="0" xfId="0" applyFont="1" applyAlignment="1">
      <alignment horizontal="center" vertical="center" shrinkToFit="1"/>
    </xf>
    <xf numFmtId="0" fontId="11" fillId="0" borderId="0" xfId="0" applyFont="1" applyAlignment="1">
      <alignment horizontal="center" vertical="center"/>
    </xf>
    <xf numFmtId="0" fontId="11" fillId="0" borderId="0" xfId="1" applyFont="1" applyAlignment="1">
      <alignment horizontal="center" vertical="center" wrapText="1"/>
    </xf>
    <xf numFmtId="0" fontId="11" fillId="0" borderId="18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11" fillId="0" borderId="22" xfId="0" applyFont="1" applyBorder="1" applyAlignment="1">
      <alignment horizontal="center" vertical="center" shrinkToFit="1"/>
    </xf>
    <xf numFmtId="0" fontId="13" fillId="8" borderId="34" xfId="0" applyFont="1" applyFill="1" applyBorder="1" applyAlignment="1">
      <alignment horizontal="center" vertical="center"/>
    </xf>
    <xf numFmtId="0" fontId="11" fillId="0" borderId="18" xfId="0" applyFont="1" applyBorder="1" applyAlignment="1">
      <alignment horizontal="center" vertical="center" shrinkToFit="1"/>
    </xf>
    <xf numFmtId="0" fontId="14" fillId="0" borderId="0" xfId="0" applyFont="1" applyAlignment="1">
      <alignment horizontal="center" vertical="center"/>
    </xf>
    <xf numFmtId="179" fontId="12" fillId="0" borderId="6" xfId="0" applyNumberFormat="1" applyFont="1" applyBorder="1" applyAlignment="1">
      <alignment horizontal="center" vertical="center"/>
    </xf>
    <xf numFmtId="178" fontId="12" fillId="0" borderId="6" xfId="0" applyNumberFormat="1" applyFont="1" applyBorder="1" applyAlignment="1">
      <alignment horizontal="center" vertical="center"/>
    </xf>
    <xf numFmtId="180" fontId="11" fillId="0" borderId="32" xfId="0" applyNumberFormat="1" applyFont="1" applyBorder="1" applyAlignment="1">
      <alignment horizontal="center" vertical="center"/>
    </xf>
    <xf numFmtId="0" fontId="11" fillId="0" borderId="37" xfId="0" applyFont="1" applyBorder="1" applyAlignment="1">
      <alignment horizontal="center" vertical="center"/>
    </xf>
    <xf numFmtId="0" fontId="11" fillId="0" borderId="6" xfId="1" applyFont="1" applyBorder="1" applyAlignment="1">
      <alignment horizontal="center" vertical="center" wrapText="1" shrinkToFit="1"/>
    </xf>
    <xf numFmtId="0" fontId="7" fillId="6" borderId="14" xfId="0" applyFont="1" applyFill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178" fontId="11" fillId="0" borderId="18" xfId="0" applyNumberFormat="1" applyFont="1" applyBorder="1" applyAlignment="1">
      <alignment horizontal="center" vertical="center"/>
    </xf>
    <xf numFmtId="0" fontId="11" fillId="0" borderId="25" xfId="0" applyFont="1" applyBorder="1" applyAlignment="1">
      <alignment horizontal="center" vertical="center" shrinkToFit="1"/>
    </xf>
    <xf numFmtId="0" fontId="11" fillId="0" borderId="6" xfId="4" applyFont="1" applyBorder="1" applyAlignment="1">
      <alignment horizontal="center" vertical="center" shrinkToFit="1"/>
    </xf>
    <xf numFmtId="179" fontId="11" fillId="0" borderId="18" xfId="0" applyNumberFormat="1" applyFont="1" applyBorder="1" applyAlignment="1">
      <alignment horizontal="center" vertical="center"/>
    </xf>
    <xf numFmtId="0" fontId="11" fillId="0" borderId="22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 shrinkToFit="1"/>
    </xf>
    <xf numFmtId="179" fontId="11" fillId="0" borderId="31" xfId="0" applyNumberFormat="1" applyFont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center" vertical="center"/>
    </xf>
    <xf numFmtId="0" fontId="7" fillId="7" borderId="10" xfId="0" applyFont="1" applyFill="1" applyBorder="1" applyAlignment="1">
      <alignment horizontal="center" vertical="center"/>
    </xf>
    <xf numFmtId="0" fontId="11" fillId="0" borderId="6" xfId="0" applyFont="1" applyBorder="1" applyAlignment="1">
      <alignment horizontal="center" vertical="center" wrapText="1"/>
    </xf>
    <xf numFmtId="0" fontId="11" fillId="0" borderId="32" xfId="1" applyFont="1" applyBorder="1" applyAlignment="1">
      <alignment horizontal="center" vertical="center" wrapText="1" shrinkToFit="1"/>
    </xf>
    <xf numFmtId="0" fontId="11" fillId="0" borderId="31" xfId="0" applyFont="1" applyBorder="1" applyAlignment="1">
      <alignment horizontal="center" vertical="center"/>
    </xf>
    <xf numFmtId="0" fontId="11" fillId="0" borderId="32" xfId="1" applyFont="1" applyBorder="1" applyAlignment="1">
      <alignment horizontal="center" vertical="center" shrinkToFit="1"/>
    </xf>
    <xf numFmtId="179" fontId="11" fillId="0" borderId="32" xfId="0" applyNumberFormat="1" applyFont="1" applyBorder="1" applyAlignment="1">
      <alignment horizontal="center" vertical="center"/>
    </xf>
    <xf numFmtId="1" fontId="11" fillId="0" borderId="31" xfId="0" applyNumberFormat="1" applyFont="1" applyBorder="1" applyAlignment="1">
      <alignment horizontal="center" vertical="center"/>
    </xf>
    <xf numFmtId="0" fontId="11" fillId="0" borderId="18" xfId="4" applyFont="1" applyBorder="1" applyAlignment="1">
      <alignment horizontal="center" vertical="center"/>
    </xf>
    <xf numFmtId="0" fontId="27" fillId="0" borderId="0" xfId="0" applyFont="1">
      <alignment vertical="center"/>
    </xf>
    <xf numFmtId="1" fontId="11" fillId="0" borderId="32" xfId="0" applyNumberFormat="1" applyFont="1" applyBorder="1" applyAlignment="1">
      <alignment horizontal="center" vertical="center"/>
    </xf>
    <xf numFmtId="0" fontId="11" fillId="0" borderId="45" xfId="4" applyFont="1" applyBorder="1" applyAlignment="1">
      <alignment horizontal="center" vertical="center" shrinkToFit="1"/>
    </xf>
    <xf numFmtId="0" fontId="11" fillId="9" borderId="6" xfId="0" applyFont="1" applyFill="1" applyBorder="1" applyAlignment="1">
      <alignment horizontal="center" vertical="center"/>
    </xf>
    <xf numFmtId="0" fontId="11" fillId="0" borderId="13" xfId="4" applyFont="1" applyBorder="1" applyAlignment="1">
      <alignment horizontal="center" vertical="center" shrinkToFit="1"/>
    </xf>
    <xf numFmtId="178" fontId="11" fillId="0" borderId="13" xfId="0" applyNumberFormat="1" applyFont="1" applyBorder="1" applyAlignment="1">
      <alignment horizontal="center" vertical="center"/>
    </xf>
    <xf numFmtId="180" fontId="11" fillId="0" borderId="13" xfId="0" applyNumberFormat="1" applyFont="1" applyBorder="1" applyAlignment="1">
      <alignment horizontal="center" vertical="center"/>
    </xf>
    <xf numFmtId="0" fontId="11" fillId="0" borderId="32" xfId="4" applyFont="1" applyBorder="1" applyAlignment="1">
      <alignment horizontal="center" vertical="center" shrinkToFit="1"/>
    </xf>
    <xf numFmtId="178" fontId="11" fillId="0" borderId="32" xfId="0" applyNumberFormat="1" applyFont="1" applyBorder="1" applyAlignment="1">
      <alignment horizontal="center" vertical="center"/>
    </xf>
    <xf numFmtId="0" fontId="11" fillId="9" borderId="32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 shrinkToFit="1"/>
    </xf>
    <xf numFmtId="0" fontId="11" fillId="0" borderId="19" xfId="0" applyFont="1" applyBorder="1" applyAlignment="1">
      <alignment horizontal="center" vertical="center" shrinkToFit="1"/>
    </xf>
    <xf numFmtId="0" fontId="11" fillId="0" borderId="45" xfId="0" applyFont="1" applyBorder="1" applyAlignment="1">
      <alignment horizontal="center" vertical="center" shrinkToFit="1"/>
    </xf>
    <xf numFmtId="0" fontId="12" fillId="0" borderId="6" xfId="3" applyFont="1" applyBorder="1" applyAlignment="1" applyProtection="1">
      <alignment horizontal="center" vertical="center"/>
      <protection locked="0"/>
    </xf>
    <xf numFmtId="0" fontId="16" fillId="0" borderId="6" xfId="3" applyFont="1" applyBorder="1" applyAlignment="1" applyProtection="1">
      <alignment horizontal="center" vertical="center"/>
      <protection locked="0"/>
    </xf>
    <xf numFmtId="0" fontId="11" fillId="0" borderId="37" xfId="0" applyFont="1" applyBorder="1" applyAlignment="1">
      <alignment horizontal="center" vertical="center" shrinkToFit="1"/>
    </xf>
    <xf numFmtId="0" fontId="12" fillId="0" borderId="6" xfId="0" applyFont="1" applyBorder="1" applyAlignment="1">
      <alignment horizontal="center" vertical="center"/>
    </xf>
    <xf numFmtId="0" fontId="14" fillId="0" borderId="31" xfId="0" applyFont="1" applyBorder="1" applyAlignment="1">
      <alignment horizontal="center" vertical="center"/>
    </xf>
    <xf numFmtId="0" fontId="12" fillId="0" borderId="6" xfId="1" applyFont="1" applyBorder="1" applyAlignment="1">
      <alignment horizontal="center" vertical="center" wrapText="1" shrinkToFit="1"/>
    </xf>
    <xf numFmtId="0" fontId="11" fillId="0" borderId="31" xfId="1" applyFont="1" applyBorder="1" applyAlignment="1">
      <alignment horizontal="center" vertical="center" shrinkToFit="1"/>
    </xf>
    <xf numFmtId="177" fontId="11" fillId="0" borderId="32" xfId="0" applyNumberFormat="1" applyFont="1" applyBorder="1" applyAlignment="1">
      <alignment horizontal="center" vertical="center"/>
    </xf>
    <xf numFmtId="0" fontId="12" fillId="0" borderId="18" xfId="3" applyFont="1" applyBorder="1" applyAlignment="1" applyProtection="1">
      <alignment horizontal="center" vertical="center"/>
      <protection locked="0"/>
    </xf>
    <xf numFmtId="0" fontId="11" fillId="0" borderId="18" xfId="5" applyFont="1" applyBorder="1" applyAlignment="1">
      <alignment horizontal="center" vertical="center" shrinkToFit="1"/>
    </xf>
    <xf numFmtId="180" fontId="11" fillId="0" borderId="18" xfId="0" applyNumberFormat="1" applyFont="1" applyBorder="1" applyAlignment="1">
      <alignment horizontal="center" vertical="center"/>
    </xf>
    <xf numFmtId="0" fontId="11" fillId="0" borderId="6" xfId="5" applyFont="1" applyBorder="1" applyAlignment="1">
      <alignment horizontal="center" vertical="center" shrinkToFit="1"/>
    </xf>
    <xf numFmtId="176" fontId="11" fillId="0" borderId="18" xfId="4" applyNumberFormat="1" applyFont="1" applyBorder="1" applyAlignment="1">
      <alignment horizontal="center" vertical="center"/>
    </xf>
    <xf numFmtId="1" fontId="11" fillId="0" borderId="18" xfId="4" applyNumberFormat="1" applyFont="1" applyBorder="1" applyAlignment="1">
      <alignment horizontal="center" vertical="center"/>
    </xf>
    <xf numFmtId="0" fontId="11" fillId="0" borderId="37" xfId="1" applyFont="1" applyBorder="1" applyAlignment="1">
      <alignment horizontal="center" vertical="center" shrinkToFit="1"/>
    </xf>
    <xf numFmtId="1" fontId="11" fillId="0" borderId="18" xfId="0" applyNumberFormat="1" applyFont="1" applyBorder="1" applyAlignment="1">
      <alignment horizontal="center" vertical="center"/>
    </xf>
    <xf numFmtId="177" fontId="11" fillId="0" borderId="13" xfId="0" applyNumberFormat="1" applyFont="1" applyBorder="1" applyAlignment="1">
      <alignment horizontal="center" vertical="center"/>
    </xf>
    <xf numFmtId="0" fontId="14" fillId="0" borderId="0" xfId="0" applyFont="1" applyAlignment="1">
      <alignment vertical="center" wrapText="1"/>
    </xf>
    <xf numFmtId="0" fontId="11" fillId="0" borderId="14" xfId="0" applyFont="1" applyBorder="1" applyAlignment="1">
      <alignment horizontal="left" vertical="center" wrapText="1"/>
    </xf>
    <xf numFmtId="0" fontId="11" fillId="0" borderId="15" xfId="0" applyFont="1" applyBorder="1" applyAlignment="1">
      <alignment horizontal="left" vertical="center" wrapText="1"/>
    </xf>
    <xf numFmtId="0" fontId="11" fillId="0" borderId="16" xfId="0" applyFont="1" applyBorder="1" applyAlignment="1">
      <alignment horizontal="left" vertical="center" wrapText="1"/>
    </xf>
    <xf numFmtId="0" fontId="11" fillId="0" borderId="14" xfId="1" applyFont="1" applyBorder="1" applyAlignment="1">
      <alignment horizontal="center" vertical="center" wrapText="1"/>
    </xf>
    <xf numFmtId="0" fontId="11" fillId="0" borderId="15" xfId="1" applyFont="1" applyBorder="1" applyAlignment="1">
      <alignment horizontal="center" vertical="center" wrapText="1"/>
    </xf>
    <xf numFmtId="0" fontId="11" fillId="0" borderId="16" xfId="1" applyFont="1" applyBorder="1" applyAlignment="1">
      <alignment horizontal="center" vertical="center" wrapText="1"/>
    </xf>
    <xf numFmtId="0" fontId="7" fillId="7" borderId="12" xfId="0" applyFont="1" applyFill="1" applyBorder="1" applyAlignment="1">
      <alignment horizontal="center" vertical="center"/>
    </xf>
    <xf numFmtId="0" fontId="7" fillId="7" borderId="17" xfId="0" applyFont="1" applyFill="1" applyBorder="1" applyAlignment="1">
      <alignment horizontal="center" vertical="center"/>
    </xf>
    <xf numFmtId="0" fontId="13" fillId="8" borderId="10" xfId="0" applyFont="1" applyFill="1" applyBorder="1" applyAlignment="1">
      <alignment horizontal="center" vertical="center"/>
    </xf>
    <xf numFmtId="0" fontId="11" fillId="0" borderId="18" xfId="0" applyFont="1" applyBorder="1" applyAlignment="1">
      <alignment horizontal="left" vertical="center" wrapText="1"/>
    </xf>
    <xf numFmtId="0" fontId="11" fillId="0" borderId="13" xfId="1" applyFont="1" applyBorder="1" applyAlignment="1">
      <alignment horizontal="center" vertical="center" wrapText="1" shrinkToFit="1"/>
    </xf>
    <xf numFmtId="0" fontId="11" fillId="0" borderId="22" xfId="1" applyFont="1" applyBorder="1" applyAlignment="1">
      <alignment horizontal="center" vertical="center" shrinkToFit="1"/>
    </xf>
    <xf numFmtId="0" fontId="11" fillId="0" borderId="18" xfId="1" applyFont="1" applyBorder="1" applyAlignment="1">
      <alignment horizontal="center" vertical="center" shrinkToFit="1"/>
    </xf>
    <xf numFmtId="0" fontId="11" fillId="0" borderId="19" xfId="1" applyFont="1" applyBorder="1" applyAlignment="1">
      <alignment horizontal="left" vertical="center" wrapText="1"/>
    </xf>
    <xf numFmtId="0" fontId="11" fillId="0" borderId="20" xfId="1" applyFont="1" applyBorder="1" applyAlignment="1">
      <alignment horizontal="left" vertical="center" wrapText="1"/>
    </xf>
    <xf numFmtId="0" fontId="11" fillId="0" borderId="21" xfId="1" applyFont="1" applyBorder="1" applyAlignment="1">
      <alignment horizontal="left" vertical="center" wrapText="1"/>
    </xf>
    <xf numFmtId="0" fontId="11" fillId="0" borderId="23" xfId="1" applyFont="1" applyBorder="1" applyAlignment="1">
      <alignment horizontal="left" vertical="center" wrapText="1"/>
    </xf>
    <xf numFmtId="0" fontId="11" fillId="0" borderId="0" xfId="1" applyFont="1" applyAlignment="1">
      <alignment horizontal="left" vertical="center" wrapText="1"/>
    </xf>
    <xf numFmtId="0" fontId="11" fillId="0" borderId="24" xfId="1" applyFont="1" applyBorder="1" applyAlignment="1">
      <alignment horizontal="left" vertical="center" wrapText="1"/>
    </xf>
    <xf numFmtId="0" fontId="11" fillId="0" borderId="25" xfId="1" applyFont="1" applyBorder="1" applyAlignment="1">
      <alignment horizontal="left" vertical="center" wrapText="1"/>
    </xf>
    <xf numFmtId="0" fontId="11" fillId="0" borderId="26" xfId="1" applyFont="1" applyBorder="1" applyAlignment="1">
      <alignment horizontal="left" vertical="center" wrapText="1"/>
    </xf>
    <xf numFmtId="0" fontId="11" fillId="0" borderId="27" xfId="1" applyFont="1" applyBorder="1" applyAlignment="1">
      <alignment horizontal="left" vertical="center" wrapText="1"/>
    </xf>
    <xf numFmtId="0" fontId="14" fillId="0" borderId="13" xfId="0" applyFont="1" applyBorder="1" applyAlignment="1">
      <alignment horizontal="center" vertical="center" wrapText="1"/>
    </xf>
    <xf numFmtId="0" fontId="14" fillId="0" borderId="22" xfId="0" applyFont="1" applyBorder="1" applyAlignment="1">
      <alignment horizontal="center" vertical="center" wrapText="1"/>
    </xf>
    <xf numFmtId="0" fontId="11" fillId="0" borderId="19" xfId="0" applyFont="1" applyBorder="1" applyAlignment="1">
      <alignment horizontal="left" vertical="center" wrapText="1"/>
    </xf>
    <xf numFmtId="0" fontId="11" fillId="0" borderId="20" xfId="0" applyFont="1" applyBorder="1" applyAlignment="1">
      <alignment horizontal="left" vertical="center" wrapText="1"/>
    </xf>
    <xf numFmtId="0" fontId="11" fillId="0" borderId="21" xfId="0" applyFont="1" applyBorder="1" applyAlignment="1">
      <alignment horizontal="left" vertical="center" wrapText="1"/>
    </xf>
    <xf numFmtId="0" fontId="11" fillId="0" borderId="23" xfId="0" applyFont="1" applyBorder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11" fillId="0" borderId="24" xfId="0" applyFont="1" applyBorder="1" applyAlignment="1">
      <alignment horizontal="left" vertical="center" wrapText="1"/>
    </xf>
    <xf numFmtId="0" fontId="12" fillId="0" borderId="13" xfId="1" applyFont="1" applyBorder="1" applyAlignment="1">
      <alignment horizontal="center" vertical="center" wrapText="1" shrinkToFit="1"/>
    </xf>
    <xf numFmtId="0" fontId="12" fillId="0" borderId="22" xfId="1" applyFont="1" applyBorder="1" applyAlignment="1">
      <alignment horizontal="center" vertical="center" wrapText="1" shrinkToFit="1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9" fillId="0" borderId="2" xfId="0" applyFont="1" applyBorder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7" fillId="6" borderId="10" xfId="0" applyFont="1" applyFill="1" applyBorder="1" applyAlignment="1">
      <alignment horizontal="center" vertical="center"/>
    </xf>
    <xf numFmtId="0" fontId="7" fillId="6" borderId="6" xfId="0" applyFont="1" applyFill="1" applyBorder="1" applyAlignment="1">
      <alignment horizontal="center" vertical="center"/>
    </xf>
    <xf numFmtId="0" fontId="7" fillId="6" borderId="11" xfId="0" applyFont="1" applyFill="1" applyBorder="1" applyAlignment="1">
      <alignment horizontal="center" vertical="center"/>
    </xf>
    <xf numFmtId="0" fontId="11" fillId="0" borderId="14" xfId="1" applyFont="1" applyBorder="1" applyAlignment="1">
      <alignment horizontal="left" vertical="center" wrapText="1"/>
    </xf>
    <xf numFmtId="0" fontId="11" fillId="0" borderId="15" xfId="1" applyFont="1" applyBorder="1" applyAlignment="1">
      <alignment horizontal="left" vertical="center" wrapText="1"/>
    </xf>
    <xf numFmtId="0" fontId="11" fillId="0" borderId="16" xfId="1" applyFont="1" applyBorder="1" applyAlignment="1">
      <alignment horizontal="left" vertical="center" wrapText="1"/>
    </xf>
    <xf numFmtId="0" fontId="13" fillId="5" borderId="28" xfId="0" applyFont="1" applyFill="1" applyBorder="1" applyAlignment="1">
      <alignment horizontal="center" vertical="center" shrinkToFit="1"/>
    </xf>
    <xf numFmtId="0" fontId="13" fillId="5" borderId="29" xfId="0" applyFont="1" applyFill="1" applyBorder="1" applyAlignment="1">
      <alignment horizontal="center" vertical="center" shrinkToFit="1"/>
    </xf>
    <xf numFmtId="0" fontId="13" fillId="5" borderId="30" xfId="0" applyFont="1" applyFill="1" applyBorder="1" applyAlignment="1">
      <alignment horizontal="center" vertical="center" shrinkToFit="1"/>
    </xf>
    <xf numFmtId="0" fontId="11" fillId="0" borderId="22" xfId="1" applyFont="1" applyBorder="1" applyAlignment="1">
      <alignment horizontal="center" vertical="center" wrapText="1" shrinkToFit="1"/>
    </xf>
    <xf numFmtId="0" fontId="11" fillId="0" borderId="31" xfId="1" applyFont="1" applyBorder="1" applyAlignment="1">
      <alignment horizontal="center" vertical="center" wrapText="1" shrinkToFit="1"/>
    </xf>
    <xf numFmtId="0" fontId="11" fillId="0" borderId="6" xfId="1" applyFont="1" applyBorder="1" applyAlignment="1">
      <alignment horizontal="left" vertical="center" wrapText="1"/>
    </xf>
    <xf numFmtId="0" fontId="11" fillId="0" borderId="11" xfId="1" applyFont="1" applyBorder="1" applyAlignment="1">
      <alignment horizontal="left" vertical="center" wrapText="1"/>
    </xf>
    <xf numFmtId="0" fontId="11" fillId="0" borderId="32" xfId="1" applyFont="1" applyBorder="1" applyAlignment="1">
      <alignment horizontal="left" vertical="center" wrapText="1"/>
    </xf>
    <xf numFmtId="0" fontId="11" fillId="0" borderId="33" xfId="1" applyFont="1" applyBorder="1" applyAlignment="1">
      <alignment horizontal="left" vertical="center" wrapText="1"/>
    </xf>
    <xf numFmtId="0" fontId="16" fillId="0" borderId="0" xfId="3" applyFont="1">
      <alignment vertical="center"/>
    </xf>
    <xf numFmtId="0" fontId="13" fillId="5" borderId="12" xfId="0" applyFont="1" applyFill="1" applyBorder="1" applyAlignment="1">
      <alignment horizontal="center" vertical="center" shrinkToFit="1"/>
    </xf>
    <xf numFmtId="0" fontId="13" fillId="5" borderId="34" xfId="0" applyFont="1" applyFill="1" applyBorder="1" applyAlignment="1">
      <alignment horizontal="center" vertical="center" shrinkToFit="1"/>
    </xf>
    <xf numFmtId="0" fontId="13" fillId="5" borderId="35" xfId="0" applyFont="1" applyFill="1" applyBorder="1" applyAlignment="1">
      <alignment horizontal="center" vertical="center" shrinkToFit="1"/>
    </xf>
    <xf numFmtId="0" fontId="12" fillId="0" borderId="6" xfId="0" applyFont="1" applyBorder="1" applyAlignment="1">
      <alignment horizontal="left" vertical="center" wrapText="1"/>
    </xf>
    <xf numFmtId="0" fontId="18" fillId="0" borderId="6" xfId="0" applyFont="1" applyBorder="1" applyAlignment="1">
      <alignment horizontal="left" vertical="center" wrapText="1"/>
    </xf>
    <xf numFmtId="0" fontId="18" fillId="0" borderId="11" xfId="0" applyFont="1" applyBorder="1" applyAlignment="1">
      <alignment horizontal="left" vertical="center" wrapText="1"/>
    </xf>
    <xf numFmtId="0" fontId="18" fillId="0" borderId="32" xfId="0" applyFont="1" applyBorder="1" applyAlignment="1">
      <alignment horizontal="left" vertical="center" wrapText="1"/>
    </xf>
    <xf numFmtId="0" fontId="18" fillId="0" borderId="33" xfId="0" applyFont="1" applyBorder="1" applyAlignment="1">
      <alignment horizontal="left" vertical="center" wrapText="1"/>
    </xf>
    <xf numFmtId="0" fontId="16" fillId="0" borderId="36" xfId="3" applyFont="1" applyBorder="1">
      <alignment vertical="center"/>
    </xf>
    <xf numFmtId="0" fontId="7" fillId="7" borderId="34" xfId="0" applyFont="1" applyFill="1" applyBorder="1" applyAlignment="1">
      <alignment horizontal="center" vertical="center"/>
    </xf>
    <xf numFmtId="0" fontId="11" fillId="0" borderId="14" xfId="0" applyFont="1" applyBorder="1" applyAlignment="1">
      <alignment horizontal="left" vertical="center"/>
    </xf>
    <xf numFmtId="0" fontId="11" fillId="0" borderId="15" xfId="0" applyFont="1" applyBorder="1" applyAlignment="1">
      <alignment horizontal="left" vertical="center"/>
    </xf>
    <xf numFmtId="0" fontId="11" fillId="0" borderId="16" xfId="0" applyFont="1" applyBorder="1" applyAlignment="1">
      <alignment horizontal="left" vertical="center"/>
    </xf>
    <xf numFmtId="0" fontId="11" fillId="0" borderId="14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13" fillId="8" borderId="12" xfId="0" applyFont="1" applyFill="1" applyBorder="1" applyAlignment="1">
      <alignment horizontal="center" vertical="center"/>
    </xf>
    <xf numFmtId="0" fontId="13" fillId="8" borderId="34" xfId="0" applyFont="1" applyFill="1" applyBorder="1" applyAlignment="1">
      <alignment horizontal="center" vertical="center"/>
    </xf>
    <xf numFmtId="0" fontId="11" fillId="0" borderId="22" xfId="0" applyFont="1" applyBorder="1" applyAlignment="1">
      <alignment horizontal="center" vertical="center" shrinkToFit="1"/>
    </xf>
    <xf numFmtId="0" fontId="11" fillId="0" borderId="18" xfId="0" applyFont="1" applyBorder="1" applyAlignment="1">
      <alignment horizontal="center" vertical="center" shrinkToFit="1"/>
    </xf>
    <xf numFmtId="0" fontId="11" fillId="0" borderId="25" xfId="0" applyFont="1" applyBorder="1" applyAlignment="1">
      <alignment horizontal="left" vertical="center" wrapText="1"/>
    </xf>
    <xf numFmtId="0" fontId="11" fillId="0" borderId="26" xfId="0" applyFont="1" applyBorder="1" applyAlignment="1">
      <alignment horizontal="left" vertical="center" wrapText="1"/>
    </xf>
    <xf numFmtId="0" fontId="11" fillId="0" borderId="27" xfId="0" applyFont="1" applyBorder="1" applyAlignment="1">
      <alignment horizontal="left" vertical="center" wrapText="1"/>
    </xf>
    <xf numFmtId="0" fontId="11" fillId="0" borderId="13" xfId="1" applyFont="1" applyBorder="1" applyAlignment="1">
      <alignment horizontal="center" vertical="center" shrinkToFit="1"/>
    </xf>
    <xf numFmtId="0" fontId="11" fillId="0" borderId="18" xfId="1" applyFont="1" applyBorder="1" applyAlignment="1">
      <alignment horizontal="center" vertical="center" wrapText="1" shrinkToFit="1"/>
    </xf>
    <xf numFmtId="0" fontId="11" fillId="0" borderId="6" xfId="0" applyFont="1" applyBorder="1" applyAlignment="1">
      <alignment horizontal="left" vertical="center" wrapText="1"/>
    </xf>
    <xf numFmtId="0" fontId="11" fillId="0" borderId="11" xfId="0" applyFont="1" applyBorder="1" applyAlignment="1">
      <alignment horizontal="left" vertical="center" wrapText="1"/>
    </xf>
    <xf numFmtId="0" fontId="11" fillId="0" borderId="38" xfId="0" applyFont="1" applyBorder="1" applyAlignment="1">
      <alignment horizontal="left" vertical="center" wrapText="1"/>
    </xf>
    <xf numFmtId="0" fontId="11" fillId="0" borderId="5" xfId="0" applyFont="1" applyBorder="1" applyAlignment="1">
      <alignment horizontal="left" vertical="center" wrapText="1"/>
    </xf>
    <xf numFmtId="0" fontId="11" fillId="0" borderId="39" xfId="0" applyFont="1" applyBorder="1" applyAlignment="1">
      <alignment horizontal="left" vertical="center" wrapText="1"/>
    </xf>
    <xf numFmtId="0" fontId="10" fillId="4" borderId="40" xfId="0" applyFont="1" applyFill="1" applyBorder="1" applyAlignment="1">
      <alignment horizontal="center" vertical="center"/>
    </xf>
    <xf numFmtId="0" fontId="10" fillId="4" borderId="41" xfId="0" applyFont="1" applyFill="1" applyBorder="1" applyAlignment="1">
      <alignment horizontal="center" vertical="center"/>
    </xf>
    <xf numFmtId="0" fontId="10" fillId="4" borderId="42" xfId="0" applyFont="1" applyFill="1" applyBorder="1" applyAlignment="1">
      <alignment horizontal="center" vertical="center"/>
    </xf>
    <xf numFmtId="0" fontId="12" fillId="0" borderId="13" xfId="0" applyFont="1" applyBorder="1" applyAlignment="1">
      <alignment horizontal="center" vertical="center" wrapText="1" shrinkToFit="1"/>
    </xf>
    <xf numFmtId="0" fontId="12" fillId="0" borderId="22" xfId="0" applyFont="1" applyBorder="1" applyAlignment="1">
      <alignment horizontal="center" vertical="center" shrinkToFit="1"/>
    </xf>
    <xf numFmtId="0" fontId="12" fillId="0" borderId="18" xfId="0" applyFont="1" applyBorder="1" applyAlignment="1">
      <alignment horizontal="center" vertical="center" shrinkToFit="1"/>
    </xf>
    <xf numFmtId="0" fontId="11" fillId="0" borderId="6" xfId="1" applyFont="1" applyBorder="1" applyAlignment="1">
      <alignment horizontal="center" vertical="center" wrapText="1" shrinkToFit="1"/>
    </xf>
    <xf numFmtId="0" fontId="7" fillId="5" borderId="12" xfId="0" applyFont="1" applyFill="1" applyBorder="1" applyAlignment="1">
      <alignment horizontal="center" vertical="center"/>
    </xf>
    <xf numFmtId="0" fontId="7" fillId="5" borderId="35" xfId="0" applyFont="1" applyFill="1" applyBorder="1" applyAlignment="1">
      <alignment horizontal="center" vertical="center"/>
    </xf>
    <xf numFmtId="0" fontId="11" fillId="0" borderId="38" xfId="1" applyFont="1" applyBorder="1" applyAlignment="1">
      <alignment horizontal="center" vertical="center" wrapText="1"/>
    </xf>
    <xf numFmtId="0" fontId="11" fillId="0" borderId="5" xfId="1" applyFont="1" applyBorder="1" applyAlignment="1">
      <alignment horizontal="center" vertical="center" wrapText="1"/>
    </xf>
    <xf numFmtId="0" fontId="11" fillId="0" borderId="39" xfId="1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14" fillId="0" borderId="6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/>
    </xf>
    <xf numFmtId="0" fontId="13" fillId="8" borderId="17" xfId="0" applyFont="1" applyFill="1" applyBorder="1" applyAlignment="1">
      <alignment horizontal="center" vertical="center"/>
    </xf>
    <xf numFmtId="0" fontId="11" fillId="0" borderId="19" xfId="4" applyFont="1" applyBorder="1" applyAlignment="1">
      <alignment horizontal="left" vertical="center" wrapText="1"/>
    </xf>
    <xf numFmtId="0" fontId="11" fillId="0" borderId="20" xfId="4" applyFont="1" applyBorder="1" applyAlignment="1">
      <alignment horizontal="left" vertical="center" wrapText="1"/>
    </xf>
    <xf numFmtId="0" fontId="11" fillId="0" borderId="21" xfId="4" applyFont="1" applyBorder="1" applyAlignment="1">
      <alignment horizontal="left" vertical="center" wrapText="1"/>
    </xf>
    <xf numFmtId="0" fontId="11" fillId="0" borderId="23" xfId="4" applyFont="1" applyBorder="1" applyAlignment="1">
      <alignment horizontal="left" vertical="center" wrapText="1"/>
    </xf>
    <xf numFmtId="0" fontId="11" fillId="0" borderId="0" xfId="4" applyFont="1" applyAlignment="1">
      <alignment horizontal="left" vertical="center" wrapText="1"/>
    </xf>
    <xf numFmtId="0" fontId="11" fillId="0" borderId="24" xfId="4" applyFont="1" applyBorder="1" applyAlignment="1">
      <alignment horizontal="left" vertical="center" wrapText="1"/>
    </xf>
    <xf numFmtId="0" fontId="11" fillId="0" borderId="25" xfId="4" applyFont="1" applyBorder="1" applyAlignment="1">
      <alignment horizontal="left" vertical="center" wrapText="1"/>
    </xf>
    <xf numFmtId="0" fontId="11" fillId="0" borderId="26" xfId="4" applyFont="1" applyBorder="1" applyAlignment="1">
      <alignment horizontal="left" vertical="center" wrapText="1"/>
    </xf>
    <xf numFmtId="0" fontId="11" fillId="0" borderId="27" xfId="4" applyFont="1" applyBorder="1" applyAlignment="1">
      <alignment horizontal="left" vertical="center" wrapText="1"/>
    </xf>
    <xf numFmtId="0" fontId="11" fillId="0" borderId="14" xfId="4" applyFont="1" applyBorder="1" applyAlignment="1">
      <alignment horizontal="left" vertical="center" wrapText="1"/>
    </xf>
    <xf numFmtId="0" fontId="11" fillId="0" borderId="15" xfId="4" applyFont="1" applyBorder="1" applyAlignment="1">
      <alignment horizontal="left" vertical="center" wrapText="1"/>
    </xf>
    <xf numFmtId="0" fontId="11" fillId="0" borderId="16" xfId="4" applyFont="1" applyBorder="1" applyAlignment="1">
      <alignment horizontal="left" vertical="center" wrapText="1"/>
    </xf>
    <xf numFmtId="0" fontId="7" fillId="6" borderId="14" xfId="0" applyFont="1" applyFill="1" applyBorder="1" applyAlignment="1">
      <alignment horizontal="center" vertical="center"/>
    </xf>
    <xf numFmtId="0" fontId="7" fillId="6" borderId="37" xfId="0" applyFont="1" applyFill="1" applyBorder="1" applyAlignment="1">
      <alignment horizontal="center" vertical="center"/>
    </xf>
    <xf numFmtId="0" fontId="7" fillId="6" borderId="19" xfId="0" applyFont="1" applyFill="1" applyBorder="1" applyAlignment="1">
      <alignment horizontal="center" vertical="center"/>
    </xf>
    <xf numFmtId="0" fontId="7" fillId="6" borderId="20" xfId="0" applyFont="1" applyFill="1" applyBorder="1" applyAlignment="1">
      <alignment horizontal="center" vertical="center"/>
    </xf>
    <xf numFmtId="0" fontId="7" fillId="6" borderId="21" xfId="0" applyFont="1" applyFill="1" applyBorder="1" applyAlignment="1">
      <alignment horizontal="center" vertical="center"/>
    </xf>
    <xf numFmtId="0" fontId="7" fillId="6" borderId="25" xfId="0" applyFont="1" applyFill="1" applyBorder="1" applyAlignment="1">
      <alignment horizontal="center" vertical="center"/>
    </xf>
    <xf numFmtId="0" fontId="7" fillId="6" borderId="26" xfId="0" applyFont="1" applyFill="1" applyBorder="1" applyAlignment="1">
      <alignment horizontal="center" vertical="center"/>
    </xf>
    <xf numFmtId="0" fontId="7" fillId="6" borderId="27" xfId="0" applyFont="1" applyFill="1" applyBorder="1" applyAlignment="1">
      <alignment horizontal="center" vertical="center"/>
    </xf>
    <xf numFmtId="0" fontId="11" fillId="0" borderId="6" xfId="0" applyFont="1" applyBorder="1" applyAlignment="1">
      <alignment horizontal="center" vertical="center" shrinkToFit="1"/>
    </xf>
    <xf numFmtId="0" fontId="11" fillId="0" borderId="43" xfId="0" applyFont="1" applyBorder="1" applyAlignment="1">
      <alignment horizontal="left" vertical="center" wrapText="1"/>
    </xf>
    <xf numFmtId="0" fontId="12" fillId="0" borderId="22" xfId="1" applyFont="1" applyBorder="1" applyAlignment="1">
      <alignment horizontal="center" vertical="center" shrinkToFit="1"/>
    </xf>
    <xf numFmtId="0" fontId="7" fillId="6" borderId="12" xfId="0" applyFont="1" applyFill="1" applyBorder="1" applyAlignment="1">
      <alignment horizontal="center" vertical="center"/>
    </xf>
    <xf numFmtId="0" fontId="7" fillId="6" borderId="17" xfId="0" applyFont="1" applyFill="1" applyBorder="1" applyAlignment="1">
      <alignment horizontal="center" vertical="center"/>
    </xf>
    <xf numFmtId="0" fontId="7" fillId="6" borderId="13" xfId="0" applyFont="1" applyFill="1" applyBorder="1" applyAlignment="1">
      <alignment horizontal="center" vertical="center"/>
    </xf>
    <xf numFmtId="0" fontId="7" fillId="6" borderId="18" xfId="0" applyFont="1" applyFill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11" fillId="0" borderId="20" xfId="0" applyFont="1" applyBorder="1" applyAlignment="1">
      <alignment horizontal="center" vertical="center"/>
    </xf>
    <xf numFmtId="0" fontId="11" fillId="0" borderId="21" xfId="0" applyFont="1" applyBorder="1" applyAlignment="1">
      <alignment horizontal="center" vertical="center"/>
    </xf>
    <xf numFmtId="0" fontId="13" fillId="8" borderId="44" xfId="0" applyFont="1" applyFill="1" applyBorder="1" applyAlignment="1">
      <alignment horizontal="center" vertical="center"/>
    </xf>
    <xf numFmtId="0" fontId="12" fillId="0" borderId="13" xfId="0" applyFont="1" applyBorder="1" applyAlignment="1">
      <alignment horizontal="center" vertical="center" shrinkToFit="1"/>
    </xf>
    <xf numFmtId="0" fontId="11" fillId="0" borderId="6" xfId="1" applyFont="1" applyBorder="1" applyAlignment="1">
      <alignment horizontal="center" vertical="center" shrinkToFit="1"/>
    </xf>
    <xf numFmtId="0" fontId="11" fillId="0" borderId="45" xfId="4" applyFont="1" applyBorder="1" applyAlignment="1">
      <alignment horizontal="left" vertical="center" wrapText="1"/>
    </xf>
    <xf numFmtId="0" fontId="11" fillId="0" borderId="46" xfId="4" applyFont="1" applyBorder="1" applyAlignment="1">
      <alignment horizontal="left" vertical="center" wrapText="1"/>
    </xf>
    <xf numFmtId="0" fontId="11" fillId="0" borderId="47" xfId="4" applyFont="1" applyBorder="1" applyAlignment="1">
      <alignment horizontal="left" vertical="center" wrapText="1"/>
    </xf>
    <xf numFmtId="0" fontId="13" fillId="5" borderId="10" xfId="0" applyFont="1" applyFill="1" applyBorder="1" applyAlignment="1">
      <alignment horizontal="center" vertical="center" shrinkToFit="1"/>
    </xf>
    <xf numFmtId="0" fontId="13" fillId="5" borderId="44" xfId="0" applyFont="1" applyFill="1" applyBorder="1" applyAlignment="1">
      <alignment horizontal="center" vertical="center" shrinkToFit="1"/>
    </xf>
    <xf numFmtId="0" fontId="11" fillId="0" borderId="6" xfId="1" applyFont="1" applyBorder="1" applyAlignment="1">
      <alignment vertical="center" wrapText="1"/>
    </xf>
    <xf numFmtId="0" fontId="11" fillId="0" borderId="11" xfId="1" applyFont="1" applyBorder="1" applyAlignment="1">
      <alignment vertical="center" wrapText="1"/>
    </xf>
    <xf numFmtId="0" fontId="11" fillId="0" borderId="45" xfId="0" applyFont="1" applyBorder="1" applyAlignment="1">
      <alignment horizontal="left" vertical="center" wrapText="1"/>
    </xf>
    <xf numFmtId="0" fontId="11" fillId="0" borderId="46" xfId="0" applyFont="1" applyBorder="1" applyAlignment="1">
      <alignment horizontal="left" vertical="center" wrapText="1"/>
    </xf>
    <xf numFmtId="0" fontId="11" fillId="0" borderId="47" xfId="0" applyFont="1" applyBorder="1" applyAlignment="1">
      <alignment horizontal="left" vertical="center" wrapText="1"/>
    </xf>
    <xf numFmtId="0" fontId="11" fillId="0" borderId="6" xfId="0" applyFont="1" applyBorder="1">
      <alignment vertical="center"/>
    </xf>
    <xf numFmtId="0" fontId="11" fillId="0" borderId="11" xfId="0" applyFont="1" applyBorder="1">
      <alignment vertical="center"/>
    </xf>
    <xf numFmtId="0" fontId="11" fillId="0" borderId="13" xfId="0" applyFont="1" applyBorder="1" applyAlignment="1">
      <alignment horizontal="center" vertical="center" wrapText="1" shrinkToFit="1"/>
    </xf>
    <xf numFmtId="0" fontId="11" fillId="0" borderId="31" xfId="0" applyFont="1" applyBorder="1" applyAlignment="1">
      <alignment horizontal="center" vertical="center" shrinkToFit="1"/>
    </xf>
    <xf numFmtId="0" fontId="11" fillId="0" borderId="38" xfId="1" applyFont="1" applyBorder="1" applyAlignment="1">
      <alignment horizontal="left" vertical="center" wrapText="1"/>
    </xf>
    <xf numFmtId="0" fontId="11" fillId="0" borderId="5" xfId="1" applyFont="1" applyBorder="1" applyAlignment="1">
      <alignment horizontal="left" vertical="center" wrapText="1"/>
    </xf>
    <xf numFmtId="0" fontId="11" fillId="0" borderId="39" xfId="1" applyFont="1" applyBorder="1" applyAlignment="1">
      <alignment horizontal="left" vertical="center" wrapText="1"/>
    </xf>
    <xf numFmtId="0" fontId="14" fillId="0" borderId="22" xfId="1" applyFont="1" applyBorder="1" applyAlignment="1">
      <alignment horizontal="center" vertical="center" shrinkToFit="1"/>
    </xf>
    <xf numFmtId="0" fontId="12" fillId="0" borderId="13" xfId="1" applyFont="1" applyBorder="1" applyAlignment="1">
      <alignment horizontal="center" vertical="center" shrinkToFit="1"/>
    </xf>
    <xf numFmtId="0" fontId="11" fillId="0" borderId="45" xfId="0" applyFont="1" applyBorder="1" applyAlignment="1">
      <alignment horizontal="center" vertical="center"/>
    </xf>
    <xf numFmtId="0" fontId="11" fillId="0" borderId="46" xfId="0" applyFont="1" applyBorder="1" applyAlignment="1">
      <alignment horizontal="center" vertical="center"/>
    </xf>
    <xf numFmtId="0" fontId="11" fillId="0" borderId="47" xfId="0" applyFont="1" applyBorder="1" applyAlignment="1">
      <alignment horizontal="center" vertical="center"/>
    </xf>
    <xf numFmtId="0" fontId="12" fillId="0" borderId="31" xfId="0" applyFont="1" applyBorder="1" applyAlignment="1">
      <alignment horizontal="center" vertical="center" shrinkToFit="1"/>
    </xf>
    <xf numFmtId="0" fontId="11" fillId="0" borderId="38" xfId="4" applyFont="1" applyBorder="1" applyAlignment="1">
      <alignment horizontal="left" vertical="center" wrapText="1"/>
    </xf>
    <xf numFmtId="0" fontId="11" fillId="0" borderId="5" xfId="4" applyFont="1" applyBorder="1" applyAlignment="1">
      <alignment horizontal="left" vertical="center" wrapText="1"/>
    </xf>
    <xf numFmtId="0" fontId="11" fillId="0" borderId="39" xfId="4" applyFont="1" applyBorder="1" applyAlignment="1">
      <alignment horizontal="left" vertical="center" wrapText="1"/>
    </xf>
    <xf numFmtId="0" fontId="11" fillId="0" borderId="13" xfId="4" applyFont="1" applyBorder="1" applyAlignment="1">
      <alignment horizontal="center" vertical="center"/>
    </xf>
    <xf numFmtId="0" fontId="11" fillId="0" borderId="22" xfId="4" applyFont="1" applyBorder="1" applyAlignment="1">
      <alignment horizontal="center" vertical="center"/>
    </xf>
    <xf numFmtId="0" fontId="11" fillId="0" borderId="18" xfId="4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 wrapText="1" shrinkToFit="1"/>
    </xf>
    <xf numFmtId="0" fontId="14" fillId="0" borderId="13" xfId="0" applyFont="1" applyBorder="1" applyAlignment="1">
      <alignment horizontal="center" vertical="center"/>
    </xf>
    <xf numFmtId="0" fontId="14" fillId="0" borderId="22" xfId="0" applyFont="1" applyBorder="1" applyAlignment="1">
      <alignment horizontal="center" vertical="center"/>
    </xf>
    <xf numFmtId="0" fontId="14" fillId="0" borderId="18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 wrapText="1" shrinkToFit="1"/>
    </xf>
    <xf numFmtId="0" fontId="11" fillId="0" borderId="19" xfId="0" applyFont="1" applyBorder="1" applyAlignment="1">
      <alignment vertical="center" wrapText="1"/>
    </xf>
    <xf numFmtId="0" fontId="11" fillId="0" borderId="20" xfId="0" applyFont="1" applyBorder="1" applyAlignment="1">
      <alignment vertical="center" wrapText="1"/>
    </xf>
    <xf numFmtId="0" fontId="11" fillId="0" borderId="21" xfId="0" applyFont="1" applyBorder="1" applyAlignment="1">
      <alignment vertical="center" wrapText="1"/>
    </xf>
    <xf numFmtId="0" fontId="11" fillId="0" borderId="23" xfId="0" applyFont="1" applyBorder="1" applyAlignment="1">
      <alignment vertical="center" wrapText="1"/>
    </xf>
    <xf numFmtId="0" fontId="11" fillId="0" borderId="0" xfId="0" applyFont="1" applyAlignment="1">
      <alignment vertical="center" wrapText="1"/>
    </xf>
    <xf numFmtId="0" fontId="11" fillId="0" borderId="24" xfId="0" applyFont="1" applyBorder="1" applyAlignment="1">
      <alignment vertical="center" wrapText="1"/>
    </xf>
    <xf numFmtId="0" fontId="11" fillId="0" borderId="45" xfId="1" applyFont="1" applyBorder="1" applyAlignment="1">
      <alignment horizontal="left" vertical="center" wrapText="1"/>
    </xf>
    <xf numFmtId="0" fontId="11" fillId="0" borderId="46" xfId="1" applyFont="1" applyBorder="1" applyAlignment="1">
      <alignment horizontal="left" vertical="center" wrapText="1"/>
    </xf>
    <xf numFmtId="0" fontId="11" fillId="0" borderId="47" xfId="1" applyFont="1" applyBorder="1" applyAlignment="1">
      <alignment horizontal="left" vertical="center" wrapText="1"/>
    </xf>
    <xf numFmtId="0" fontId="11" fillId="0" borderId="25" xfId="0" applyFont="1" applyBorder="1" applyAlignment="1">
      <alignment vertical="center" wrapText="1"/>
    </xf>
    <xf numFmtId="0" fontId="11" fillId="0" borderId="26" xfId="0" applyFont="1" applyBorder="1" applyAlignment="1">
      <alignment vertical="center" wrapText="1"/>
    </xf>
    <xf numFmtId="0" fontId="11" fillId="0" borderId="27" xfId="0" applyFont="1" applyBorder="1" applyAlignment="1">
      <alignment vertical="center" wrapText="1"/>
    </xf>
    <xf numFmtId="0" fontId="12" fillId="9" borderId="13" xfId="0" applyFont="1" applyFill="1" applyBorder="1" applyAlignment="1">
      <alignment horizontal="center" vertical="center" wrapText="1" shrinkToFit="1"/>
    </xf>
    <xf numFmtId="0" fontId="12" fillId="9" borderId="22" xfId="0" applyFont="1" applyFill="1" applyBorder="1" applyAlignment="1">
      <alignment horizontal="center" vertical="center" wrapText="1" shrinkToFit="1"/>
    </xf>
    <xf numFmtId="0" fontId="12" fillId="9" borderId="18" xfId="0" applyFont="1" applyFill="1" applyBorder="1" applyAlignment="1">
      <alignment horizontal="center" vertical="center" wrapText="1" shrinkToFit="1"/>
    </xf>
    <xf numFmtId="0" fontId="11" fillId="0" borderId="19" xfId="4" applyFont="1" applyBorder="1" applyAlignment="1">
      <alignment vertical="center" wrapText="1"/>
    </xf>
    <xf numFmtId="0" fontId="11" fillId="0" borderId="20" xfId="4" applyFont="1" applyBorder="1" applyAlignment="1">
      <alignment vertical="center" wrapText="1"/>
    </xf>
    <xf numFmtId="0" fontId="11" fillId="0" borderId="21" xfId="4" applyFont="1" applyBorder="1" applyAlignment="1">
      <alignment vertical="center" wrapText="1"/>
    </xf>
    <xf numFmtId="0" fontId="11" fillId="0" borderId="23" xfId="4" applyFont="1" applyBorder="1" applyAlignment="1">
      <alignment vertical="center" wrapText="1"/>
    </xf>
    <xf numFmtId="0" fontId="11" fillId="0" borderId="0" xfId="4" applyFont="1" applyAlignment="1">
      <alignment vertical="center" wrapText="1"/>
    </xf>
    <xf numFmtId="0" fontId="11" fillId="0" borderId="24" xfId="4" applyFont="1" applyBorder="1" applyAlignment="1">
      <alignment vertical="center" wrapText="1"/>
    </xf>
    <xf numFmtId="0" fontId="11" fillId="0" borderId="25" xfId="4" applyFont="1" applyBorder="1" applyAlignment="1">
      <alignment vertical="center" wrapText="1"/>
    </xf>
    <xf numFmtId="0" fontId="11" fillId="0" borderId="26" xfId="4" applyFont="1" applyBorder="1" applyAlignment="1">
      <alignment vertical="center" wrapText="1"/>
    </xf>
    <xf numFmtId="0" fontId="11" fillId="0" borderId="27" xfId="4" applyFont="1" applyBorder="1" applyAlignment="1">
      <alignment vertical="center" wrapText="1"/>
    </xf>
    <xf numFmtId="0" fontId="16" fillId="0" borderId="36" xfId="3" applyFont="1" applyBorder="1" applyAlignment="1">
      <alignment horizontal="center" vertical="center"/>
    </xf>
    <xf numFmtId="0" fontId="11" fillId="0" borderId="45" xfId="1" applyFont="1" applyBorder="1" applyAlignment="1">
      <alignment horizontal="center" vertical="center" wrapText="1"/>
    </xf>
    <xf numFmtId="0" fontId="11" fillId="0" borderId="46" xfId="1" applyFont="1" applyBorder="1" applyAlignment="1">
      <alignment horizontal="center" vertical="center" wrapText="1"/>
    </xf>
    <xf numFmtId="0" fontId="11" fillId="0" borderId="47" xfId="1" applyFont="1" applyBorder="1" applyAlignment="1">
      <alignment horizontal="center" vertical="center" wrapText="1"/>
    </xf>
    <xf numFmtId="0" fontId="11" fillId="0" borderId="18" xfId="0" applyFont="1" applyBorder="1" applyAlignment="1">
      <alignment horizontal="left" vertical="center"/>
    </xf>
    <xf numFmtId="0" fontId="11" fillId="0" borderId="43" xfId="0" applyFont="1" applyBorder="1" applyAlignment="1">
      <alignment horizontal="left" vertical="center"/>
    </xf>
    <xf numFmtId="0" fontId="11" fillId="0" borderId="22" xfId="0" applyFont="1" applyBorder="1" applyAlignment="1">
      <alignment horizontal="center" vertical="center" wrapText="1" shrinkToFit="1"/>
    </xf>
    <xf numFmtId="0" fontId="11" fillId="0" borderId="18" xfId="0" applyFont="1" applyBorder="1" applyAlignment="1">
      <alignment horizontal="center" vertical="center" wrapText="1" shrinkToFit="1"/>
    </xf>
    <xf numFmtId="0" fontId="14" fillId="0" borderId="22" xfId="1" applyFont="1" applyBorder="1" applyAlignment="1">
      <alignment horizontal="center" vertical="center" wrapText="1" shrinkToFit="1"/>
    </xf>
    <xf numFmtId="0" fontId="11" fillId="0" borderId="13" xfId="0" applyFont="1" applyBorder="1" applyAlignment="1">
      <alignment horizontal="center" vertical="center"/>
    </xf>
    <xf numFmtId="0" fontId="11" fillId="0" borderId="22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0" fontId="11" fillId="0" borderId="18" xfId="1" applyFont="1" applyBorder="1" applyAlignment="1">
      <alignment horizontal="left" vertical="center" wrapText="1"/>
    </xf>
    <xf numFmtId="0" fontId="11" fillId="0" borderId="43" xfId="1" applyFont="1" applyBorder="1" applyAlignment="1">
      <alignment horizontal="left" vertical="center" wrapText="1"/>
    </xf>
    <xf numFmtId="0" fontId="7" fillId="7" borderId="10" xfId="0" applyFont="1" applyFill="1" applyBorder="1" applyAlignment="1">
      <alignment horizontal="center" vertical="center"/>
    </xf>
    <xf numFmtId="0" fontId="11" fillId="0" borderId="6" xfId="4" applyFont="1" applyBorder="1" applyAlignment="1">
      <alignment horizontal="left" vertical="center" wrapText="1"/>
    </xf>
    <xf numFmtId="0" fontId="11" fillId="0" borderId="11" xfId="4" applyFont="1" applyBorder="1" applyAlignment="1">
      <alignment horizontal="left" vertical="center" wrapText="1"/>
    </xf>
    <xf numFmtId="0" fontId="11" fillId="9" borderId="6" xfId="0" applyFont="1" applyFill="1" applyBorder="1" applyAlignment="1">
      <alignment horizontal="center" vertical="center" shrinkToFit="1"/>
    </xf>
    <xf numFmtId="0" fontId="11" fillId="9" borderId="32" xfId="0" applyFont="1" applyFill="1" applyBorder="1" applyAlignment="1">
      <alignment horizontal="center" vertical="center" shrinkToFit="1"/>
    </xf>
    <xf numFmtId="0" fontId="11" fillId="0" borderId="19" xfId="1" applyFont="1" applyBorder="1" applyAlignment="1">
      <alignment vertical="center" wrapText="1"/>
    </xf>
    <xf numFmtId="0" fontId="11" fillId="0" borderId="20" xfId="1" applyFont="1" applyBorder="1" applyAlignment="1">
      <alignment vertical="center" wrapText="1"/>
    </xf>
    <xf numFmtId="0" fontId="11" fillId="0" borderId="21" xfId="1" applyFont="1" applyBorder="1" applyAlignment="1">
      <alignment vertical="center" wrapText="1"/>
    </xf>
    <xf numFmtId="0" fontId="11" fillId="0" borderId="23" xfId="1" applyFont="1" applyBorder="1" applyAlignment="1">
      <alignment vertical="center" wrapText="1"/>
    </xf>
    <xf numFmtId="0" fontId="11" fillId="0" borderId="0" xfId="1" applyFont="1" applyAlignment="1">
      <alignment vertical="center" wrapText="1"/>
    </xf>
    <xf numFmtId="0" fontId="11" fillId="0" borderId="24" xfId="1" applyFont="1" applyBorder="1" applyAlignment="1">
      <alignment vertical="center" wrapText="1"/>
    </xf>
    <xf numFmtId="0" fontId="11" fillId="0" borderId="25" xfId="1" applyFont="1" applyBorder="1" applyAlignment="1">
      <alignment vertical="center" wrapText="1"/>
    </xf>
    <xf numFmtId="0" fontId="11" fillId="0" borderId="26" xfId="1" applyFont="1" applyBorder="1" applyAlignment="1">
      <alignment vertical="center" wrapText="1"/>
    </xf>
    <xf numFmtId="0" fontId="11" fillId="0" borderId="27" xfId="1" applyFont="1" applyBorder="1" applyAlignment="1">
      <alignment vertical="center" wrapText="1"/>
    </xf>
    <xf numFmtId="0" fontId="13" fillId="8" borderId="35" xfId="0" applyFont="1" applyFill="1" applyBorder="1" applyAlignment="1">
      <alignment horizontal="center" vertical="center"/>
    </xf>
    <xf numFmtId="0" fontId="11" fillId="0" borderId="32" xfId="4" applyFont="1" applyBorder="1" applyAlignment="1">
      <alignment horizontal="left" vertical="center" wrapText="1"/>
    </xf>
    <xf numFmtId="0" fontId="11" fillId="0" borderId="33" xfId="4" applyFont="1" applyBorder="1" applyAlignment="1">
      <alignment horizontal="left" vertical="center" wrapText="1"/>
    </xf>
    <xf numFmtId="0" fontId="11" fillId="0" borderId="31" xfId="0" applyFont="1" applyBorder="1" applyAlignment="1">
      <alignment horizontal="center" vertical="center" wrapText="1" shrinkToFit="1"/>
    </xf>
    <xf numFmtId="0" fontId="11" fillId="0" borderId="13" xfId="1" applyFont="1" applyBorder="1" applyAlignment="1">
      <alignment horizontal="left" vertical="center" wrapText="1"/>
    </xf>
    <xf numFmtId="0" fontId="11" fillId="0" borderId="48" xfId="1" applyFont="1" applyBorder="1" applyAlignment="1">
      <alignment horizontal="left" vertical="center" wrapText="1"/>
    </xf>
    <xf numFmtId="0" fontId="7" fillId="8" borderId="12" xfId="0" applyFont="1" applyFill="1" applyBorder="1" applyAlignment="1">
      <alignment horizontal="center" vertical="center"/>
    </xf>
    <xf numFmtId="0" fontId="7" fillId="8" borderId="34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 shrinkToFit="1"/>
    </xf>
    <xf numFmtId="0" fontId="11" fillId="0" borderId="31" xfId="1" applyFont="1" applyBorder="1" applyAlignment="1">
      <alignment horizontal="center" vertical="center" shrinkToFit="1"/>
    </xf>
    <xf numFmtId="0" fontId="12" fillId="0" borderId="18" xfId="1" applyFont="1" applyBorder="1" applyAlignment="1">
      <alignment horizontal="center" vertical="center" wrapText="1" shrinkToFit="1"/>
    </xf>
    <xf numFmtId="0" fontId="11" fillId="0" borderId="38" xfId="4" applyFont="1" applyBorder="1" applyAlignment="1">
      <alignment vertical="center" wrapText="1"/>
    </xf>
    <xf numFmtId="0" fontId="11" fillId="0" borderId="5" xfId="4" applyFont="1" applyBorder="1" applyAlignment="1">
      <alignment vertical="center" wrapText="1"/>
    </xf>
    <xf numFmtId="0" fontId="11" fillId="0" borderId="39" xfId="4" applyFont="1" applyBorder="1" applyAlignment="1">
      <alignment vertical="center" wrapText="1"/>
    </xf>
    <xf numFmtId="0" fontId="12" fillId="0" borderId="18" xfId="1" applyFont="1" applyBorder="1" applyAlignment="1">
      <alignment horizontal="center" vertical="center" shrinkToFit="1"/>
    </xf>
    <xf numFmtId="0" fontId="11" fillId="0" borderId="6" xfId="0" applyFont="1" applyBorder="1" applyAlignment="1">
      <alignment horizontal="center" vertical="center" wrapText="1" shrinkToFit="1"/>
    </xf>
    <xf numFmtId="0" fontId="10" fillId="4" borderId="7" xfId="0" applyFont="1" applyFill="1" applyBorder="1" applyAlignment="1">
      <alignment horizontal="center" vertical="center" wrapText="1"/>
    </xf>
  </cellXfs>
  <cellStyles count="12">
    <cellStyle name="표준" xfId="0" builtinId="0"/>
    <cellStyle name="표준 10 2 2 2 2 2 2 2 2 2 2 2 2 2 2 2" xfId="9" xr:uid="{00000000-0005-0000-0000-000002000000}"/>
    <cellStyle name="표준 13" xfId="8" xr:uid="{00000000-0005-0000-0000-000003000000}"/>
    <cellStyle name="표준 2" xfId="3" xr:uid="{00000000-0005-0000-0000-000004000000}"/>
    <cellStyle name="표준 2 3" xfId="2" xr:uid="{00000000-0005-0000-0000-000005000000}"/>
    <cellStyle name="표준 3" xfId="6" xr:uid="{00000000-0005-0000-0000-000006000000}"/>
    <cellStyle name="표준 4" xfId="1" xr:uid="{00000000-0005-0000-0000-000007000000}"/>
    <cellStyle name="표준 4 10 2 2 5 2 2 2 2 2 2 2 2 2 2 2 2 2 2 2 2 2 2 2 2 2 2 2 2 2 2 2 2" xfId="10" xr:uid="{EB64DB25-FE36-4D92-9AFB-F51149F7689A}"/>
    <cellStyle name="표준 4 2" xfId="7" xr:uid="{00000000-0005-0000-0000-000008000000}"/>
    <cellStyle name="표준 4 3" xfId="4" xr:uid="{00000000-0005-0000-0000-000009000000}"/>
    <cellStyle name="표준 4 54" xfId="11" xr:uid="{C6FE7054-0ACE-4E54-8F7E-812F15CAC95F}"/>
    <cellStyle name="표준 5" xfId="5" xr:uid="{00000000-0005-0000-0000-00000A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4" Type="http://schemas.openxmlformats.org/officeDocument/2006/relationships/image" Target="../media/image4.jpe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4" Type="http://schemas.openxmlformats.org/officeDocument/2006/relationships/image" Target="../media/image3.jp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jpe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4" Type="http://schemas.openxmlformats.org/officeDocument/2006/relationships/image" Target="../media/image3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104775</xdr:colOff>
      <xdr:row>3</xdr:row>
      <xdr:rowOff>32660</xdr:rowOff>
    </xdr:from>
    <xdr:ext cx="1828800" cy="793487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575" y="661310"/>
          <a:ext cx="1828800" cy="793487"/>
        </a:xfrm>
        <a:prstGeom prst="rect">
          <a:avLst/>
        </a:prstGeom>
      </xdr:spPr>
    </xdr:pic>
    <xdr:clientData/>
  </xdr:oneCellAnchor>
  <xdr:oneCellAnchor>
    <xdr:from>
      <xdr:col>9</xdr:col>
      <xdr:colOff>247650</xdr:colOff>
      <xdr:row>3</xdr:row>
      <xdr:rowOff>257175</xdr:rowOff>
    </xdr:from>
    <xdr:ext cx="2352674" cy="346542"/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19850" y="838200"/>
          <a:ext cx="2352674" cy="346542"/>
        </a:xfrm>
        <a:prstGeom prst="rect">
          <a:avLst/>
        </a:prstGeom>
      </xdr:spPr>
    </xdr:pic>
    <xdr:clientData/>
  </xdr:oneCellAnchor>
  <xdr:oneCellAnchor>
    <xdr:from>
      <xdr:col>1</xdr:col>
      <xdr:colOff>104775</xdr:colOff>
      <xdr:row>3</xdr:row>
      <xdr:rowOff>32660</xdr:rowOff>
    </xdr:from>
    <xdr:ext cx="1828800" cy="793487"/>
    <xdr:pic>
      <xdr:nvPicPr>
        <xdr:cNvPr id="6" name="그림 5">
          <a:extLst>
            <a:ext uri="{FF2B5EF4-FFF2-40B4-BE49-F238E27FC236}">
              <a16:creationId xmlns:a16="http://schemas.microsoft.com/office/drawing/2014/main" id="{C0BD9DC9-9B4E-4849-BF9A-8869DF0998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4345" y="716555"/>
          <a:ext cx="1828800" cy="793487"/>
        </a:xfrm>
        <a:prstGeom prst="rect">
          <a:avLst/>
        </a:prstGeom>
      </xdr:spPr>
    </xdr:pic>
    <xdr:clientData/>
  </xdr:oneCellAnchor>
  <xdr:oneCellAnchor>
    <xdr:from>
      <xdr:col>0</xdr:col>
      <xdr:colOff>357762</xdr:colOff>
      <xdr:row>40</xdr:row>
      <xdr:rowOff>0</xdr:rowOff>
    </xdr:from>
    <xdr:ext cx="9179938" cy="943200"/>
    <xdr:pic>
      <xdr:nvPicPr>
        <xdr:cNvPr id="7" name="그림 6">
          <a:extLst>
            <a:ext uri="{FF2B5EF4-FFF2-40B4-BE49-F238E27FC236}">
              <a16:creationId xmlns:a16="http://schemas.microsoft.com/office/drawing/2014/main" id="{718C6D17-BE87-4652-B685-8C18BB069E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572" y="9658350"/>
          <a:ext cx="9179938" cy="943200"/>
        </a:xfrm>
        <a:prstGeom prst="rect">
          <a:avLst/>
        </a:prstGeom>
      </xdr:spPr>
    </xdr:pic>
    <xdr:clientData/>
  </xdr:oneCellAnchor>
  <xdr:oneCellAnchor>
    <xdr:from>
      <xdr:col>0</xdr:col>
      <xdr:colOff>357762</xdr:colOff>
      <xdr:row>122</xdr:row>
      <xdr:rowOff>0</xdr:rowOff>
    </xdr:from>
    <xdr:ext cx="9179938" cy="943200"/>
    <xdr:pic>
      <xdr:nvPicPr>
        <xdr:cNvPr id="9" name="그림 8">
          <a:extLst>
            <a:ext uri="{FF2B5EF4-FFF2-40B4-BE49-F238E27FC236}">
              <a16:creationId xmlns:a16="http://schemas.microsoft.com/office/drawing/2014/main" id="{89665C26-1E3F-4E12-B052-82CAE3CFDA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572" y="30041850"/>
          <a:ext cx="9179938" cy="943200"/>
        </a:xfrm>
        <a:prstGeom prst="rect">
          <a:avLst/>
        </a:prstGeom>
      </xdr:spPr>
    </xdr:pic>
    <xdr:clientData/>
  </xdr:oneCellAnchor>
  <xdr:oneCellAnchor>
    <xdr:from>
      <xdr:col>0</xdr:col>
      <xdr:colOff>357762</xdr:colOff>
      <xdr:row>158</xdr:row>
      <xdr:rowOff>224518</xdr:rowOff>
    </xdr:from>
    <xdr:ext cx="9179938" cy="943200"/>
    <xdr:pic>
      <xdr:nvPicPr>
        <xdr:cNvPr id="10" name="그림 9">
          <a:extLst>
            <a:ext uri="{FF2B5EF4-FFF2-40B4-BE49-F238E27FC236}">
              <a16:creationId xmlns:a16="http://schemas.microsoft.com/office/drawing/2014/main" id="{32BDEF2A-3B63-457C-A5C5-E18781ABBF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572" y="39522763"/>
          <a:ext cx="9179938" cy="943200"/>
        </a:xfrm>
        <a:prstGeom prst="rect">
          <a:avLst/>
        </a:prstGeom>
      </xdr:spPr>
    </xdr:pic>
    <xdr:clientData/>
  </xdr:oneCellAnchor>
  <xdr:oneCellAnchor>
    <xdr:from>
      <xdr:col>0</xdr:col>
      <xdr:colOff>357762</xdr:colOff>
      <xdr:row>192</xdr:row>
      <xdr:rowOff>0</xdr:rowOff>
    </xdr:from>
    <xdr:ext cx="9179938" cy="943200"/>
    <xdr:pic>
      <xdr:nvPicPr>
        <xdr:cNvPr id="11" name="그림 10">
          <a:extLst>
            <a:ext uri="{FF2B5EF4-FFF2-40B4-BE49-F238E27FC236}">
              <a16:creationId xmlns:a16="http://schemas.microsoft.com/office/drawing/2014/main" id="{5B8E96FB-A89B-4C38-8A01-FBD8E886D9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572" y="47891700"/>
          <a:ext cx="9179938" cy="943200"/>
        </a:xfrm>
        <a:prstGeom prst="rect">
          <a:avLst/>
        </a:prstGeom>
      </xdr:spPr>
    </xdr:pic>
    <xdr:clientData/>
  </xdr:oneCellAnchor>
  <xdr:oneCellAnchor>
    <xdr:from>
      <xdr:col>0</xdr:col>
      <xdr:colOff>357762</xdr:colOff>
      <xdr:row>228</xdr:row>
      <xdr:rowOff>0</xdr:rowOff>
    </xdr:from>
    <xdr:ext cx="9179938" cy="943200"/>
    <xdr:pic>
      <xdr:nvPicPr>
        <xdr:cNvPr id="12" name="그림 11">
          <a:extLst>
            <a:ext uri="{FF2B5EF4-FFF2-40B4-BE49-F238E27FC236}">
              <a16:creationId xmlns:a16="http://schemas.microsoft.com/office/drawing/2014/main" id="{03BD7EB7-1AEC-4C88-82EC-C640B4EF8B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572" y="56940450"/>
          <a:ext cx="9179938" cy="943200"/>
        </a:xfrm>
        <a:prstGeom prst="rect">
          <a:avLst/>
        </a:prstGeom>
      </xdr:spPr>
    </xdr:pic>
    <xdr:clientData/>
  </xdr:oneCellAnchor>
  <xdr:oneCellAnchor>
    <xdr:from>
      <xdr:col>0</xdr:col>
      <xdr:colOff>357762</xdr:colOff>
      <xdr:row>84</xdr:row>
      <xdr:rowOff>0</xdr:rowOff>
    </xdr:from>
    <xdr:ext cx="9179938" cy="943200"/>
    <xdr:pic>
      <xdr:nvPicPr>
        <xdr:cNvPr id="14" name="그림 13">
          <a:extLst>
            <a:ext uri="{FF2B5EF4-FFF2-40B4-BE49-F238E27FC236}">
              <a16:creationId xmlns:a16="http://schemas.microsoft.com/office/drawing/2014/main" id="{FD7C1F7C-0997-4503-A8A3-90B852FB96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572" y="20535900"/>
          <a:ext cx="9179938" cy="94320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104775</xdr:colOff>
      <xdr:row>3</xdr:row>
      <xdr:rowOff>32660</xdr:rowOff>
    </xdr:from>
    <xdr:ext cx="1828800" cy="793487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575" y="661310"/>
          <a:ext cx="1828800" cy="793487"/>
        </a:xfrm>
        <a:prstGeom prst="rect">
          <a:avLst/>
        </a:prstGeom>
      </xdr:spPr>
    </xdr:pic>
    <xdr:clientData/>
  </xdr:oneCellAnchor>
  <xdr:oneCellAnchor>
    <xdr:from>
      <xdr:col>9</xdr:col>
      <xdr:colOff>247650</xdr:colOff>
      <xdr:row>3</xdr:row>
      <xdr:rowOff>257175</xdr:rowOff>
    </xdr:from>
    <xdr:ext cx="2352674" cy="346542"/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19850" y="838200"/>
          <a:ext cx="2352674" cy="346542"/>
        </a:xfrm>
        <a:prstGeom prst="rect">
          <a:avLst/>
        </a:prstGeom>
      </xdr:spPr>
    </xdr:pic>
    <xdr:clientData/>
  </xdr:oneCellAnchor>
  <xdr:oneCellAnchor>
    <xdr:from>
      <xdr:col>1</xdr:col>
      <xdr:colOff>104775</xdr:colOff>
      <xdr:row>3</xdr:row>
      <xdr:rowOff>32660</xdr:rowOff>
    </xdr:from>
    <xdr:ext cx="1828800" cy="793487"/>
    <xdr:pic>
      <xdr:nvPicPr>
        <xdr:cNvPr id="18" name="그림 17">
          <a:extLst>
            <a:ext uri="{FF2B5EF4-FFF2-40B4-BE49-F238E27FC236}">
              <a16:creationId xmlns:a16="http://schemas.microsoft.com/office/drawing/2014/main" id="{DDD316FF-496F-4E3C-A902-3912A28D91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4345" y="716555"/>
          <a:ext cx="1828800" cy="793487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81</xdr:row>
      <xdr:rowOff>8805</xdr:rowOff>
    </xdr:from>
    <xdr:ext cx="9179938" cy="943200"/>
    <xdr:pic>
      <xdr:nvPicPr>
        <xdr:cNvPr id="19" name="그림 18">
          <a:extLst>
            <a:ext uri="{FF2B5EF4-FFF2-40B4-BE49-F238E27FC236}">
              <a16:creationId xmlns:a16="http://schemas.microsoft.com/office/drawing/2014/main" id="{06775206-C6E6-477B-9C93-AF0A0D2C71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19556010"/>
          <a:ext cx="9179938" cy="9432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183</xdr:row>
      <xdr:rowOff>223158</xdr:rowOff>
    </xdr:from>
    <xdr:ext cx="9179938" cy="943200"/>
    <xdr:pic>
      <xdr:nvPicPr>
        <xdr:cNvPr id="20" name="그림 19">
          <a:extLst>
            <a:ext uri="{FF2B5EF4-FFF2-40B4-BE49-F238E27FC236}">
              <a16:creationId xmlns:a16="http://schemas.microsoft.com/office/drawing/2014/main" id="{4ADBEBA4-AF7C-471F-B2C5-5B89DCF39A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45884103"/>
          <a:ext cx="9179938" cy="9432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208</xdr:row>
      <xdr:rowOff>0</xdr:rowOff>
    </xdr:from>
    <xdr:ext cx="9179938" cy="943200"/>
    <xdr:pic>
      <xdr:nvPicPr>
        <xdr:cNvPr id="21" name="그림 20">
          <a:extLst>
            <a:ext uri="{FF2B5EF4-FFF2-40B4-BE49-F238E27FC236}">
              <a16:creationId xmlns:a16="http://schemas.microsoft.com/office/drawing/2014/main" id="{6805A8CD-8AF5-4DE4-A405-5A0D6A89BB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52197000"/>
          <a:ext cx="9179938" cy="9432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149</xdr:row>
      <xdr:rowOff>223158</xdr:rowOff>
    </xdr:from>
    <xdr:ext cx="9179938" cy="943200"/>
    <xdr:pic>
      <xdr:nvPicPr>
        <xdr:cNvPr id="22" name="그림 21">
          <a:extLst>
            <a:ext uri="{FF2B5EF4-FFF2-40B4-BE49-F238E27FC236}">
              <a16:creationId xmlns:a16="http://schemas.microsoft.com/office/drawing/2014/main" id="{FB2B3087-8736-44BC-8F98-D194C1A524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36949653"/>
          <a:ext cx="9179938" cy="9432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114</xdr:row>
      <xdr:rowOff>0</xdr:rowOff>
    </xdr:from>
    <xdr:ext cx="9179938" cy="943200"/>
    <xdr:pic>
      <xdr:nvPicPr>
        <xdr:cNvPr id="23" name="그림 22">
          <a:extLst>
            <a:ext uri="{FF2B5EF4-FFF2-40B4-BE49-F238E27FC236}">
              <a16:creationId xmlns:a16="http://schemas.microsoft.com/office/drawing/2014/main" id="{A4468BD7-7F8E-4514-97A4-EA2A8C484E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27908250"/>
          <a:ext cx="9179938" cy="9432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39</xdr:row>
      <xdr:rowOff>0</xdr:rowOff>
    </xdr:from>
    <xdr:ext cx="9179938" cy="943200"/>
    <xdr:pic>
      <xdr:nvPicPr>
        <xdr:cNvPr id="25" name="그림 24">
          <a:extLst>
            <a:ext uri="{FF2B5EF4-FFF2-40B4-BE49-F238E27FC236}">
              <a16:creationId xmlns:a16="http://schemas.microsoft.com/office/drawing/2014/main" id="{06CF6B22-0EFC-4E59-ABE3-09CCBD0CD7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9124950"/>
          <a:ext cx="9179938" cy="94320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104775</xdr:colOff>
      <xdr:row>3</xdr:row>
      <xdr:rowOff>32660</xdr:rowOff>
    </xdr:from>
    <xdr:ext cx="1828800" cy="793487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575" y="661310"/>
          <a:ext cx="1828800" cy="793487"/>
        </a:xfrm>
        <a:prstGeom prst="rect">
          <a:avLst/>
        </a:prstGeom>
      </xdr:spPr>
    </xdr:pic>
    <xdr:clientData/>
  </xdr:oneCellAnchor>
  <xdr:oneCellAnchor>
    <xdr:from>
      <xdr:col>9</xdr:col>
      <xdr:colOff>247650</xdr:colOff>
      <xdr:row>3</xdr:row>
      <xdr:rowOff>257175</xdr:rowOff>
    </xdr:from>
    <xdr:ext cx="2352674" cy="346542"/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19850" y="838200"/>
          <a:ext cx="2352674" cy="346542"/>
        </a:xfrm>
        <a:prstGeom prst="rect">
          <a:avLst/>
        </a:prstGeom>
      </xdr:spPr>
    </xdr:pic>
    <xdr:clientData/>
  </xdr:oneCellAnchor>
  <xdr:oneCellAnchor>
    <xdr:from>
      <xdr:col>1</xdr:col>
      <xdr:colOff>104775</xdr:colOff>
      <xdr:row>3</xdr:row>
      <xdr:rowOff>32660</xdr:rowOff>
    </xdr:from>
    <xdr:ext cx="1828800" cy="793487"/>
    <xdr:pic>
      <xdr:nvPicPr>
        <xdr:cNvPr id="10" name="그림 9">
          <a:extLst>
            <a:ext uri="{FF2B5EF4-FFF2-40B4-BE49-F238E27FC236}">
              <a16:creationId xmlns:a16="http://schemas.microsoft.com/office/drawing/2014/main" id="{71051D84-1116-40E3-945B-B22295CE9A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4345" y="716555"/>
          <a:ext cx="1828800" cy="793487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39</xdr:row>
      <xdr:rowOff>0</xdr:rowOff>
    </xdr:from>
    <xdr:ext cx="9179938" cy="943200"/>
    <xdr:pic>
      <xdr:nvPicPr>
        <xdr:cNvPr id="11" name="그림 10">
          <a:extLst>
            <a:ext uri="{FF2B5EF4-FFF2-40B4-BE49-F238E27FC236}">
              <a16:creationId xmlns:a16="http://schemas.microsoft.com/office/drawing/2014/main" id="{3D65B470-A0A5-4B3F-ACFA-4E9EF00DCC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9124950"/>
          <a:ext cx="9179938" cy="9432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194</xdr:row>
      <xdr:rowOff>0</xdr:rowOff>
    </xdr:from>
    <xdr:ext cx="9179938" cy="943200"/>
    <xdr:pic>
      <xdr:nvPicPr>
        <xdr:cNvPr id="12" name="그림 11">
          <a:extLst>
            <a:ext uri="{FF2B5EF4-FFF2-40B4-BE49-F238E27FC236}">
              <a16:creationId xmlns:a16="http://schemas.microsoft.com/office/drawing/2014/main" id="{EF25CFCB-409C-4701-9484-D48EA88FA3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49063275"/>
          <a:ext cx="9179938" cy="9432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164</xdr:row>
      <xdr:rowOff>0</xdr:rowOff>
    </xdr:from>
    <xdr:ext cx="9179938" cy="943200"/>
    <xdr:pic>
      <xdr:nvPicPr>
        <xdr:cNvPr id="13" name="그림 12">
          <a:extLst>
            <a:ext uri="{FF2B5EF4-FFF2-40B4-BE49-F238E27FC236}">
              <a16:creationId xmlns:a16="http://schemas.microsoft.com/office/drawing/2014/main" id="{CF3F1300-5F36-4E9B-BD51-FB825D9EA2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41386125"/>
          <a:ext cx="9179938" cy="9432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134</xdr:row>
      <xdr:rowOff>0</xdr:rowOff>
    </xdr:from>
    <xdr:ext cx="9179938" cy="943200"/>
    <xdr:pic>
      <xdr:nvPicPr>
        <xdr:cNvPr id="14" name="그림 13">
          <a:extLst>
            <a:ext uri="{FF2B5EF4-FFF2-40B4-BE49-F238E27FC236}">
              <a16:creationId xmlns:a16="http://schemas.microsoft.com/office/drawing/2014/main" id="{27B905D7-A1A6-4A75-919A-C0974BA577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33299400"/>
          <a:ext cx="9179938" cy="9432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106</xdr:row>
      <xdr:rowOff>0</xdr:rowOff>
    </xdr:from>
    <xdr:ext cx="9179938" cy="943200"/>
    <xdr:pic>
      <xdr:nvPicPr>
        <xdr:cNvPr id="15" name="그림 14">
          <a:extLst>
            <a:ext uri="{FF2B5EF4-FFF2-40B4-BE49-F238E27FC236}">
              <a16:creationId xmlns:a16="http://schemas.microsoft.com/office/drawing/2014/main" id="{1C4B14A7-1546-4585-8358-1D333F88F7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26079450"/>
          <a:ext cx="9179938" cy="9432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73</xdr:row>
      <xdr:rowOff>0</xdr:rowOff>
    </xdr:from>
    <xdr:ext cx="9179938" cy="943200"/>
    <xdr:pic>
      <xdr:nvPicPr>
        <xdr:cNvPr id="16" name="그림 15">
          <a:extLst>
            <a:ext uri="{FF2B5EF4-FFF2-40B4-BE49-F238E27FC236}">
              <a16:creationId xmlns:a16="http://schemas.microsoft.com/office/drawing/2014/main" id="{F9090CB2-9998-4ECC-B30A-CB3262041C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17716500"/>
          <a:ext cx="9179938" cy="94320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104775</xdr:colOff>
      <xdr:row>3</xdr:row>
      <xdr:rowOff>32660</xdr:rowOff>
    </xdr:from>
    <xdr:ext cx="1828800" cy="793487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575" y="661310"/>
          <a:ext cx="1828800" cy="793487"/>
        </a:xfrm>
        <a:prstGeom prst="rect">
          <a:avLst/>
        </a:prstGeom>
      </xdr:spPr>
    </xdr:pic>
    <xdr:clientData/>
  </xdr:oneCellAnchor>
  <xdr:oneCellAnchor>
    <xdr:from>
      <xdr:col>9</xdr:col>
      <xdr:colOff>247650</xdr:colOff>
      <xdr:row>3</xdr:row>
      <xdr:rowOff>257175</xdr:rowOff>
    </xdr:from>
    <xdr:ext cx="2352674" cy="346542"/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19850" y="838200"/>
          <a:ext cx="2352674" cy="346542"/>
        </a:xfrm>
        <a:prstGeom prst="rect">
          <a:avLst/>
        </a:prstGeom>
      </xdr:spPr>
    </xdr:pic>
    <xdr:clientData/>
  </xdr:oneCellAnchor>
  <xdr:twoCellAnchor editAs="oneCell">
    <xdr:from>
      <xdr:col>1</xdr:col>
      <xdr:colOff>0</xdr:colOff>
      <xdr:row>189</xdr:row>
      <xdr:rowOff>0</xdr:rowOff>
    </xdr:from>
    <xdr:to>
      <xdr:col>13</xdr:col>
      <xdr:colOff>0</xdr:colOff>
      <xdr:row>193</xdr:row>
      <xdr:rowOff>131445</xdr:rowOff>
    </xdr:to>
    <xdr:pic>
      <xdr:nvPicPr>
        <xdr:cNvPr id="7" name="Picture 1" descr="Picture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8019616" cy="1016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214</xdr:row>
      <xdr:rowOff>0</xdr:rowOff>
    </xdr:from>
    <xdr:to>
      <xdr:col>13</xdr:col>
      <xdr:colOff>0</xdr:colOff>
      <xdr:row>218</xdr:row>
      <xdr:rowOff>135255</xdr:rowOff>
    </xdr:to>
    <xdr:pic>
      <xdr:nvPicPr>
        <xdr:cNvPr id="9" name="Picture 1" descr="Picture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8019616" cy="1016000"/>
        </a:xfrm>
        <a:prstGeom prst="rect">
          <a:avLst/>
        </a:prstGeom>
      </xdr:spPr>
    </xdr:pic>
    <xdr:clientData/>
  </xdr:twoCellAnchor>
  <xdr:oneCellAnchor>
    <xdr:from>
      <xdr:col>1</xdr:col>
      <xdr:colOff>104775</xdr:colOff>
      <xdr:row>3</xdr:row>
      <xdr:rowOff>32660</xdr:rowOff>
    </xdr:from>
    <xdr:ext cx="1828800" cy="793487"/>
    <xdr:pic>
      <xdr:nvPicPr>
        <xdr:cNvPr id="10" name="그림 9">
          <a:extLst>
            <a:ext uri="{FF2B5EF4-FFF2-40B4-BE49-F238E27FC236}">
              <a16:creationId xmlns:a16="http://schemas.microsoft.com/office/drawing/2014/main" id="{54474F61-ECA4-41B9-B80D-D267CB775B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4345" y="716555"/>
          <a:ext cx="1828800" cy="793487"/>
        </a:xfrm>
        <a:prstGeom prst="rect">
          <a:avLst/>
        </a:prstGeom>
      </xdr:spPr>
    </xdr:pic>
    <xdr:clientData/>
  </xdr:oneCellAnchor>
  <xdr:oneCellAnchor>
    <xdr:from>
      <xdr:col>0</xdr:col>
      <xdr:colOff>357762</xdr:colOff>
      <xdr:row>35</xdr:row>
      <xdr:rowOff>0</xdr:rowOff>
    </xdr:from>
    <xdr:ext cx="9179938" cy="943200"/>
    <xdr:pic>
      <xdr:nvPicPr>
        <xdr:cNvPr id="11" name="그림 10">
          <a:extLst>
            <a:ext uri="{FF2B5EF4-FFF2-40B4-BE49-F238E27FC236}">
              <a16:creationId xmlns:a16="http://schemas.microsoft.com/office/drawing/2014/main" id="{0AD0D254-C138-457D-8986-73B477D96E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572" y="8210550"/>
          <a:ext cx="9179938" cy="943200"/>
        </a:xfrm>
        <a:prstGeom prst="rect">
          <a:avLst/>
        </a:prstGeom>
      </xdr:spPr>
    </xdr:pic>
    <xdr:clientData/>
  </xdr:oneCellAnchor>
  <xdr:oneCellAnchor>
    <xdr:from>
      <xdr:col>0</xdr:col>
      <xdr:colOff>357762</xdr:colOff>
      <xdr:row>135</xdr:row>
      <xdr:rowOff>0</xdr:rowOff>
    </xdr:from>
    <xdr:ext cx="9179938" cy="943200"/>
    <xdr:pic>
      <xdr:nvPicPr>
        <xdr:cNvPr id="12" name="그림 11">
          <a:extLst>
            <a:ext uri="{FF2B5EF4-FFF2-40B4-BE49-F238E27FC236}">
              <a16:creationId xmlns:a16="http://schemas.microsoft.com/office/drawing/2014/main" id="{97E4AD6A-7C75-48AB-8A8A-C8CBBECA8D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572" y="33766125"/>
          <a:ext cx="9179938" cy="943200"/>
        </a:xfrm>
        <a:prstGeom prst="rect">
          <a:avLst/>
        </a:prstGeom>
      </xdr:spPr>
    </xdr:pic>
    <xdr:clientData/>
  </xdr:oneCellAnchor>
  <xdr:oneCellAnchor>
    <xdr:from>
      <xdr:col>0</xdr:col>
      <xdr:colOff>357762</xdr:colOff>
      <xdr:row>105</xdr:row>
      <xdr:rowOff>0</xdr:rowOff>
    </xdr:from>
    <xdr:ext cx="9179938" cy="943200"/>
    <xdr:pic>
      <xdr:nvPicPr>
        <xdr:cNvPr id="13" name="그림 12">
          <a:extLst>
            <a:ext uri="{FF2B5EF4-FFF2-40B4-BE49-F238E27FC236}">
              <a16:creationId xmlns:a16="http://schemas.microsoft.com/office/drawing/2014/main" id="{9E03B317-3089-412D-9635-BBA808E1E4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572" y="25850850"/>
          <a:ext cx="9179938" cy="943200"/>
        </a:xfrm>
        <a:prstGeom prst="rect">
          <a:avLst/>
        </a:prstGeom>
      </xdr:spPr>
    </xdr:pic>
    <xdr:clientData/>
  </xdr:oneCellAnchor>
  <xdr:oneCellAnchor>
    <xdr:from>
      <xdr:col>0</xdr:col>
      <xdr:colOff>357762</xdr:colOff>
      <xdr:row>76</xdr:row>
      <xdr:rowOff>0</xdr:rowOff>
    </xdr:from>
    <xdr:ext cx="9179938" cy="943200"/>
    <xdr:pic>
      <xdr:nvPicPr>
        <xdr:cNvPr id="14" name="그림 13">
          <a:extLst>
            <a:ext uri="{FF2B5EF4-FFF2-40B4-BE49-F238E27FC236}">
              <a16:creationId xmlns:a16="http://schemas.microsoft.com/office/drawing/2014/main" id="{F63B6E64-B66B-4E59-AF51-75B2BA05F2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572" y="18402300"/>
          <a:ext cx="9179938" cy="943200"/>
        </a:xfrm>
        <a:prstGeom prst="rect">
          <a:avLst/>
        </a:prstGeom>
      </xdr:spPr>
    </xdr:pic>
    <xdr:clientData/>
  </xdr:oneCellAnchor>
  <xdr:oneCellAnchor>
    <xdr:from>
      <xdr:col>0</xdr:col>
      <xdr:colOff>357762</xdr:colOff>
      <xdr:row>164</xdr:row>
      <xdr:rowOff>0</xdr:rowOff>
    </xdr:from>
    <xdr:ext cx="9179938" cy="943200"/>
    <xdr:pic>
      <xdr:nvPicPr>
        <xdr:cNvPr id="15" name="그림 14">
          <a:extLst>
            <a:ext uri="{FF2B5EF4-FFF2-40B4-BE49-F238E27FC236}">
              <a16:creationId xmlns:a16="http://schemas.microsoft.com/office/drawing/2014/main" id="{BAA58309-40AE-4FB8-88D3-F0DF47EC0F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572" y="41214675"/>
          <a:ext cx="9179938" cy="94320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104775</xdr:colOff>
      <xdr:row>3</xdr:row>
      <xdr:rowOff>32660</xdr:rowOff>
    </xdr:from>
    <xdr:ext cx="1828800" cy="793487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575" y="661310"/>
          <a:ext cx="1828800" cy="793487"/>
        </a:xfrm>
        <a:prstGeom prst="rect">
          <a:avLst/>
        </a:prstGeom>
      </xdr:spPr>
    </xdr:pic>
    <xdr:clientData/>
  </xdr:oneCellAnchor>
  <xdr:oneCellAnchor>
    <xdr:from>
      <xdr:col>9</xdr:col>
      <xdr:colOff>247650</xdr:colOff>
      <xdr:row>3</xdr:row>
      <xdr:rowOff>257175</xdr:rowOff>
    </xdr:from>
    <xdr:ext cx="2352674" cy="346542"/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19850" y="838200"/>
          <a:ext cx="2352674" cy="346542"/>
        </a:xfrm>
        <a:prstGeom prst="rect">
          <a:avLst/>
        </a:prstGeom>
      </xdr:spPr>
    </xdr:pic>
    <xdr:clientData/>
  </xdr:oneCellAnchor>
  <xdr:oneCellAnchor>
    <xdr:from>
      <xdr:col>1</xdr:col>
      <xdr:colOff>104775</xdr:colOff>
      <xdr:row>3</xdr:row>
      <xdr:rowOff>32660</xdr:rowOff>
    </xdr:from>
    <xdr:ext cx="1828800" cy="793487"/>
    <xdr:pic>
      <xdr:nvPicPr>
        <xdr:cNvPr id="10" name="그림 9">
          <a:extLst>
            <a:ext uri="{FF2B5EF4-FFF2-40B4-BE49-F238E27FC236}">
              <a16:creationId xmlns:a16="http://schemas.microsoft.com/office/drawing/2014/main" id="{3FCB8574-3F50-4493-8B6E-1297A4F2D2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4345" y="716555"/>
          <a:ext cx="1828800" cy="793487"/>
        </a:xfrm>
        <a:prstGeom prst="rect">
          <a:avLst/>
        </a:prstGeom>
      </xdr:spPr>
    </xdr:pic>
    <xdr:clientData/>
  </xdr:oneCellAnchor>
  <xdr:oneCellAnchor>
    <xdr:from>
      <xdr:col>0</xdr:col>
      <xdr:colOff>357762</xdr:colOff>
      <xdr:row>41</xdr:row>
      <xdr:rowOff>0</xdr:rowOff>
    </xdr:from>
    <xdr:ext cx="9179938" cy="943200"/>
    <xdr:pic>
      <xdr:nvPicPr>
        <xdr:cNvPr id="11" name="그림 10">
          <a:extLst>
            <a:ext uri="{FF2B5EF4-FFF2-40B4-BE49-F238E27FC236}">
              <a16:creationId xmlns:a16="http://schemas.microsoft.com/office/drawing/2014/main" id="{7346D4DD-CBC1-444A-8B1F-3D8627B7BE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572" y="9582150"/>
          <a:ext cx="9179938" cy="943200"/>
        </a:xfrm>
        <a:prstGeom prst="rect">
          <a:avLst/>
        </a:prstGeom>
      </xdr:spPr>
    </xdr:pic>
    <xdr:clientData/>
  </xdr:oneCellAnchor>
  <xdr:oneCellAnchor>
    <xdr:from>
      <xdr:col>0</xdr:col>
      <xdr:colOff>357762</xdr:colOff>
      <xdr:row>81</xdr:row>
      <xdr:rowOff>0</xdr:rowOff>
    </xdr:from>
    <xdr:ext cx="9179938" cy="943200"/>
    <xdr:pic>
      <xdr:nvPicPr>
        <xdr:cNvPr id="12" name="그림 11">
          <a:extLst>
            <a:ext uri="{FF2B5EF4-FFF2-40B4-BE49-F238E27FC236}">
              <a16:creationId xmlns:a16="http://schemas.microsoft.com/office/drawing/2014/main" id="{32F1DC04-8231-4573-A497-D5EC7786D3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572" y="19526250"/>
          <a:ext cx="9179938" cy="943200"/>
        </a:xfrm>
        <a:prstGeom prst="rect">
          <a:avLst/>
        </a:prstGeom>
      </xdr:spPr>
    </xdr:pic>
    <xdr:clientData/>
  </xdr:oneCellAnchor>
  <xdr:oneCellAnchor>
    <xdr:from>
      <xdr:col>0</xdr:col>
      <xdr:colOff>357762</xdr:colOff>
      <xdr:row>114</xdr:row>
      <xdr:rowOff>0</xdr:rowOff>
    </xdr:from>
    <xdr:ext cx="9179938" cy="943200"/>
    <xdr:pic>
      <xdr:nvPicPr>
        <xdr:cNvPr id="14" name="그림 13">
          <a:extLst>
            <a:ext uri="{FF2B5EF4-FFF2-40B4-BE49-F238E27FC236}">
              <a16:creationId xmlns:a16="http://schemas.microsoft.com/office/drawing/2014/main" id="{7AA45249-51BA-4099-A519-FE7C1E1553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572" y="27870150"/>
          <a:ext cx="9179938" cy="94320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104775</xdr:colOff>
      <xdr:row>3</xdr:row>
      <xdr:rowOff>32660</xdr:rowOff>
    </xdr:from>
    <xdr:ext cx="1828800" cy="793487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575" y="661310"/>
          <a:ext cx="1828800" cy="793487"/>
        </a:xfrm>
        <a:prstGeom prst="rect">
          <a:avLst/>
        </a:prstGeom>
      </xdr:spPr>
    </xdr:pic>
    <xdr:clientData/>
  </xdr:oneCellAnchor>
  <xdr:oneCellAnchor>
    <xdr:from>
      <xdr:col>9</xdr:col>
      <xdr:colOff>247650</xdr:colOff>
      <xdr:row>3</xdr:row>
      <xdr:rowOff>257175</xdr:rowOff>
    </xdr:from>
    <xdr:ext cx="2352674" cy="346542"/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19850" y="838200"/>
          <a:ext cx="2352674" cy="346542"/>
        </a:xfrm>
        <a:prstGeom prst="rect">
          <a:avLst/>
        </a:prstGeom>
      </xdr:spPr>
    </xdr:pic>
    <xdr:clientData/>
  </xdr:oneCellAnchor>
  <xdr:oneCellAnchor>
    <xdr:from>
      <xdr:col>1</xdr:col>
      <xdr:colOff>76200</xdr:colOff>
      <xdr:row>3</xdr:row>
      <xdr:rowOff>42184</xdr:rowOff>
    </xdr:from>
    <xdr:ext cx="1828800" cy="815066"/>
    <xdr:pic>
      <xdr:nvPicPr>
        <xdr:cNvPr id="4" name="그림 3">
          <a:extLst>
            <a:ext uri="{FF2B5EF4-FFF2-40B4-BE49-F238E27FC236}">
              <a16:creationId xmlns:a16="http://schemas.microsoft.com/office/drawing/2014/main" id="{D88C9689-BF95-4EA8-8D4D-6F8B4AAECA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7675" y="748939"/>
          <a:ext cx="1828800" cy="815066"/>
        </a:xfrm>
        <a:prstGeom prst="rect">
          <a:avLst/>
        </a:prstGeom>
      </xdr:spPr>
    </xdr:pic>
    <xdr:clientData/>
  </xdr:oneCellAnchor>
  <xdr:oneCellAnchor>
    <xdr:from>
      <xdr:col>0</xdr:col>
      <xdr:colOff>357762</xdr:colOff>
      <xdr:row>45</xdr:row>
      <xdr:rowOff>0</xdr:rowOff>
    </xdr:from>
    <xdr:ext cx="9179938" cy="943200"/>
    <xdr:pic>
      <xdr:nvPicPr>
        <xdr:cNvPr id="5" name="그림 4">
          <a:extLst>
            <a:ext uri="{FF2B5EF4-FFF2-40B4-BE49-F238E27FC236}">
              <a16:creationId xmlns:a16="http://schemas.microsoft.com/office/drawing/2014/main" id="{8921C92C-FAF5-4DC3-891B-7080750074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572" y="10544175"/>
          <a:ext cx="9179938" cy="9432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FC7BB-C42C-4F3D-AA5B-E145BB58CD0E}">
  <sheetPr>
    <pageSetUpPr fitToPage="1"/>
  </sheetPr>
  <dimension ref="B1:M229"/>
  <sheetViews>
    <sheetView zoomScaleNormal="100" zoomScaleSheetLayoutView="70" workbookViewId="0">
      <selection activeCell="O13" sqref="O13"/>
    </sheetView>
  </sheetViews>
  <sheetFormatPr defaultColWidth="9" defaultRowHeight="17.399999999999999" x14ac:dyDescent="0.4"/>
  <cols>
    <col min="1" max="1" width="4.8984375" customWidth="1"/>
    <col min="2" max="2" width="9" style="1"/>
    <col min="3" max="3" width="18.59765625" style="1" customWidth="1"/>
    <col min="4" max="4" width="11.59765625" style="1" customWidth="1"/>
    <col min="5" max="12" width="9" style="1"/>
    <col min="13" max="13" width="9" style="1" customWidth="1"/>
    <col min="14" max="14" width="3.59765625" customWidth="1"/>
  </cols>
  <sheetData>
    <row r="1" spans="2:13" ht="18" thickBot="1" x14ac:dyDescent="0.45"/>
    <row r="2" spans="2:13" ht="18" customHeight="1" thickTop="1" thickBot="1" x14ac:dyDescent="0.45">
      <c r="C2" s="128" t="s">
        <v>0</v>
      </c>
      <c r="D2" s="3" t="s">
        <v>1</v>
      </c>
      <c r="E2" s="4"/>
      <c r="F2" s="130" t="s">
        <v>109</v>
      </c>
      <c r="G2" s="131"/>
      <c r="H2" s="131"/>
      <c r="I2" s="131"/>
      <c r="J2" s="131"/>
      <c r="K2" s="131"/>
      <c r="L2" s="131"/>
      <c r="M2" s="131"/>
    </row>
    <row r="3" spans="2:13" ht="18" customHeight="1" thickTop="1" thickBot="1" x14ac:dyDescent="0.45">
      <c r="C3" s="129"/>
      <c r="D3" s="3" t="s">
        <v>2</v>
      </c>
      <c r="E3" s="2"/>
      <c r="F3" s="130"/>
      <c r="G3" s="131"/>
      <c r="H3" s="131"/>
      <c r="I3" s="131"/>
      <c r="J3" s="131"/>
      <c r="K3" s="131"/>
      <c r="L3" s="131"/>
      <c r="M3" s="131"/>
    </row>
    <row r="4" spans="2:13" ht="34.5" customHeight="1" thickTop="1" x14ac:dyDescent="0.4">
      <c r="B4" s="132" t="s">
        <v>98</v>
      </c>
      <c r="C4" s="132"/>
      <c r="D4" s="132"/>
      <c r="E4" s="132"/>
      <c r="F4" s="132"/>
      <c r="G4" s="132"/>
      <c r="H4" s="132"/>
      <c r="I4" s="132"/>
      <c r="J4" s="132"/>
      <c r="K4" s="132"/>
      <c r="L4" s="132"/>
      <c r="M4" s="132"/>
    </row>
    <row r="5" spans="2:13" ht="16.5" customHeight="1" x14ac:dyDescent="0.4"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</row>
    <row r="6" spans="2:13" ht="16.5" customHeight="1" thickBot="1" x14ac:dyDescent="0.45">
      <c r="B6" s="133"/>
      <c r="C6" s="133"/>
      <c r="D6" s="133"/>
      <c r="E6" s="133"/>
      <c r="F6" s="133"/>
      <c r="G6" s="133"/>
      <c r="H6" s="133"/>
      <c r="I6" s="133"/>
      <c r="J6" s="133"/>
      <c r="K6" s="133"/>
      <c r="L6" s="133"/>
      <c r="M6" s="133"/>
    </row>
    <row r="7" spans="2:13" ht="21" customHeight="1" thickTop="1" x14ac:dyDescent="0.4">
      <c r="B7" s="134" t="s">
        <v>116</v>
      </c>
      <c r="C7" s="135"/>
      <c r="D7" s="135"/>
      <c r="E7" s="135"/>
      <c r="F7" s="135"/>
      <c r="G7" s="135"/>
      <c r="H7" s="135"/>
      <c r="I7" s="135"/>
      <c r="J7" s="135"/>
      <c r="K7" s="135"/>
      <c r="L7" s="135"/>
      <c r="M7" s="136"/>
    </row>
    <row r="8" spans="2:13" ht="18" customHeight="1" x14ac:dyDescent="0.4">
      <c r="B8" s="137" t="s">
        <v>3</v>
      </c>
      <c r="C8" s="138" t="s">
        <v>4</v>
      </c>
      <c r="D8" s="138" t="s">
        <v>5</v>
      </c>
      <c r="E8" s="138" t="s">
        <v>6</v>
      </c>
      <c r="F8" s="138"/>
      <c r="G8" s="138" t="s">
        <v>7</v>
      </c>
      <c r="H8" s="138"/>
      <c r="I8" s="138" t="s">
        <v>8</v>
      </c>
      <c r="J8" s="138"/>
      <c r="K8" s="138"/>
      <c r="L8" s="138"/>
      <c r="M8" s="139"/>
    </row>
    <row r="9" spans="2:13" ht="18" customHeight="1" x14ac:dyDescent="0.4">
      <c r="B9" s="137"/>
      <c r="C9" s="138"/>
      <c r="D9" s="138"/>
      <c r="E9" s="5" t="s">
        <v>1</v>
      </c>
      <c r="F9" s="5" t="s">
        <v>2</v>
      </c>
      <c r="G9" s="6" t="s">
        <v>1</v>
      </c>
      <c r="H9" s="7" t="s">
        <v>2</v>
      </c>
      <c r="I9" s="138"/>
      <c r="J9" s="138"/>
      <c r="K9" s="138"/>
      <c r="L9" s="138"/>
      <c r="M9" s="139"/>
    </row>
    <row r="10" spans="2:13" ht="42" customHeight="1" x14ac:dyDescent="0.4">
      <c r="B10" s="102" t="s">
        <v>9</v>
      </c>
      <c r="C10" s="9" t="s">
        <v>117</v>
      </c>
      <c r="D10" s="10" t="s">
        <v>118</v>
      </c>
      <c r="E10" s="11">
        <f>F10*0.65</f>
        <v>19.5</v>
      </c>
      <c r="F10" s="12">
        <v>30</v>
      </c>
      <c r="G10" s="9">
        <f t="shared" ref="G10:G40" si="0">E10*E$2</f>
        <v>0</v>
      </c>
      <c r="H10" s="9">
        <f t="shared" ref="H10:H40" si="1">F10*E$3</f>
        <v>0</v>
      </c>
      <c r="I10" s="96" t="s">
        <v>119</v>
      </c>
      <c r="J10" s="97"/>
      <c r="K10" s="97"/>
      <c r="L10" s="97"/>
      <c r="M10" s="98"/>
    </row>
    <row r="11" spans="2:13" ht="18" customHeight="1" x14ac:dyDescent="0.4">
      <c r="B11" s="103"/>
      <c r="C11" s="13" t="s">
        <v>120</v>
      </c>
      <c r="D11" s="14" t="s">
        <v>121</v>
      </c>
      <c r="E11" s="11">
        <v>20</v>
      </c>
      <c r="F11" s="15">
        <v>20</v>
      </c>
      <c r="G11" s="9">
        <f t="shared" si="0"/>
        <v>0</v>
      </c>
      <c r="H11" s="9">
        <f t="shared" si="1"/>
        <v>0</v>
      </c>
      <c r="I11" s="99"/>
      <c r="J11" s="100"/>
      <c r="K11" s="100"/>
      <c r="L11" s="100"/>
      <c r="M11" s="101"/>
    </row>
    <row r="12" spans="2:13" ht="18" customHeight="1" x14ac:dyDescent="0.4">
      <c r="B12" s="104" t="s">
        <v>10</v>
      </c>
      <c r="C12" s="16" t="s">
        <v>122</v>
      </c>
      <c r="D12" s="16" t="s">
        <v>123</v>
      </c>
      <c r="E12" s="17">
        <f t="shared" ref="E12:E40" si="2">F12*0.65</f>
        <v>35.75</v>
      </c>
      <c r="F12" s="15">
        <v>55</v>
      </c>
      <c r="G12" s="9">
        <f t="shared" si="0"/>
        <v>0</v>
      </c>
      <c r="H12" s="9">
        <f t="shared" si="1"/>
        <v>0</v>
      </c>
      <c r="I12" s="105" t="s">
        <v>124</v>
      </c>
      <c r="J12" s="97"/>
      <c r="K12" s="97"/>
      <c r="L12" s="97"/>
      <c r="M12" s="98"/>
    </row>
    <row r="13" spans="2:13" ht="18" customHeight="1" x14ac:dyDescent="0.4">
      <c r="B13" s="104"/>
      <c r="C13" s="106" t="s">
        <v>125</v>
      </c>
      <c r="D13" s="19" t="s">
        <v>65</v>
      </c>
      <c r="E13" s="17">
        <f t="shared" si="2"/>
        <v>3.25</v>
      </c>
      <c r="F13" s="16">
        <v>5</v>
      </c>
      <c r="G13" s="9">
        <f t="shared" si="0"/>
        <v>0</v>
      </c>
      <c r="H13" s="9">
        <f t="shared" si="1"/>
        <v>0</v>
      </c>
      <c r="I13" s="109" t="s">
        <v>126</v>
      </c>
      <c r="J13" s="110"/>
      <c r="K13" s="110"/>
      <c r="L13" s="110"/>
      <c r="M13" s="111"/>
    </row>
    <row r="14" spans="2:13" ht="18" customHeight="1" x14ac:dyDescent="0.4">
      <c r="B14" s="104"/>
      <c r="C14" s="107"/>
      <c r="D14" s="19" t="s">
        <v>28</v>
      </c>
      <c r="E14" s="17">
        <f t="shared" si="2"/>
        <v>1.3</v>
      </c>
      <c r="F14" s="16">
        <v>2</v>
      </c>
      <c r="G14" s="9">
        <f t="shared" si="0"/>
        <v>0</v>
      </c>
      <c r="H14" s="9">
        <f t="shared" si="1"/>
        <v>0</v>
      </c>
      <c r="I14" s="112"/>
      <c r="J14" s="113"/>
      <c r="K14" s="113"/>
      <c r="L14" s="113"/>
      <c r="M14" s="114"/>
    </row>
    <row r="15" spans="2:13" ht="18" customHeight="1" x14ac:dyDescent="0.4">
      <c r="B15" s="104"/>
      <c r="C15" s="107"/>
      <c r="D15" s="19" t="s">
        <v>27</v>
      </c>
      <c r="E15" s="17">
        <f t="shared" si="2"/>
        <v>1.3</v>
      </c>
      <c r="F15" s="16">
        <v>2</v>
      </c>
      <c r="G15" s="9">
        <f t="shared" si="0"/>
        <v>0</v>
      </c>
      <c r="H15" s="9">
        <f t="shared" si="1"/>
        <v>0</v>
      </c>
      <c r="I15" s="112"/>
      <c r="J15" s="113"/>
      <c r="K15" s="113"/>
      <c r="L15" s="113"/>
      <c r="M15" s="114"/>
    </row>
    <row r="16" spans="2:13" ht="18" customHeight="1" x14ac:dyDescent="0.4">
      <c r="B16" s="104"/>
      <c r="C16" s="107"/>
      <c r="D16" s="19" t="s">
        <v>14</v>
      </c>
      <c r="E16" s="17">
        <f t="shared" si="2"/>
        <v>0.65</v>
      </c>
      <c r="F16" s="16">
        <v>1</v>
      </c>
      <c r="G16" s="9">
        <f t="shared" si="0"/>
        <v>0</v>
      </c>
      <c r="H16" s="9">
        <f t="shared" si="1"/>
        <v>0</v>
      </c>
      <c r="I16" s="112"/>
      <c r="J16" s="113"/>
      <c r="K16" s="113"/>
      <c r="L16" s="113"/>
      <c r="M16" s="114"/>
    </row>
    <row r="17" spans="2:13" ht="18" customHeight="1" x14ac:dyDescent="0.4">
      <c r="B17" s="104"/>
      <c r="C17" s="107"/>
      <c r="D17" s="19" t="s">
        <v>78</v>
      </c>
      <c r="E17" s="21">
        <f t="shared" si="2"/>
        <v>1.9500000000000002</v>
      </c>
      <c r="F17" s="16">
        <v>3</v>
      </c>
      <c r="G17" s="9">
        <f t="shared" si="0"/>
        <v>0</v>
      </c>
      <c r="H17" s="9">
        <f t="shared" si="1"/>
        <v>0</v>
      </c>
      <c r="I17" s="112"/>
      <c r="J17" s="113"/>
      <c r="K17" s="113"/>
      <c r="L17" s="113"/>
      <c r="M17" s="114"/>
    </row>
    <row r="18" spans="2:13" ht="18" customHeight="1" x14ac:dyDescent="0.4">
      <c r="B18" s="104"/>
      <c r="C18" s="107"/>
      <c r="D18" s="19" t="s">
        <v>18</v>
      </c>
      <c r="E18" s="17">
        <f t="shared" si="2"/>
        <v>0.65</v>
      </c>
      <c r="F18" s="16">
        <v>1</v>
      </c>
      <c r="G18" s="9">
        <f t="shared" si="0"/>
        <v>0</v>
      </c>
      <c r="H18" s="9">
        <f t="shared" si="1"/>
        <v>0</v>
      </c>
      <c r="I18" s="112"/>
      <c r="J18" s="113"/>
      <c r="K18" s="113"/>
      <c r="L18" s="113"/>
      <c r="M18" s="114"/>
    </row>
    <row r="19" spans="2:13" ht="18" customHeight="1" x14ac:dyDescent="0.4">
      <c r="B19" s="104"/>
      <c r="C19" s="107"/>
      <c r="D19" s="19" t="s">
        <v>15</v>
      </c>
      <c r="E19" s="17">
        <f t="shared" si="2"/>
        <v>0.32500000000000001</v>
      </c>
      <c r="F19" s="16">
        <v>0.5</v>
      </c>
      <c r="G19" s="9">
        <f t="shared" si="0"/>
        <v>0</v>
      </c>
      <c r="H19" s="9">
        <f t="shared" si="1"/>
        <v>0</v>
      </c>
      <c r="I19" s="112"/>
      <c r="J19" s="113"/>
      <c r="K19" s="113"/>
      <c r="L19" s="113"/>
      <c r="M19" s="114"/>
    </row>
    <row r="20" spans="2:13" ht="18" customHeight="1" x14ac:dyDescent="0.4">
      <c r="B20" s="104"/>
      <c r="C20" s="108"/>
      <c r="D20" s="19" t="s">
        <v>127</v>
      </c>
      <c r="E20" s="17">
        <f t="shared" si="2"/>
        <v>0.32500000000000001</v>
      </c>
      <c r="F20" s="16">
        <v>0.5</v>
      </c>
      <c r="G20" s="9">
        <f t="shared" si="0"/>
        <v>0</v>
      </c>
      <c r="H20" s="9">
        <f t="shared" si="1"/>
        <v>0</v>
      </c>
      <c r="I20" s="115"/>
      <c r="J20" s="116"/>
      <c r="K20" s="116"/>
      <c r="L20" s="116"/>
      <c r="M20" s="117"/>
    </row>
    <row r="21" spans="2:13" ht="18" customHeight="1" x14ac:dyDescent="0.4">
      <c r="B21" s="104"/>
      <c r="C21" s="118" t="s">
        <v>128</v>
      </c>
      <c r="D21" s="16" t="s">
        <v>129</v>
      </c>
      <c r="E21" s="11">
        <f t="shared" si="2"/>
        <v>13</v>
      </c>
      <c r="F21" s="15">
        <v>20</v>
      </c>
      <c r="G21" s="9">
        <f t="shared" si="0"/>
        <v>0</v>
      </c>
      <c r="H21" s="9">
        <f t="shared" si="1"/>
        <v>0</v>
      </c>
      <c r="I21" s="120" t="s">
        <v>130</v>
      </c>
      <c r="J21" s="121"/>
      <c r="K21" s="121"/>
      <c r="L21" s="121"/>
      <c r="M21" s="122"/>
    </row>
    <row r="22" spans="2:13" ht="18" customHeight="1" x14ac:dyDescent="0.4">
      <c r="B22" s="104"/>
      <c r="C22" s="119"/>
      <c r="D22" s="16" t="s">
        <v>52</v>
      </c>
      <c r="E22" s="11">
        <f t="shared" si="2"/>
        <v>13</v>
      </c>
      <c r="F22" s="15">
        <v>20</v>
      </c>
      <c r="G22" s="9">
        <f t="shared" si="0"/>
        <v>0</v>
      </c>
      <c r="H22" s="9">
        <f t="shared" si="1"/>
        <v>0</v>
      </c>
      <c r="I22" s="123"/>
      <c r="J22" s="124"/>
      <c r="K22" s="124"/>
      <c r="L22" s="124"/>
      <c r="M22" s="125"/>
    </row>
    <row r="23" spans="2:13" ht="18" customHeight="1" x14ac:dyDescent="0.4">
      <c r="B23" s="104"/>
      <c r="C23" s="119"/>
      <c r="D23" s="16" t="s">
        <v>18</v>
      </c>
      <c r="E23" s="22">
        <f t="shared" si="2"/>
        <v>3.25</v>
      </c>
      <c r="F23" s="15">
        <v>5</v>
      </c>
      <c r="G23" s="9">
        <f t="shared" si="0"/>
        <v>0</v>
      </c>
      <c r="H23" s="9">
        <f t="shared" si="1"/>
        <v>0</v>
      </c>
      <c r="I23" s="123"/>
      <c r="J23" s="124"/>
      <c r="K23" s="124"/>
      <c r="L23" s="124"/>
      <c r="M23" s="125"/>
    </row>
    <row r="24" spans="2:13" ht="18" customHeight="1" x14ac:dyDescent="0.4">
      <c r="B24" s="104"/>
      <c r="C24" s="119"/>
      <c r="D24" s="16" t="s">
        <v>127</v>
      </c>
      <c r="E24" s="22">
        <f t="shared" si="2"/>
        <v>0.65</v>
      </c>
      <c r="F24" s="15">
        <v>1</v>
      </c>
      <c r="G24" s="9">
        <f t="shared" si="0"/>
        <v>0</v>
      </c>
      <c r="H24" s="9">
        <f t="shared" si="1"/>
        <v>0</v>
      </c>
      <c r="I24" s="123"/>
      <c r="J24" s="124"/>
      <c r="K24" s="124"/>
      <c r="L24" s="124"/>
      <c r="M24" s="125"/>
    </row>
    <row r="25" spans="2:13" ht="18" customHeight="1" x14ac:dyDescent="0.4">
      <c r="B25" s="104"/>
      <c r="C25" s="119"/>
      <c r="D25" s="16" t="s">
        <v>20</v>
      </c>
      <c r="E25" s="22">
        <f t="shared" si="2"/>
        <v>1.3</v>
      </c>
      <c r="F25" s="15">
        <v>2</v>
      </c>
      <c r="G25" s="9">
        <f t="shared" si="0"/>
        <v>0</v>
      </c>
      <c r="H25" s="9">
        <f t="shared" si="1"/>
        <v>0</v>
      </c>
      <c r="I25" s="123"/>
      <c r="J25" s="124"/>
      <c r="K25" s="124"/>
      <c r="L25" s="124"/>
      <c r="M25" s="125"/>
    </row>
    <row r="26" spans="2:13" ht="18" customHeight="1" x14ac:dyDescent="0.4">
      <c r="B26" s="104"/>
      <c r="C26" s="126" t="s">
        <v>131</v>
      </c>
      <c r="D26" s="16" t="s">
        <v>74</v>
      </c>
      <c r="E26" s="9">
        <f t="shared" si="2"/>
        <v>19.5</v>
      </c>
      <c r="F26" s="15">
        <v>30</v>
      </c>
      <c r="G26" s="9">
        <f t="shared" si="0"/>
        <v>0</v>
      </c>
      <c r="H26" s="9">
        <f t="shared" si="1"/>
        <v>0</v>
      </c>
      <c r="I26" s="109" t="s">
        <v>132</v>
      </c>
      <c r="J26" s="110"/>
      <c r="K26" s="110"/>
      <c r="L26" s="110"/>
      <c r="M26" s="111"/>
    </row>
    <row r="27" spans="2:13" ht="18" customHeight="1" x14ac:dyDescent="0.4">
      <c r="B27" s="104"/>
      <c r="C27" s="127"/>
      <c r="D27" s="14" t="s">
        <v>127</v>
      </c>
      <c r="E27" s="23">
        <f t="shared" si="2"/>
        <v>0.32500000000000001</v>
      </c>
      <c r="F27" s="15">
        <v>0.5</v>
      </c>
      <c r="G27" s="9">
        <f t="shared" si="0"/>
        <v>0</v>
      </c>
      <c r="H27" s="9">
        <f t="shared" si="1"/>
        <v>0</v>
      </c>
      <c r="I27" s="112"/>
      <c r="J27" s="113"/>
      <c r="K27" s="113"/>
      <c r="L27" s="113"/>
      <c r="M27" s="114"/>
    </row>
    <row r="28" spans="2:13" ht="18" customHeight="1" x14ac:dyDescent="0.4">
      <c r="B28" s="104"/>
      <c r="C28" s="127"/>
      <c r="D28" s="14" t="s">
        <v>15</v>
      </c>
      <c r="E28" s="23">
        <f t="shared" si="2"/>
        <v>0.65</v>
      </c>
      <c r="F28" s="15">
        <v>1</v>
      </c>
      <c r="G28" s="9">
        <f t="shared" si="0"/>
        <v>0</v>
      </c>
      <c r="H28" s="9">
        <f t="shared" si="1"/>
        <v>0</v>
      </c>
      <c r="I28" s="112"/>
      <c r="J28" s="113"/>
      <c r="K28" s="113"/>
      <c r="L28" s="113"/>
      <c r="M28" s="114"/>
    </row>
    <row r="29" spans="2:13" ht="18" customHeight="1" x14ac:dyDescent="0.4">
      <c r="B29" s="104"/>
      <c r="C29" s="127"/>
      <c r="D29" s="14" t="s">
        <v>133</v>
      </c>
      <c r="E29" s="23">
        <f t="shared" si="2"/>
        <v>0.65</v>
      </c>
      <c r="F29" s="15">
        <v>1</v>
      </c>
      <c r="G29" s="9">
        <f t="shared" si="0"/>
        <v>0</v>
      </c>
      <c r="H29" s="9">
        <f t="shared" si="1"/>
        <v>0</v>
      </c>
      <c r="I29" s="112"/>
      <c r="J29" s="113"/>
      <c r="K29" s="113"/>
      <c r="L29" s="113"/>
      <c r="M29" s="114"/>
    </row>
    <row r="30" spans="2:13" ht="18" customHeight="1" x14ac:dyDescent="0.4">
      <c r="B30" s="104"/>
      <c r="C30" s="127"/>
      <c r="D30" s="14" t="s">
        <v>134</v>
      </c>
      <c r="E30" s="23">
        <f t="shared" si="2"/>
        <v>0.13</v>
      </c>
      <c r="F30" s="15">
        <v>0.2</v>
      </c>
      <c r="G30" s="9">
        <f t="shared" si="0"/>
        <v>0</v>
      </c>
      <c r="H30" s="9">
        <f t="shared" si="1"/>
        <v>0</v>
      </c>
      <c r="I30" s="112"/>
      <c r="J30" s="113"/>
      <c r="K30" s="113"/>
      <c r="L30" s="113"/>
      <c r="M30" s="114"/>
    </row>
    <row r="31" spans="2:13" ht="18" customHeight="1" x14ac:dyDescent="0.4">
      <c r="B31" s="104"/>
      <c r="C31" s="127"/>
      <c r="D31" s="14" t="s">
        <v>14</v>
      </c>
      <c r="E31" s="23">
        <f t="shared" si="2"/>
        <v>0.32500000000000001</v>
      </c>
      <c r="F31" s="15">
        <v>0.5</v>
      </c>
      <c r="G31" s="9">
        <f t="shared" si="0"/>
        <v>0</v>
      </c>
      <c r="H31" s="9">
        <f t="shared" si="1"/>
        <v>0</v>
      </c>
      <c r="I31" s="115"/>
      <c r="J31" s="116"/>
      <c r="K31" s="116"/>
      <c r="L31" s="116"/>
      <c r="M31" s="117"/>
    </row>
    <row r="32" spans="2:13" ht="18" customHeight="1" x14ac:dyDescent="0.4">
      <c r="B32" s="104"/>
      <c r="C32" s="24" t="s">
        <v>135</v>
      </c>
      <c r="D32" s="24" t="s">
        <v>136</v>
      </c>
      <c r="E32" s="9">
        <f t="shared" si="2"/>
        <v>13</v>
      </c>
      <c r="F32" s="15">
        <v>20</v>
      </c>
      <c r="G32" s="9">
        <f t="shared" si="0"/>
        <v>0</v>
      </c>
      <c r="H32" s="9">
        <f t="shared" si="1"/>
        <v>0</v>
      </c>
      <c r="I32" s="140" t="s">
        <v>137</v>
      </c>
      <c r="J32" s="141"/>
      <c r="K32" s="141"/>
      <c r="L32" s="141"/>
      <c r="M32" s="142"/>
    </row>
    <row r="33" spans="2:13" ht="18" customHeight="1" x14ac:dyDescent="0.4">
      <c r="B33" s="143" t="s">
        <v>138</v>
      </c>
      <c r="C33" s="106" t="s">
        <v>139</v>
      </c>
      <c r="D33" s="16" t="s">
        <v>140</v>
      </c>
      <c r="E33" s="9">
        <f t="shared" si="2"/>
        <v>26</v>
      </c>
      <c r="F33" s="16">
        <v>40</v>
      </c>
      <c r="G33" s="9">
        <f t="shared" si="0"/>
        <v>0</v>
      </c>
      <c r="H33" s="9">
        <f t="shared" si="1"/>
        <v>0</v>
      </c>
      <c r="I33" s="148" t="s">
        <v>141</v>
      </c>
      <c r="J33" s="148"/>
      <c r="K33" s="148"/>
      <c r="L33" s="148"/>
      <c r="M33" s="149"/>
    </row>
    <row r="34" spans="2:13" ht="18" customHeight="1" x14ac:dyDescent="0.4">
      <c r="B34" s="144"/>
      <c r="C34" s="146"/>
      <c r="D34" s="16" t="s">
        <v>22</v>
      </c>
      <c r="E34" s="23">
        <f t="shared" si="2"/>
        <v>3.25</v>
      </c>
      <c r="F34" s="16">
        <v>5</v>
      </c>
      <c r="G34" s="9">
        <f t="shared" si="0"/>
        <v>0</v>
      </c>
      <c r="H34" s="9">
        <f t="shared" si="1"/>
        <v>0</v>
      </c>
      <c r="I34" s="148"/>
      <c r="J34" s="148"/>
      <c r="K34" s="148"/>
      <c r="L34" s="148"/>
      <c r="M34" s="149"/>
    </row>
    <row r="35" spans="2:13" ht="18" customHeight="1" x14ac:dyDescent="0.4">
      <c r="B35" s="144"/>
      <c r="C35" s="146"/>
      <c r="D35" s="16" t="s">
        <v>21</v>
      </c>
      <c r="E35" s="23">
        <f t="shared" si="2"/>
        <v>3.25</v>
      </c>
      <c r="F35" s="16">
        <v>5</v>
      </c>
      <c r="G35" s="9">
        <f t="shared" si="0"/>
        <v>0</v>
      </c>
      <c r="H35" s="9">
        <f t="shared" si="1"/>
        <v>0</v>
      </c>
      <c r="I35" s="148"/>
      <c r="J35" s="148"/>
      <c r="K35" s="148"/>
      <c r="L35" s="148"/>
      <c r="M35" s="149"/>
    </row>
    <row r="36" spans="2:13" ht="18" customHeight="1" x14ac:dyDescent="0.4">
      <c r="B36" s="144"/>
      <c r="C36" s="146"/>
      <c r="D36" s="16" t="s">
        <v>142</v>
      </c>
      <c r="E36" s="23">
        <f t="shared" si="2"/>
        <v>3.25</v>
      </c>
      <c r="F36" s="16">
        <v>5</v>
      </c>
      <c r="G36" s="9">
        <f t="shared" si="0"/>
        <v>0</v>
      </c>
      <c r="H36" s="9">
        <f t="shared" si="1"/>
        <v>0</v>
      </c>
      <c r="I36" s="148"/>
      <c r="J36" s="148"/>
      <c r="K36" s="148"/>
      <c r="L36" s="148"/>
      <c r="M36" s="149"/>
    </row>
    <row r="37" spans="2:13" ht="18" customHeight="1" x14ac:dyDescent="0.4">
      <c r="B37" s="144"/>
      <c r="C37" s="146"/>
      <c r="D37" s="16" t="s">
        <v>28</v>
      </c>
      <c r="E37" s="9">
        <f t="shared" si="2"/>
        <v>1.3</v>
      </c>
      <c r="F37" s="16">
        <v>2</v>
      </c>
      <c r="G37" s="9">
        <f t="shared" si="0"/>
        <v>0</v>
      </c>
      <c r="H37" s="9">
        <f t="shared" si="1"/>
        <v>0</v>
      </c>
      <c r="I37" s="148"/>
      <c r="J37" s="148"/>
      <c r="K37" s="148"/>
      <c r="L37" s="148"/>
      <c r="M37" s="149"/>
    </row>
    <row r="38" spans="2:13" ht="18" customHeight="1" x14ac:dyDescent="0.4">
      <c r="B38" s="144"/>
      <c r="C38" s="146"/>
      <c r="D38" s="16" t="s">
        <v>27</v>
      </c>
      <c r="E38" s="9">
        <f t="shared" si="2"/>
        <v>1.3</v>
      </c>
      <c r="F38" s="16">
        <v>2</v>
      </c>
      <c r="G38" s="9">
        <f t="shared" si="0"/>
        <v>0</v>
      </c>
      <c r="H38" s="9">
        <f t="shared" si="1"/>
        <v>0</v>
      </c>
      <c r="I38" s="148"/>
      <c r="J38" s="148"/>
      <c r="K38" s="148"/>
      <c r="L38" s="148"/>
      <c r="M38" s="149"/>
    </row>
    <row r="39" spans="2:13" ht="18" customHeight="1" x14ac:dyDescent="0.4">
      <c r="B39" s="144"/>
      <c r="C39" s="146"/>
      <c r="D39" s="16" t="s">
        <v>18</v>
      </c>
      <c r="E39" s="26">
        <f t="shared" si="2"/>
        <v>0.97500000000000009</v>
      </c>
      <c r="F39" s="16">
        <v>1.5</v>
      </c>
      <c r="G39" s="9">
        <f t="shared" si="0"/>
        <v>0</v>
      </c>
      <c r="H39" s="9">
        <f t="shared" si="1"/>
        <v>0</v>
      </c>
      <c r="I39" s="148"/>
      <c r="J39" s="148"/>
      <c r="K39" s="148"/>
      <c r="L39" s="148"/>
      <c r="M39" s="149"/>
    </row>
    <row r="40" spans="2:13" ht="18" customHeight="1" thickBot="1" x14ac:dyDescent="0.45">
      <c r="B40" s="145"/>
      <c r="C40" s="147"/>
      <c r="D40" s="27" t="s">
        <v>19</v>
      </c>
      <c r="E40" s="28">
        <f t="shared" si="2"/>
        <v>0.65</v>
      </c>
      <c r="F40" s="27">
        <v>1</v>
      </c>
      <c r="G40" s="29">
        <f t="shared" si="0"/>
        <v>0</v>
      </c>
      <c r="H40" s="29">
        <f t="shared" si="1"/>
        <v>0</v>
      </c>
      <c r="I40" s="150"/>
      <c r="J40" s="150"/>
      <c r="K40" s="150"/>
      <c r="L40" s="150"/>
      <c r="M40" s="151"/>
    </row>
    <row r="41" spans="2:13" ht="80.099999999999994" customHeight="1" thickTop="1" x14ac:dyDescent="0.4">
      <c r="B41" s="152"/>
      <c r="C41" s="152"/>
      <c r="D41" s="152"/>
      <c r="E41" s="152"/>
      <c r="F41" s="152"/>
      <c r="G41" s="152"/>
      <c r="H41" s="152"/>
      <c r="I41" s="152"/>
      <c r="J41" s="152"/>
      <c r="K41" s="152"/>
      <c r="L41" s="152"/>
      <c r="M41" s="152"/>
    </row>
    <row r="42" spans="2:13" ht="18" thickBot="1" x14ac:dyDescent="0.45">
      <c r="B42" s="31"/>
      <c r="C42" s="32"/>
      <c r="D42" s="32"/>
      <c r="E42" s="33"/>
      <c r="F42" s="32"/>
      <c r="G42" s="33"/>
      <c r="H42" s="33"/>
      <c r="I42" s="34"/>
      <c r="J42" s="34"/>
      <c r="K42" s="34"/>
      <c r="L42" s="34"/>
      <c r="M42" s="34"/>
    </row>
    <row r="43" spans="2:13" ht="21" customHeight="1" thickTop="1" x14ac:dyDescent="0.4">
      <c r="B43" s="134" t="s">
        <v>143</v>
      </c>
      <c r="C43" s="135"/>
      <c r="D43" s="135"/>
      <c r="E43" s="135"/>
      <c r="F43" s="135"/>
      <c r="G43" s="135"/>
      <c r="H43" s="135"/>
      <c r="I43" s="135"/>
      <c r="J43" s="135"/>
      <c r="K43" s="135"/>
      <c r="L43" s="135"/>
      <c r="M43" s="136"/>
    </row>
    <row r="44" spans="2:13" ht="18" customHeight="1" x14ac:dyDescent="0.4">
      <c r="B44" s="137" t="s">
        <v>3</v>
      </c>
      <c r="C44" s="138" t="s">
        <v>4</v>
      </c>
      <c r="D44" s="138" t="s">
        <v>5</v>
      </c>
      <c r="E44" s="138" t="s">
        <v>6</v>
      </c>
      <c r="F44" s="138"/>
      <c r="G44" s="138" t="s">
        <v>7</v>
      </c>
      <c r="H44" s="138"/>
      <c r="I44" s="138" t="s">
        <v>8</v>
      </c>
      <c r="J44" s="138"/>
      <c r="K44" s="138"/>
      <c r="L44" s="138"/>
      <c r="M44" s="139"/>
    </row>
    <row r="45" spans="2:13" ht="18" customHeight="1" x14ac:dyDescent="0.4">
      <c r="B45" s="137"/>
      <c r="C45" s="138"/>
      <c r="D45" s="138"/>
      <c r="E45" s="5" t="s">
        <v>1</v>
      </c>
      <c r="F45" s="5" t="s">
        <v>2</v>
      </c>
      <c r="G45" s="6" t="s">
        <v>1</v>
      </c>
      <c r="H45" s="7" t="s">
        <v>2</v>
      </c>
      <c r="I45" s="138"/>
      <c r="J45" s="138"/>
      <c r="K45" s="138"/>
      <c r="L45" s="138"/>
      <c r="M45" s="139"/>
    </row>
    <row r="46" spans="2:13" s="1" customFormat="1" ht="18" customHeight="1" x14ac:dyDescent="0.4">
      <c r="B46" s="102" t="s">
        <v>9</v>
      </c>
      <c r="C46" s="9" t="s">
        <v>144</v>
      </c>
      <c r="D46" s="10" t="s">
        <v>75</v>
      </c>
      <c r="E46" s="26">
        <f>F46*0.65</f>
        <v>26</v>
      </c>
      <c r="F46" s="12">
        <v>40</v>
      </c>
      <c r="G46" s="9">
        <f t="shared" ref="G46:G84" si="3">E46*E$2</f>
        <v>0</v>
      </c>
      <c r="H46" s="9">
        <f t="shared" ref="H46:H84" si="4">F46*E$3</f>
        <v>0</v>
      </c>
      <c r="I46" s="96" t="s">
        <v>145</v>
      </c>
      <c r="J46" s="97"/>
      <c r="K46" s="97"/>
      <c r="L46" s="97"/>
      <c r="M46" s="98"/>
    </row>
    <row r="47" spans="2:13" s="1" customFormat="1" ht="18" customHeight="1" x14ac:dyDescent="0.4">
      <c r="B47" s="162"/>
      <c r="C47" s="35" t="s">
        <v>146</v>
      </c>
      <c r="D47" s="9" t="s">
        <v>147</v>
      </c>
      <c r="E47" s="9">
        <f>F47*0.7</f>
        <v>42</v>
      </c>
      <c r="F47" s="36">
        <v>60</v>
      </c>
      <c r="G47" s="9">
        <f t="shared" si="3"/>
        <v>0</v>
      </c>
      <c r="H47" s="9">
        <f t="shared" si="4"/>
        <v>0</v>
      </c>
      <c r="I47" s="163" t="s">
        <v>148</v>
      </c>
      <c r="J47" s="164"/>
      <c r="K47" s="164"/>
      <c r="L47" s="164"/>
      <c r="M47" s="165"/>
    </row>
    <row r="48" spans="2:13" s="1" customFormat="1" ht="18" customHeight="1" x14ac:dyDescent="0.4">
      <c r="B48" s="103"/>
      <c r="C48" s="35" t="s">
        <v>149</v>
      </c>
      <c r="D48" s="9" t="s">
        <v>33</v>
      </c>
      <c r="E48" s="26">
        <v>100</v>
      </c>
      <c r="F48" s="12">
        <v>100</v>
      </c>
      <c r="G48" s="9">
        <f t="shared" si="3"/>
        <v>0</v>
      </c>
      <c r="H48" s="9">
        <f t="shared" si="4"/>
        <v>0</v>
      </c>
      <c r="I48" s="166"/>
      <c r="J48" s="167"/>
      <c r="K48" s="167"/>
      <c r="L48" s="167"/>
      <c r="M48" s="168"/>
    </row>
    <row r="49" spans="2:13" s="1" customFormat="1" ht="18" customHeight="1" x14ac:dyDescent="0.4">
      <c r="B49" s="169" t="s">
        <v>12</v>
      </c>
      <c r="C49" s="171" t="s">
        <v>150</v>
      </c>
      <c r="D49" s="16" t="s">
        <v>123</v>
      </c>
      <c r="E49" s="22">
        <f t="shared" ref="E49:E84" si="5">F49*0.65</f>
        <v>32.5</v>
      </c>
      <c r="F49" s="15">
        <v>50</v>
      </c>
      <c r="G49" s="35">
        <f t="shared" si="3"/>
        <v>0</v>
      </c>
      <c r="H49" s="35">
        <f t="shared" si="4"/>
        <v>0</v>
      </c>
      <c r="I49" s="120" t="s">
        <v>102</v>
      </c>
      <c r="J49" s="121"/>
      <c r="K49" s="121"/>
      <c r="L49" s="121"/>
      <c r="M49" s="122"/>
    </row>
    <row r="50" spans="2:13" s="1" customFormat="1" ht="18" customHeight="1" x14ac:dyDescent="0.4">
      <c r="B50" s="170"/>
      <c r="C50" s="172"/>
      <c r="D50" s="16" t="s">
        <v>151</v>
      </c>
      <c r="E50" s="22">
        <f t="shared" si="5"/>
        <v>1.625</v>
      </c>
      <c r="F50" s="15">
        <v>2.5</v>
      </c>
      <c r="G50" s="9">
        <f t="shared" si="3"/>
        <v>0</v>
      </c>
      <c r="H50" s="9">
        <f t="shared" si="4"/>
        <v>0</v>
      </c>
      <c r="I50" s="173"/>
      <c r="J50" s="174"/>
      <c r="K50" s="174"/>
      <c r="L50" s="174"/>
      <c r="M50" s="175"/>
    </row>
    <row r="51" spans="2:13" ht="18" customHeight="1" x14ac:dyDescent="0.4">
      <c r="B51" s="170"/>
      <c r="C51" s="176" t="s">
        <v>152</v>
      </c>
      <c r="D51" s="19" t="s">
        <v>59</v>
      </c>
      <c r="E51" s="22">
        <f t="shared" si="5"/>
        <v>19.5</v>
      </c>
      <c r="F51" s="15">
        <v>30</v>
      </c>
      <c r="G51" s="9">
        <f t="shared" si="3"/>
        <v>0</v>
      </c>
      <c r="H51" s="9">
        <f t="shared" si="4"/>
        <v>0</v>
      </c>
      <c r="I51" s="109" t="s">
        <v>153</v>
      </c>
      <c r="J51" s="110"/>
      <c r="K51" s="110"/>
      <c r="L51" s="110"/>
      <c r="M51" s="111"/>
    </row>
    <row r="52" spans="2:13" ht="18" customHeight="1" x14ac:dyDescent="0.4">
      <c r="B52" s="170"/>
      <c r="C52" s="107"/>
      <c r="D52" s="19" t="s">
        <v>22</v>
      </c>
      <c r="E52" s="22">
        <f t="shared" si="5"/>
        <v>6.5</v>
      </c>
      <c r="F52" s="15">
        <v>10</v>
      </c>
      <c r="G52" s="9">
        <f t="shared" si="3"/>
        <v>0</v>
      </c>
      <c r="H52" s="9">
        <f t="shared" si="4"/>
        <v>0</v>
      </c>
      <c r="I52" s="112"/>
      <c r="J52" s="113"/>
      <c r="K52" s="113"/>
      <c r="L52" s="113"/>
      <c r="M52" s="114"/>
    </row>
    <row r="53" spans="2:13" ht="18" customHeight="1" x14ac:dyDescent="0.4">
      <c r="B53" s="170"/>
      <c r="C53" s="107"/>
      <c r="D53" s="19" t="s">
        <v>154</v>
      </c>
      <c r="E53" s="11">
        <f t="shared" si="5"/>
        <v>1.9500000000000002</v>
      </c>
      <c r="F53" s="15">
        <v>3</v>
      </c>
      <c r="G53" s="9">
        <f t="shared" si="3"/>
        <v>0</v>
      </c>
      <c r="H53" s="9">
        <f t="shared" si="4"/>
        <v>0</v>
      </c>
      <c r="I53" s="112"/>
      <c r="J53" s="113"/>
      <c r="K53" s="113"/>
      <c r="L53" s="113"/>
      <c r="M53" s="114"/>
    </row>
    <row r="54" spans="2:13" ht="18" customHeight="1" x14ac:dyDescent="0.4">
      <c r="B54" s="170"/>
      <c r="C54" s="107"/>
      <c r="D54" s="19" t="s">
        <v>127</v>
      </c>
      <c r="E54" s="22">
        <f t="shared" si="5"/>
        <v>0.65</v>
      </c>
      <c r="F54" s="15">
        <v>1</v>
      </c>
      <c r="G54" s="9">
        <f t="shared" si="3"/>
        <v>0</v>
      </c>
      <c r="H54" s="9">
        <f t="shared" si="4"/>
        <v>0</v>
      </c>
      <c r="I54" s="112"/>
      <c r="J54" s="113"/>
      <c r="K54" s="113"/>
      <c r="L54" s="113"/>
      <c r="M54" s="114"/>
    </row>
    <row r="55" spans="2:13" ht="18" customHeight="1" x14ac:dyDescent="0.4">
      <c r="B55" s="170"/>
      <c r="C55" s="107"/>
      <c r="D55" s="19" t="s">
        <v>28</v>
      </c>
      <c r="E55" s="22">
        <f t="shared" si="5"/>
        <v>1.3</v>
      </c>
      <c r="F55" s="15">
        <v>2</v>
      </c>
      <c r="G55" s="9">
        <f t="shared" si="3"/>
        <v>0</v>
      </c>
      <c r="H55" s="9">
        <f t="shared" si="4"/>
        <v>0</v>
      </c>
      <c r="I55" s="112"/>
      <c r="J55" s="113"/>
      <c r="K55" s="113"/>
      <c r="L55" s="113"/>
      <c r="M55" s="114"/>
    </row>
    <row r="56" spans="2:13" ht="18" customHeight="1" x14ac:dyDescent="0.4">
      <c r="B56" s="170"/>
      <c r="C56" s="108"/>
      <c r="D56" s="19" t="s">
        <v>27</v>
      </c>
      <c r="E56" s="22">
        <f t="shared" si="5"/>
        <v>1.3</v>
      </c>
      <c r="F56" s="15">
        <v>2</v>
      </c>
      <c r="G56" s="9">
        <f t="shared" si="3"/>
        <v>0</v>
      </c>
      <c r="H56" s="9">
        <f t="shared" si="4"/>
        <v>0</v>
      </c>
      <c r="I56" s="112"/>
      <c r="J56" s="113"/>
      <c r="K56" s="113"/>
      <c r="L56" s="113"/>
      <c r="M56" s="114"/>
    </row>
    <row r="57" spans="2:13" ht="18" customHeight="1" x14ac:dyDescent="0.4">
      <c r="B57" s="170"/>
      <c r="C57" s="106" t="s">
        <v>155</v>
      </c>
      <c r="D57" s="16" t="s">
        <v>38</v>
      </c>
      <c r="E57" s="11">
        <f t="shared" si="5"/>
        <v>26</v>
      </c>
      <c r="F57" s="15">
        <v>40</v>
      </c>
      <c r="G57" s="9">
        <f t="shared" si="3"/>
        <v>0</v>
      </c>
      <c r="H57" s="9">
        <f t="shared" si="4"/>
        <v>0</v>
      </c>
      <c r="I57" s="120" t="s">
        <v>156</v>
      </c>
      <c r="J57" s="121"/>
      <c r="K57" s="121"/>
      <c r="L57" s="121"/>
      <c r="M57" s="122"/>
    </row>
    <row r="58" spans="2:13" ht="18" customHeight="1" x14ac:dyDescent="0.4">
      <c r="B58" s="170"/>
      <c r="C58" s="146"/>
      <c r="D58" s="16" t="s">
        <v>157</v>
      </c>
      <c r="E58" s="22">
        <f t="shared" si="5"/>
        <v>6.5</v>
      </c>
      <c r="F58" s="15">
        <v>10</v>
      </c>
      <c r="G58" s="9">
        <f t="shared" si="3"/>
        <v>0</v>
      </c>
      <c r="H58" s="9">
        <f t="shared" si="4"/>
        <v>0</v>
      </c>
      <c r="I58" s="123"/>
      <c r="J58" s="124"/>
      <c r="K58" s="124"/>
      <c r="L58" s="124"/>
      <c r="M58" s="125"/>
    </row>
    <row r="59" spans="2:13" ht="18" customHeight="1" x14ac:dyDescent="0.4">
      <c r="B59" s="170"/>
      <c r="C59" s="146"/>
      <c r="D59" s="16" t="s">
        <v>158</v>
      </c>
      <c r="E59" s="11">
        <f t="shared" si="5"/>
        <v>1.9500000000000002</v>
      </c>
      <c r="F59" s="15">
        <v>3</v>
      </c>
      <c r="G59" s="9">
        <f t="shared" si="3"/>
        <v>0</v>
      </c>
      <c r="H59" s="9">
        <f t="shared" si="4"/>
        <v>0</v>
      </c>
      <c r="I59" s="123"/>
      <c r="J59" s="124"/>
      <c r="K59" s="124"/>
      <c r="L59" s="124"/>
      <c r="M59" s="125"/>
    </row>
    <row r="60" spans="2:13" ht="18" customHeight="1" x14ac:dyDescent="0.4">
      <c r="B60" s="170"/>
      <c r="C60" s="146"/>
      <c r="D60" s="16" t="s">
        <v>127</v>
      </c>
      <c r="E60" s="22">
        <f t="shared" si="5"/>
        <v>0.65</v>
      </c>
      <c r="F60" s="15">
        <v>1</v>
      </c>
      <c r="G60" s="9">
        <f t="shared" si="3"/>
        <v>0</v>
      </c>
      <c r="H60" s="9">
        <f t="shared" si="4"/>
        <v>0</v>
      </c>
      <c r="I60" s="123"/>
      <c r="J60" s="124"/>
      <c r="K60" s="124"/>
      <c r="L60" s="124"/>
      <c r="M60" s="125"/>
    </row>
    <row r="61" spans="2:13" ht="18" customHeight="1" x14ac:dyDescent="0.4">
      <c r="B61" s="170"/>
      <c r="C61" s="146"/>
      <c r="D61" s="16" t="s">
        <v>159</v>
      </c>
      <c r="E61" s="22">
        <f t="shared" si="5"/>
        <v>0.32500000000000001</v>
      </c>
      <c r="F61" s="15">
        <v>0.5</v>
      </c>
      <c r="G61" s="9">
        <f t="shared" si="3"/>
        <v>0</v>
      </c>
      <c r="H61" s="9">
        <f t="shared" si="4"/>
        <v>0</v>
      </c>
      <c r="I61" s="123"/>
      <c r="J61" s="124"/>
      <c r="K61" s="124"/>
      <c r="L61" s="124"/>
      <c r="M61" s="125"/>
    </row>
    <row r="62" spans="2:13" ht="18" customHeight="1" x14ac:dyDescent="0.4">
      <c r="B62" s="170"/>
      <c r="C62" s="146"/>
      <c r="D62" s="16" t="s">
        <v>160</v>
      </c>
      <c r="E62" s="22">
        <f t="shared" si="5"/>
        <v>0.13</v>
      </c>
      <c r="F62" s="15">
        <v>0.2</v>
      </c>
      <c r="G62" s="9">
        <f t="shared" si="3"/>
        <v>0</v>
      </c>
      <c r="H62" s="9">
        <f t="shared" si="4"/>
        <v>0</v>
      </c>
      <c r="I62" s="123"/>
      <c r="J62" s="124"/>
      <c r="K62" s="124"/>
      <c r="L62" s="124"/>
      <c r="M62" s="125"/>
    </row>
    <row r="63" spans="2:13" ht="18" customHeight="1" x14ac:dyDescent="0.4">
      <c r="B63" s="170"/>
      <c r="C63" s="146"/>
      <c r="D63" s="16" t="s">
        <v>18</v>
      </c>
      <c r="E63" s="22">
        <f t="shared" si="5"/>
        <v>3.25</v>
      </c>
      <c r="F63" s="15">
        <v>5</v>
      </c>
      <c r="G63" s="9">
        <f t="shared" si="3"/>
        <v>0</v>
      </c>
      <c r="H63" s="9">
        <f t="shared" si="4"/>
        <v>0</v>
      </c>
      <c r="I63" s="123"/>
      <c r="J63" s="124"/>
      <c r="K63" s="124"/>
      <c r="L63" s="124"/>
      <c r="M63" s="125"/>
    </row>
    <row r="64" spans="2:13" ht="18" customHeight="1" x14ac:dyDescent="0.4">
      <c r="B64" s="170"/>
      <c r="C64" s="146"/>
      <c r="D64" s="16" t="s">
        <v>20</v>
      </c>
      <c r="E64" s="11">
        <f t="shared" si="5"/>
        <v>1.9500000000000002</v>
      </c>
      <c r="F64" s="15">
        <v>3</v>
      </c>
      <c r="G64" s="9">
        <f t="shared" si="3"/>
        <v>0</v>
      </c>
      <c r="H64" s="9">
        <f t="shared" si="4"/>
        <v>0</v>
      </c>
      <c r="I64" s="123"/>
      <c r="J64" s="124"/>
      <c r="K64" s="124"/>
      <c r="L64" s="124"/>
      <c r="M64" s="125"/>
    </row>
    <row r="65" spans="2:13" ht="18" customHeight="1" x14ac:dyDescent="0.4">
      <c r="B65" s="170"/>
      <c r="C65" s="146"/>
      <c r="D65" s="16" t="s">
        <v>14</v>
      </c>
      <c r="E65" s="22">
        <f t="shared" si="5"/>
        <v>0.65</v>
      </c>
      <c r="F65" s="15">
        <v>1</v>
      </c>
      <c r="G65" s="9">
        <f t="shared" si="3"/>
        <v>0</v>
      </c>
      <c r="H65" s="9">
        <f t="shared" si="4"/>
        <v>0</v>
      </c>
      <c r="I65" s="123"/>
      <c r="J65" s="124"/>
      <c r="K65" s="124"/>
      <c r="L65" s="124"/>
      <c r="M65" s="125"/>
    </row>
    <row r="66" spans="2:13" ht="18" customHeight="1" x14ac:dyDescent="0.4">
      <c r="B66" s="170"/>
      <c r="C66" s="177"/>
      <c r="D66" s="16" t="s">
        <v>161</v>
      </c>
      <c r="E66" s="22">
        <f t="shared" si="5"/>
        <v>1.3</v>
      </c>
      <c r="F66" s="15">
        <v>2</v>
      </c>
      <c r="G66" s="9">
        <f t="shared" si="3"/>
        <v>0</v>
      </c>
      <c r="H66" s="9">
        <f t="shared" si="4"/>
        <v>0</v>
      </c>
      <c r="I66" s="173"/>
      <c r="J66" s="174"/>
      <c r="K66" s="174"/>
      <c r="L66" s="174"/>
      <c r="M66" s="175"/>
    </row>
    <row r="67" spans="2:13" ht="18" customHeight="1" x14ac:dyDescent="0.4">
      <c r="B67" s="170"/>
      <c r="C67" s="176" t="s">
        <v>162</v>
      </c>
      <c r="D67" s="16" t="s">
        <v>163</v>
      </c>
      <c r="E67" s="23">
        <f t="shared" si="5"/>
        <v>16.25</v>
      </c>
      <c r="F67" s="16">
        <v>25</v>
      </c>
      <c r="G67" s="9">
        <f t="shared" si="3"/>
        <v>0</v>
      </c>
      <c r="H67" s="9">
        <f t="shared" si="4"/>
        <v>0</v>
      </c>
      <c r="I67" s="178" t="s">
        <v>164</v>
      </c>
      <c r="J67" s="178"/>
      <c r="K67" s="178"/>
      <c r="L67" s="178"/>
      <c r="M67" s="179"/>
    </row>
    <row r="68" spans="2:13" ht="18" customHeight="1" x14ac:dyDescent="0.4">
      <c r="B68" s="170"/>
      <c r="C68" s="107"/>
      <c r="D68" s="16" t="s">
        <v>158</v>
      </c>
      <c r="E68" s="23">
        <f t="shared" si="5"/>
        <v>0.13</v>
      </c>
      <c r="F68" s="16">
        <v>0.2</v>
      </c>
      <c r="G68" s="9">
        <f t="shared" si="3"/>
        <v>0</v>
      </c>
      <c r="H68" s="9">
        <f t="shared" si="4"/>
        <v>0</v>
      </c>
      <c r="I68" s="178"/>
      <c r="J68" s="178"/>
      <c r="K68" s="178"/>
      <c r="L68" s="178"/>
      <c r="M68" s="179"/>
    </row>
    <row r="69" spans="2:13" ht="18" customHeight="1" x14ac:dyDescent="0.4">
      <c r="B69" s="170"/>
      <c r="C69" s="107"/>
      <c r="D69" s="16" t="s">
        <v>127</v>
      </c>
      <c r="E69" s="23">
        <f t="shared" si="5"/>
        <v>0.13</v>
      </c>
      <c r="F69" s="16">
        <v>0.2</v>
      </c>
      <c r="G69" s="9">
        <f t="shared" si="3"/>
        <v>0</v>
      </c>
      <c r="H69" s="9">
        <f t="shared" si="4"/>
        <v>0</v>
      </c>
      <c r="I69" s="178"/>
      <c r="J69" s="178"/>
      <c r="K69" s="178"/>
      <c r="L69" s="178"/>
      <c r="M69" s="179"/>
    </row>
    <row r="70" spans="2:13" ht="18" customHeight="1" x14ac:dyDescent="0.4">
      <c r="B70" s="170"/>
      <c r="C70" s="107"/>
      <c r="D70" s="16" t="s">
        <v>165</v>
      </c>
      <c r="E70" s="26">
        <f t="shared" si="5"/>
        <v>1.9500000000000002</v>
      </c>
      <c r="F70" s="16">
        <v>3</v>
      </c>
      <c r="G70" s="9">
        <f t="shared" si="3"/>
        <v>0</v>
      </c>
      <c r="H70" s="9">
        <f t="shared" si="4"/>
        <v>0</v>
      </c>
      <c r="I70" s="178"/>
      <c r="J70" s="178"/>
      <c r="K70" s="178"/>
      <c r="L70" s="178"/>
      <c r="M70" s="179"/>
    </row>
    <row r="71" spans="2:13" ht="18" customHeight="1" x14ac:dyDescent="0.4">
      <c r="B71" s="170"/>
      <c r="C71" s="107"/>
      <c r="D71" s="16" t="s">
        <v>166</v>
      </c>
      <c r="E71" s="23">
        <f t="shared" si="5"/>
        <v>0.65</v>
      </c>
      <c r="F71" s="16">
        <v>1</v>
      </c>
      <c r="G71" s="9">
        <f t="shared" si="3"/>
        <v>0</v>
      </c>
      <c r="H71" s="9">
        <f t="shared" si="4"/>
        <v>0</v>
      </c>
      <c r="I71" s="178"/>
      <c r="J71" s="178"/>
      <c r="K71" s="178"/>
      <c r="L71" s="178"/>
      <c r="M71" s="179"/>
    </row>
    <row r="72" spans="2:13" ht="18" customHeight="1" x14ac:dyDescent="0.4">
      <c r="B72" s="170"/>
      <c r="C72" s="108"/>
      <c r="D72" s="16" t="s">
        <v>159</v>
      </c>
      <c r="E72" s="23">
        <f t="shared" si="5"/>
        <v>0.19500000000000001</v>
      </c>
      <c r="F72" s="16">
        <v>0.3</v>
      </c>
      <c r="G72" s="9">
        <f t="shared" si="3"/>
        <v>0</v>
      </c>
      <c r="H72" s="9">
        <f t="shared" si="4"/>
        <v>0</v>
      </c>
      <c r="I72" s="178"/>
      <c r="J72" s="178"/>
      <c r="K72" s="178"/>
      <c r="L72" s="178"/>
      <c r="M72" s="179"/>
    </row>
    <row r="73" spans="2:13" ht="18" customHeight="1" x14ac:dyDescent="0.4">
      <c r="B73" s="170"/>
      <c r="C73" s="40" t="s">
        <v>108</v>
      </c>
      <c r="D73" s="19" t="s">
        <v>136</v>
      </c>
      <c r="E73" s="21">
        <f t="shared" si="5"/>
        <v>13</v>
      </c>
      <c r="F73" s="15">
        <v>20</v>
      </c>
      <c r="G73" s="9">
        <f t="shared" si="3"/>
        <v>0</v>
      </c>
      <c r="H73" s="9">
        <f t="shared" si="4"/>
        <v>0</v>
      </c>
      <c r="I73" s="140" t="s">
        <v>137</v>
      </c>
      <c r="J73" s="141"/>
      <c r="K73" s="141"/>
      <c r="L73" s="141"/>
      <c r="M73" s="142"/>
    </row>
    <row r="74" spans="2:13" ht="18" customHeight="1" x14ac:dyDescent="0.4">
      <c r="B74" s="153" t="s">
        <v>138</v>
      </c>
      <c r="C74" s="106" t="s">
        <v>167</v>
      </c>
      <c r="D74" s="16" t="s">
        <v>43</v>
      </c>
      <c r="E74" s="41">
        <f t="shared" si="5"/>
        <v>26</v>
      </c>
      <c r="F74" s="16">
        <v>40</v>
      </c>
      <c r="G74" s="9">
        <f t="shared" si="3"/>
        <v>0</v>
      </c>
      <c r="H74" s="9">
        <f t="shared" si="4"/>
        <v>0</v>
      </c>
      <c r="I74" s="156" t="s">
        <v>168</v>
      </c>
      <c r="J74" s="157"/>
      <c r="K74" s="157"/>
      <c r="L74" s="157"/>
      <c r="M74" s="158"/>
    </row>
    <row r="75" spans="2:13" ht="18" customHeight="1" x14ac:dyDescent="0.4">
      <c r="B75" s="154"/>
      <c r="C75" s="146"/>
      <c r="D75" s="14" t="s">
        <v>54</v>
      </c>
      <c r="E75" s="42">
        <f t="shared" si="5"/>
        <v>6.5</v>
      </c>
      <c r="F75" s="16">
        <v>10</v>
      </c>
      <c r="G75" s="9">
        <f t="shared" si="3"/>
        <v>0</v>
      </c>
      <c r="H75" s="9">
        <f t="shared" si="4"/>
        <v>0</v>
      </c>
      <c r="I75" s="157"/>
      <c r="J75" s="157"/>
      <c r="K75" s="157"/>
      <c r="L75" s="157"/>
      <c r="M75" s="158"/>
    </row>
    <row r="76" spans="2:13" ht="18" customHeight="1" x14ac:dyDescent="0.4">
      <c r="B76" s="154"/>
      <c r="C76" s="146"/>
      <c r="D76" s="16" t="s">
        <v>21</v>
      </c>
      <c r="E76" s="42">
        <f t="shared" si="5"/>
        <v>1.3</v>
      </c>
      <c r="F76" s="16">
        <v>2</v>
      </c>
      <c r="G76" s="9">
        <f t="shared" si="3"/>
        <v>0</v>
      </c>
      <c r="H76" s="9">
        <f t="shared" si="4"/>
        <v>0</v>
      </c>
      <c r="I76" s="157"/>
      <c r="J76" s="157"/>
      <c r="K76" s="157"/>
      <c r="L76" s="157"/>
      <c r="M76" s="158"/>
    </row>
    <row r="77" spans="2:13" ht="18" customHeight="1" x14ac:dyDescent="0.4">
      <c r="B77" s="154"/>
      <c r="C77" s="146"/>
      <c r="D77" s="16" t="s">
        <v>73</v>
      </c>
      <c r="E77" s="42">
        <f t="shared" si="5"/>
        <v>1.3</v>
      </c>
      <c r="F77" s="16">
        <v>2</v>
      </c>
      <c r="G77" s="9">
        <f t="shared" si="3"/>
        <v>0</v>
      </c>
      <c r="H77" s="9">
        <f t="shared" si="4"/>
        <v>0</v>
      </c>
      <c r="I77" s="157"/>
      <c r="J77" s="157"/>
      <c r="K77" s="157"/>
      <c r="L77" s="157"/>
      <c r="M77" s="158"/>
    </row>
    <row r="78" spans="2:13" ht="18" customHeight="1" x14ac:dyDescent="0.4">
      <c r="B78" s="154"/>
      <c r="C78" s="146"/>
      <c r="D78" s="16" t="s">
        <v>18</v>
      </c>
      <c r="E78" s="41">
        <f t="shared" si="5"/>
        <v>1.9500000000000002</v>
      </c>
      <c r="F78" s="16">
        <v>3</v>
      </c>
      <c r="G78" s="9">
        <f t="shared" si="3"/>
        <v>0</v>
      </c>
      <c r="H78" s="9">
        <f t="shared" si="4"/>
        <v>0</v>
      </c>
      <c r="I78" s="157"/>
      <c r="J78" s="157"/>
      <c r="K78" s="157"/>
      <c r="L78" s="157"/>
      <c r="M78" s="158"/>
    </row>
    <row r="79" spans="2:13" ht="18" customHeight="1" x14ac:dyDescent="0.4">
      <c r="B79" s="154"/>
      <c r="C79" s="146"/>
      <c r="D79" s="16" t="s">
        <v>20</v>
      </c>
      <c r="E79" s="42">
        <f t="shared" si="5"/>
        <v>0.32500000000000001</v>
      </c>
      <c r="F79" s="16">
        <v>0.5</v>
      </c>
      <c r="G79" s="9">
        <f t="shared" si="3"/>
        <v>0</v>
      </c>
      <c r="H79" s="9">
        <f t="shared" si="4"/>
        <v>0</v>
      </c>
      <c r="I79" s="157"/>
      <c r="J79" s="157"/>
      <c r="K79" s="157"/>
      <c r="L79" s="157"/>
      <c r="M79" s="158"/>
    </row>
    <row r="80" spans="2:13" ht="18" customHeight="1" x14ac:dyDescent="0.4">
      <c r="B80" s="154"/>
      <c r="C80" s="146"/>
      <c r="D80" s="16" t="s">
        <v>15</v>
      </c>
      <c r="E80" s="22">
        <f t="shared" si="5"/>
        <v>0.65</v>
      </c>
      <c r="F80" s="16">
        <v>1</v>
      </c>
      <c r="G80" s="9">
        <f t="shared" si="3"/>
        <v>0</v>
      </c>
      <c r="H80" s="9">
        <f t="shared" si="4"/>
        <v>0</v>
      </c>
      <c r="I80" s="157"/>
      <c r="J80" s="157"/>
      <c r="K80" s="157"/>
      <c r="L80" s="157"/>
      <c r="M80" s="158"/>
    </row>
    <row r="81" spans="2:13" ht="18" customHeight="1" x14ac:dyDescent="0.4">
      <c r="B81" s="154"/>
      <c r="C81" s="146"/>
      <c r="D81" s="16" t="s">
        <v>34</v>
      </c>
      <c r="E81" s="22">
        <f t="shared" si="5"/>
        <v>1.3</v>
      </c>
      <c r="F81" s="16">
        <v>2</v>
      </c>
      <c r="G81" s="9">
        <f t="shared" si="3"/>
        <v>0</v>
      </c>
      <c r="H81" s="9">
        <f t="shared" si="4"/>
        <v>0</v>
      </c>
      <c r="I81" s="157"/>
      <c r="J81" s="157"/>
      <c r="K81" s="157"/>
      <c r="L81" s="157"/>
      <c r="M81" s="158"/>
    </row>
    <row r="82" spans="2:13" ht="18" customHeight="1" x14ac:dyDescent="0.4">
      <c r="B82" s="154"/>
      <c r="C82" s="146"/>
      <c r="D82" s="16" t="s">
        <v>19</v>
      </c>
      <c r="E82" s="22">
        <f t="shared" si="5"/>
        <v>0.65</v>
      </c>
      <c r="F82" s="16">
        <v>1</v>
      </c>
      <c r="G82" s="9">
        <f t="shared" si="3"/>
        <v>0</v>
      </c>
      <c r="H82" s="9">
        <f t="shared" si="4"/>
        <v>0</v>
      </c>
      <c r="I82" s="157"/>
      <c r="J82" s="157"/>
      <c r="K82" s="157"/>
      <c r="L82" s="157"/>
      <c r="M82" s="158"/>
    </row>
    <row r="83" spans="2:13" ht="18" customHeight="1" x14ac:dyDescent="0.4">
      <c r="B83" s="154"/>
      <c r="C83" s="146"/>
      <c r="D83" s="16" t="s">
        <v>14</v>
      </c>
      <c r="E83" s="22">
        <f t="shared" si="5"/>
        <v>0.65</v>
      </c>
      <c r="F83" s="16">
        <v>1</v>
      </c>
      <c r="G83" s="9">
        <f t="shared" si="3"/>
        <v>0</v>
      </c>
      <c r="H83" s="9">
        <f t="shared" si="4"/>
        <v>0</v>
      </c>
      <c r="I83" s="157"/>
      <c r="J83" s="157"/>
      <c r="K83" s="157"/>
      <c r="L83" s="157"/>
      <c r="M83" s="158"/>
    </row>
    <row r="84" spans="2:13" ht="18" customHeight="1" thickBot="1" x14ac:dyDescent="0.45">
      <c r="B84" s="155"/>
      <c r="C84" s="147"/>
      <c r="D84" s="27" t="s">
        <v>110</v>
      </c>
      <c r="E84" s="43">
        <f t="shared" si="5"/>
        <v>0.32500000000000001</v>
      </c>
      <c r="F84" s="27">
        <v>0.5</v>
      </c>
      <c r="G84" s="29">
        <f t="shared" si="3"/>
        <v>0</v>
      </c>
      <c r="H84" s="29">
        <f t="shared" si="4"/>
        <v>0</v>
      </c>
      <c r="I84" s="159"/>
      <c r="J84" s="159"/>
      <c r="K84" s="159"/>
      <c r="L84" s="159"/>
      <c r="M84" s="160"/>
    </row>
    <row r="85" spans="2:13" ht="80.099999999999994" customHeight="1" thickTop="1" x14ac:dyDescent="0.4">
      <c r="B85" s="161"/>
      <c r="C85" s="161"/>
      <c r="D85" s="161"/>
      <c r="E85" s="161"/>
      <c r="F85" s="161"/>
      <c r="G85" s="161"/>
      <c r="H85" s="161"/>
      <c r="I85" s="161"/>
      <c r="J85" s="161"/>
      <c r="K85" s="161"/>
      <c r="L85" s="161"/>
      <c r="M85" s="161"/>
    </row>
    <row r="86" spans="2:13" ht="18" thickBot="1" x14ac:dyDescent="0.45"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</row>
    <row r="87" spans="2:13" ht="21" customHeight="1" thickTop="1" x14ac:dyDescent="0.4">
      <c r="B87" s="134" t="s">
        <v>169</v>
      </c>
      <c r="C87" s="135"/>
      <c r="D87" s="135"/>
      <c r="E87" s="135"/>
      <c r="F87" s="135"/>
      <c r="G87" s="135"/>
      <c r="H87" s="135"/>
      <c r="I87" s="135"/>
      <c r="J87" s="135"/>
      <c r="K87" s="135"/>
      <c r="L87" s="135"/>
      <c r="M87" s="136"/>
    </row>
    <row r="88" spans="2:13" ht="18" customHeight="1" x14ac:dyDescent="0.4">
      <c r="B88" s="137" t="s">
        <v>3</v>
      </c>
      <c r="C88" s="138" t="s">
        <v>4</v>
      </c>
      <c r="D88" s="138" t="s">
        <v>5</v>
      </c>
      <c r="E88" s="138" t="s">
        <v>6</v>
      </c>
      <c r="F88" s="138"/>
      <c r="G88" s="138" t="s">
        <v>7</v>
      </c>
      <c r="H88" s="138"/>
      <c r="I88" s="138" t="s">
        <v>8</v>
      </c>
      <c r="J88" s="138"/>
      <c r="K88" s="138"/>
      <c r="L88" s="138"/>
      <c r="M88" s="139"/>
    </row>
    <row r="89" spans="2:13" ht="18" customHeight="1" x14ac:dyDescent="0.4">
      <c r="B89" s="137"/>
      <c r="C89" s="138"/>
      <c r="D89" s="138"/>
      <c r="E89" s="5" t="s">
        <v>1</v>
      </c>
      <c r="F89" s="5" t="s">
        <v>2</v>
      </c>
      <c r="G89" s="6" t="s">
        <v>1</v>
      </c>
      <c r="H89" s="7" t="s">
        <v>2</v>
      </c>
      <c r="I89" s="138"/>
      <c r="J89" s="138"/>
      <c r="K89" s="138"/>
      <c r="L89" s="138"/>
      <c r="M89" s="139"/>
    </row>
    <row r="90" spans="2:13" ht="18" customHeight="1" x14ac:dyDescent="0.4">
      <c r="B90" s="8" t="s">
        <v>9</v>
      </c>
      <c r="C90" s="9" t="s">
        <v>170</v>
      </c>
      <c r="D90" s="44" t="s">
        <v>170</v>
      </c>
      <c r="E90" s="22">
        <f t="shared" ref="E90:E122" si="6">F90*0.65</f>
        <v>32.5</v>
      </c>
      <c r="F90" s="36">
        <v>50</v>
      </c>
      <c r="G90" s="9">
        <f t="shared" ref="G90:G122" si="7">E90*E$2</f>
        <v>0</v>
      </c>
      <c r="H90" s="9">
        <f t="shared" ref="H90:H122" si="8">F90*E$3</f>
        <v>0</v>
      </c>
      <c r="I90" s="163" t="s">
        <v>171</v>
      </c>
      <c r="J90" s="164"/>
      <c r="K90" s="164"/>
      <c r="L90" s="164"/>
      <c r="M90" s="165"/>
    </row>
    <row r="91" spans="2:13" ht="18" customHeight="1" x14ac:dyDescent="0.4">
      <c r="B91" s="169" t="s">
        <v>12</v>
      </c>
      <c r="C91" s="186" t="s">
        <v>172</v>
      </c>
      <c r="D91" s="16" t="s">
        <v>43</v>
      </c>
      <c r="E91" s="23">
        <f t="shared" si="6"/>
        <v>35.75</v>
      </c>
      <c r="F91" s="16">
        <v>55</v>
      </c>
      <c r="G91" s="9">
        <f t="shared" si="7"/>
        <v>0</v>
      </c>
      <c r="H91" s="9">
        <f t="shared" si="8"/>
        <v>0</v>
      </c>
      <c r="I91" s="178" t="s">
        <v>173</v>
      </c>
      <c r="J91" s="178"/>
      <c r="K91" s="178"/>
      <c r="L91" s="178"/>
      <c r="M91" s="179"/>
    </row>
    <row r="92" spans="2:13" ht="18" customHeight="1" x14ac:dyDescent="0.4">
      <c r="B92" s="170"/>
      <c r="C92" s="187"/>
      <c r="D92" s="16" t="s">
        <v>174</v>
      </c>
      <c r="E92" s="23">
        <f t="shared" si="6"/>
        <v>19.5</v>
      </c>
      <c r="F92" s="16">
        <v>30</v>
      </c>
      <c r="G92" s="9">
        <f t="shared" si="7"/>
        <v>0</v>
      </c>
      <c r="H92" s="9">
        <f t="shared" si="8"/>
        <v>0</v>
      </c>
      <c r="I92" s="178"/>
      <c r="J92" s="178"/>
      <c r="K92" s="178"/>
      <c r="L92" s="178"/>
      <c r="M92" s="179"/>
    </row>
    <row r="93" spans="2:13" ht="18" customHeight="1" x14ac:dyDescent="0.4">
      <c r="B93" s="170"/>
      <c r="C93" s="187"/>
      <c r="D93" s="16" t="s">
        <v>118</v>
      </c>
      <c r="E93" s="9">
        <f t="shared" si="6"/>
        <v>3.25</v>
      </c>
      <c r="F93" s="16">
        <v>5</v>
      </c>
      <c r="G93" s="9">
        <f t="shared" si="7"/>
        <v>0</v>
      </c>
      <c r="H93" s="9">
        <f t="shared" si="8"/>
        <v>0</v>
      </c>
      <c r="I93" s="178"/>
      <c r="J93" s="178"/>
      <c r="K93" s="178"/>
      <c r="L93" s="178"/>
      <c r="M93" s="179"/>
    </row>
    <row r="94" spans="2:13" ht="18" customHeight="1" x14ac:dyDescent="0.4">
      <c r="B94" s="170"/>
      <c r="C94" s="187"/>
      <c r="D94" s="16" t="s">
        <v>73</v>
      </c>
      <c r="E94" s="23">
        <f t="shared" si="6"/>
        <v>3.25</v>
      </c>
      <c r="F94" s="16">
        <v>5</v>
      </c>
      <c r="G94" s="9">
        <f t="shared" si="7"/>
        <v>0</v>
      </c>
      <c r="H94" s="9">
        <f t="shared" si="8"/>
        <v>0</v>
      </c>
      <c r="I94" s="178"/>
      <c r="J94" s="178"/>
      <c r="K94" s="178"/>
      <c r="L94" s="178"/>
      <c r="M94" s="179"/>
    </row>
    <row r="95" spans="2:13" ht="18" customHeight="1" x14ac:dyDescent="0.4">
      <c r="B95" s="170"/>
      <c r="C95" s="187"/>
      <c r="D95" s="16" t="s">
        <v>157</v>
      </c>
      <c r="E95" s="23">
        <f t="shared" si="6"/>
        <v>6.5</v>
      </c>
      <c r="F95" s="16">
        <v>10</v>
      </c>
      <c r="G95" s="9">
        <f t="shared" si="7"/>
        <v>0</v>
      </c>
      <c r="H95" s="9">
        <f t="shared" si="8"/>
        <v>0</v>
      </c>
      <c r="I95" s="178"/>
      <c r="J95" s="178"/>
      <c r="K95" s="178"/>
      <c r="L95" s="178"/>
      <c r="M95" s="179"/>
    </row>
    <row r="96" spans="2:13" ht="18" customHeight="1" x14ac:dyDescent="0.4">
      <c r="B96" s="170"/>
      <c r="C96" s="187"/>
      <c r="D96" s="16" t="s">
        <v>81</v>
      </c>
      <c r="E96" s="23">
        <f t="shared" si="6"/>
        <v>3.25</v>
      </c>
      <c r="F96" s="16">
        <v>5</v>
      </c>
      <c r="G96" s="9">
        <f t="shared" si="7"/>
        <v>0</v>
      </c>
      <c r="H96" s="9">
        <f t="shared" si="8"/>
        <v>0</v>
      </c>
      <c r="I96" s="178"/>
      <c r="J96" s="178"/>
      <c r="K96" s="178"/>
      <c r="L96" s="178"/>
      <c r="M96" s="179"/>
    </row>
    <row r="97" spans="2:13" ht="18" customHeight="1" x14ac:dyDescent="0.4">
      <c r="B97" s="170"/>
      <c r="C97" s="188"/>
      <c r="D97" s="16" t="s">
        <v>19</v>
      </c>
      <c r="E97" s="23">
        <f t="shared" si="6"/>
        <v>0.65</v>
      </c>
      <c r="F97" s="16">
        <v>1</v>
      </c>
      <c r="G97" s="9">
        <f t="shared" si="7"/>
        <v>0</v>
      </c>
      <c r="H97" s="9">
        <f t="shared" si="8"/>
        <v>0</v>
      </c>
      <c r="I97" s="178"/>
      <c r="J97" s="178"/>
      <c r="K97" s="178"/>
      <c r="L97" s="178"/>
      <c r="M97" s="179"/>
    </row>
    <row r="98" spans="2:13" ht="18" customHeight="1" x14ac:dyDescent="0.4">
      <c r="B98" s="170"/>
      <c r="C98" s="189" t="s">
        <v>175</v>
      </c>
      <c r="D98" s="19" t="s">
        <v>176</v>
      </c>
      <c r="E98" s="22">
        <f t="shared" si="6"/>
        <v>9.75</v>
      </c>
      <c r="F98" s="16">
        <v>15</v>
      </c>
      <c r="G98" s="9">
        <f t="shared" si="7"/>
        <v>0</v>
      </c>
      <c r="H98" s="9">
        <f t="shared" si="8"/>
        <v>0</v>
      </c>
      <c r="I98" s="148" t="s">
        <v>177</v>
      </c>
      <c r="J98" s="148"/>
      <c r="K98" s="148"/>
      <c r="L98" s="148"/>
      <c r="M98" s="149"/>
    </row>
    <row r="99" spans="2:13" ht="18" customHeight="1" x14ac:dyDescent="0.4">
      <c r="B99" s="170"/>
      <c r="C99" s="189"/>
      <c r="D99" s="19" t="s">
        <v>71</v>
      </c>
      <c r="E99" s="22">
        <f t="shared" si="6"/>
        <v>3.25</v>
      </c>
      <c r="F99" s="16">
        <v>5</v>
      </c>
      <c r="G99" s="9">
        <f t="shared" si="7"/>
        <v>0</v>
      </c>
      <c r="H99" s="9">
        <f t="shared" si="8"/>
        <v>0</v>
      </c>
      <c r="I99" s="148"/>
      <c r="J99" s="148"/>
      <c r="K99" s="148"/>
      <c r="L99" s="148"/>
      <c r="M99" s="149"/>
    </row>
    <row r="100" spans="2:13" ht="18" customHeight="1" x14ac:dyDescent="0.4">
      <c r="B100" s="170"/>
      <c r="C100" s="189"/>
      <c r="D100" s="19" t="s">
        <v>24</v>
      </c>
      <c r="E100" s="22">
        <f t="shared" si="6"/>
        <v>1.3</v>
      </c>
      <c r="F100" s="16">
        <v>2</v>
      </c>
      <c r="G100" s="9">
        <f t="shared" si="7"/>
        <v>0</v>
      </c>
      <c r="H100" s="9">
        <f t="shared" si="8"/>
        <v>0</v>
      </c>
      <c r="I100" s="148"/>
      <c r="J100" s="148"/>
      <c r="K100" s="148"/>
      <c r="L100" s="148"/>
      <c r="M100" s="149"/>
    </row>
    <row r="101" spans="2:13" ht="18" customHeight="1" x14ac:dyDescent="0.4">
      <c r="B101" s="170"/>
      <c r="C101" s="189"/>
      <c r="D101" s="19" t="s">
        <v>127</v>
      </c>
      <c r="E101" s="22">
        <f t="shared" si="6"/>
        <v>0.19500000000000001</v>
      </c>
      <c r="F101" s="16">
        <v>0.3</v>
      </c>
      <c r="G101" s="9">
        <f t="shared" si="7"/>
        <v>0</v>
      </c>
      <c r="H101" s="9">
        <f t="shared" si="8"/>
        <v>0</v>
      </c>
      <c r="I101" s="148"/>
      <c r="J101" s="148"/>
      <c r="K101" s="148"/>
      <c r="L101" s="148"/>
      <c r="M101" s="149"/>
    </row>
    <row r="102" spans="2:13" ht="18" customHeight="1" x14ac:dyDescent="0.4">
      <c r="B102" s="170"/>
      <c r="C102" s="189"/>
      <c r="D102" s="19" t="s">
        <v>178</v>
      </c>
      <c r="E102" s="22">
        <f t="shared" si="6"/>
        <v>1.3</v>
      </c>
      <c r="F102" s="16">
        <v>2</v>
      </c>
      <c r="G102" s="9">
        <f t="shared" si="7"/>
        <v>0</v>
      </c>
      <c r="H102" s="9">
        <f t="shared" si="8"/>
        <v>0</v>
      </c>
      <c r="I102" s="148"/>
      <c r="J102" s="148"/>
      <c r="K102" s="148"/>
      <c r="L102" s="148"/>
      <c r="M102" s="149"/>
    </row>
    <row r="103" spans="2:13" ht="18" customHeight="1" x14ac:dyDescent="0.4">
      <c r="B103" s="170"/>
      <c r="C103" s="189"/>
      <c r="D103" s="19" t="s">
        <v>179</v>
      </c>
      <c r="E103" s="22">
        <f t="shared" si="6"/>
        <v>1.3</v>
      </c>
      <c r="F103" s="16">
        <v>2</v>
      </c>
      <c r="G103" s="9">
        <f t="shared" si="7"/>
        <v>0</v>
      </c>
      <c r="H103" s="9">
        <f t="shared" si="8"/>
        <v>0</v>
      </c>
      <c r="I103" s="148"/>
      <c r="J103" s="148"/>
      <c r="K103" s="148"/>
      <c r="L103" s="148"/>
      <c r="M103" s="149"/>
    </row>
    <row r="104" spans="2:13" ht="18" customHeight="1" x14ac:dyDescent="0.4">
      <c r="B104" s="170"/>
      <c r="C104" s="106" t="s">
        <v>180</v>
      </c>
      <c r="D104" s="16" t="s">
        <v>181</v>
      </c>
      <c r="E104" s="23">
        <f t="shared" si="6"/>
        <v>16.25</v>
      </c>
      <c r="F104" s="16">
        <v>25</v>
      </c>
      <c r="G104" s="9">
        <f t="shared" si="7"/>
        <v>0</v>
      </c>
      <c r="H104" s="9">
        <f t="shared" si="8"/>
        <v>0</v>
      </c>
      <c r="I104" s="109" t="s">
        <v>182</v>
      </c>
      <c r="J104" s="110"/>
      <c r="K104" s="110"/>
      <c r="L104" s="110"/>
      <c r="M104" s="111"/>
    </row>
    <row r="105" spans="2:13" ht="18" customHeight="1" x14ac:dyDescent="0.4">
      <c r="B105" s="170"/>
      <c r="C105" s="146"/>
      <c r="D105" s="16" t="s">
        <v>183</v>
      </c>
      <c r="E105" s="9">
        <f t="shared" si="6"/>
        <v>13</v>
      </c>
      <c r="F105" s="16">
        <v>20</v>
      </c>
      <c r="G105" s="9">
        <f t="shared" si="7"/>
        <v>0</v>
      </c>
      <c r="H105" s="9">
        <f t="shared" si="8"/>
        <v>0</v>
      </c>
      <c r="I105" s="112"/>
      <c r="J105" s="113"/>
      <c r="K105" s="113"/>
      <c r="L105" s="113"/>
      <c r="M105" s="114"/>
    </row>
    <row r="106" spans="2:13" ht="18" customHeight="1" x14ac:dyDescent="0.4">
      <c r="B106" s="170"/>
      <c r="C106" s="146"/>
      <c r="D106" s="16" t="s">
        <v>133</v>
      </c>
      <c r="E106" s="9">
        <f t="shared" si="6"/>
        <v>1.3</v>
      </c>
      <c r="F106" s="16">
        <v>2</v>
      </c>
      <c r="G106" s="9">
        <f t="shared" si="7"/>
        <v>0</v>
      </c>
      <c r="H106" s="9">
        <f t="shared" si="8"/>
        <v>0</v>
      </c>
      <c r="I106" s="112"/>
      <c r="J106" s="113"/>
      <c r="K106" s="113"/>
      <c r="L106" s="113"/>
      <c r="M106" s="114"/>
    </row>
    <row r="107" spans="2:13" ht="18" customHeight="1" x14ac:dyDescent="0.4">
      <c r="B107" s="170"/>
      <c r="C107" s="146"/>
      <c r="D107" s="16" t="s">
        <v>166</v>
      </c>
      <c r="E107" s="23">
        <f t="shared" si="6"/>
        <v>1.3</v>
      </c>
      <c r="F107" s="16">
        <v>2</v>
      </c>
      <c r="G107" s="9">
        <f t="shared" si="7"/>
        <v>0</v>
      </c>
      <c r="H107" s="9">
        <f t="shared" si="8"/>
        <v>0</v>
      </c>
      <c r="I107" s="112"/>
      <c r="J107" s="113"/>
      <c r="K107" s="113"/>
      <c r="L107" s="113"/>
      <c r="M107" s="114"/>
    </row>
    <row r="108" spans="2:13" ht="18" customHeight="1" x14ac:dyDescent="0.4">
      <c r="B108" s="170"/>
      <c r="C108" s="146"/>
      <c r="D108" s="16" t="s">
        <v>158</v>
      </c>
      <c r="E108" s="26">
        <f t="shared" si="6"/>
        <v>0.97500000000000009</v>
      </c>
      <c r="F108" s="16">
        <v>1.5</v>
      </c>
      <c r="G108" s="9">
        <f t="shared" si="7"/>
        <v>0</v>
      </c>
      <c r="H108" s="9">
        <f t="shared" si="8"/>
        <v>0</v>
      </c>
      <c r="I108" s="112"/>
      <c r="J108" s="113"/>
      <c r="K108" s="113"/>
      <c r="L108" s="113"/>
      <c r="M108" s="114"/>
    </row>
    <row r="109" spans="2:13" ht="18" customHeight="1" x14ac:dyDescent="0.4">
      <c r="B109" s="170"/>
      <c r="C109" s="146"/>
      <c r="D109" s="16" t="s">
        <v>127</v>
      </c>
      <c r="E109" s="23">
        <f t="shared" si="6"/>
        <v>0.13</v>
      </c>
      <c r="F109" s="16">
        <v>0.2</v>
      </c>
      <c r="G109" s="9">
        <f t="shared" si="7"/>
        <v>0</v>
      </c>
      <c r="H109" s="9">
        <f t="shared" si="8"/>
        <v>0</v>
      </c>
      <c r="I109" s="112"/>
      <c r="J109" s="113"/>
      <c r="K109" s="113"/>
      <c r="L109" s="113"/>
      <c r="M109" s="114"/>
    </row>
    <row r="110" spans="2:13" ht="18" customHeight="1" x14ac:dyDescent="0.4">
      <c r="B110" s="170"/>
      <c r="C110" s="177"/>
      <c r="D110" s="16" t="s">
        <v>134</v>
      </c>
      <c r="E110" s="23">
        <f t="shared" si="6"/>
        <v>6.5000000000000002E-2</v>
      </c>
      <c r="F110" s="16">
        <v>0.1</v>
      </c>
      <c r="G110" s="9">
        <f t="shared" si="7"/>
        <v>0</v>
      </c>
      <c r="H110" s="9">
        <f t="shared" si="8"/>
        <v>0</v>
      </c>
      <c r="I110" s="115"/>
      <c r="J110" s="116"/>
      <c r="K110" s="116"/>
      <c r="L110" s="116"/>
      <c r="M110" s="117"/>
    </row>
    <row r="111" spans="2:13" ht="18" customHeight="1" x14ac:dyDescent="0.4">
      <c r="B111" s="170"/>
      <c r="C111" s="24" t="s">
        <v>135</v>
      </c>
      <c r="D111" s="24" t="s">
        <v>136</v>
      </c>
      <c r="E111" s="9">
        <f t="shared" si="6"/>
        <v>13</v>
      </c>
      <c r="F111" s="15">
        <v>20</v>
      </c>
      <c r="G111" s="9">
        <f t="shared" si="7"/>
        <v>0</v>
      </c>
      <c r="H111" s="9">
        <f t="shared" si="8"/>
        <v>0</v>
      </c>
      <c r="I111" s="140" t="s">
        <v>137</v>
      </c>
      <c r="J111" s="141"/>
      <c r="K111" s="141"/>
      <c r="L111" s="141"/>
      <c r="M111" s="142"/>
    </row>
    <row r="112" spans="2:13" s="1" customFormat="1" ht="18" customHeight="1" x14ac:dyDescent="0.4">
      <c r="B112" s="153" t="s">
        <v>138</v>
      </c>
      <c r="C112" s="106" t="s">
        <v>184</v>
      </c>
      <c r="D112" s="16" t="s">
        <v>29</v>
      </c>
      <c r="E112" s="22">
        <f t="shared" si="6"/>
        <v>16.25</v>
      </c>
      <c r="F112" s="16">
        <v>25</v>
      </c>
      <c r="G112" s="9">
        <f t="shared" si="7"/>
        <v>0</v>
      </c>
      <c r="H112" s="9">
        <f t="shared" si="8"/>
        <v>0</v>
      </c>
      <c r="I112" s="120" t="s">
        <v>185</v>
      </c>
      <c r="J112" s="121"/>
      <c r="K112" s="121"/>
      <c r="L112" s="121"/>
      <c r="M112" s="122"/>
    </row>
    <row r="113" spans="2:13" s="1" customFormat="1" ht="18" customHeight="1" x14ac:dyDescent="0.4">
      <c r="B113" s="154"/>
      <c r="C113" s="146"/>
      <c r="D113" s="16" t="s">
        <v>22</v>
      </c>
      <c r="E113" s="22">
        <f t="shared" si="6"/>
        <v>6.5</v>
      </c>
      <c r="F113" s="16">
        <v>10</v>
      </c>
      <c r="G113" s="9">
        <f t="shared" si="7"/>
        <v>0</v>
      </c>
      <c r="H113" s="9">
        <f t="shared" si="8"/>
        <v>0</v>
      </c>
      <c r="I113" s="123"/>
      <c r="J113" s="124"/>
      <c r="K113" s="124"/>
      <c r="L113" s="124"/>
      <c r="M113" s="125"/>
    </row>
    <row r="114" spans="2:13" s="1" customFormat="1" ht="18" customHeight="1" x14ac:dyDescent="0.4">
      <c r="B114" s="154"/>
      <c r="C114" s="146"/>
      <c r="D114" s="16" t="s">
        <v>21</v>
      </c>
      <c r="E114" s="22">
        <f t="shared" si="6"/>
        <v>3.25</v>
      </c>
      <c r="F114" s="16">
        <v>5</v>
      </c>
      <c r="G114" s="9">
        <f t="shared" si="7"/>
        <v>0</v>
      </c>
      <c r="H114" s="9">
        <f t="shared" si="8"/>
        <v>0</v>
      </c>
      <c r="I114" s="123"/>
      <c r="J114" s="124"/>
      <c r="K114" s="124"/>
      <c r="L114" s="124"/>
      <c r="M114" s="125"/>
    </row>
    <row r="115" spans="2:13" s="1" customFormat="1" ht="18" customHeight="1" x14ac:dyDescent="0.4">
      <c r="B115" s="154"/>
      <c r="C115" s="146"/>
      <c r="D115" s="16" t="s">
        <v>127</v>
      </c>
      <c r="E115" s="22">
        <f t="shared" si="6"/>
        <v>0.65</v>
      </c>
      <c r="F115" s="16">
        <v>1</v>
      </c>
      <c r="G115" s="9">
        <f t="shared" si="7"/>
        <v>0</v>
      </c>
      <c r="H115" s="9">
        <f t="shared" si="8"/>
        <v>0</v>
      </c>
      <c r="I115" s="123"/>
      <c r="J115" s="124"/>
      <c r="K115" s="124"/>
      <c r="L115" s="124"/>
      <c r="M115" s="125"/>
    </row>
    <row r="116" spans="2:13" s="1" customFormat="1" ht="18" customHeight="1" x14ac:dyDescent="0.4">
      <c r="B116" s="154"/>
      <c r="C116" s="146"/>
      <c r="D116" s="16" t="s">
        <v>15</v>
      </c>
      <c r="E116" s="22">
        <f t="shared" si="6"/>
        <v>0.32500000000000001</v>
      </c>
      <c r="F116" s="16">
        <v>0.5</v>
      </c>
      <c r="G116" s="9">
        <f t="shared" si="7"/>
        <v>0</v>
      </c>
      <c r="H116" s="9">
        <f t="shared" si="8"/>
        <v>0</v>
      </c>
      <c r="I116" s="123"/>
      <c r="J116" s="124"/>
      <c r="K116" s="124"/>
      <c r="L116" s="124"/>
      <c r="M116" s="125"/>
    </row>
    <row r="117" spans="2:13" s="1" customFormat="1" ht="18" customHeight="1" x14ac:dyDescent="0.4">
      <c r="B117" s="154"/>
      <c r="C117" s="146"/>
      <c r="D117" s="16" t="s">
        <v>18</v>
      </c>
      <c r="E117" s="22">
        <f t="shared" si="6"/>
        <v>1.3</v>
      </c>
      <c r="F117" s="16">
        <v>2</v>
      </c>
      <c r="G117" s="9">
        <f t="shared" si="7"/>
        <v>0</v>
      </c>
      <c r="H117" s="9">
        <f t="shared" si="8"/>
        <v>0</v>
      </c>
      <c r="I117" s="123"/>
      <c r="J117" s="124"/>
      <c r="K117" s="124"/>
      <c r="L117" s="124"/>
      <c r="M117" s="125"/>
    </row>
    <row r="118" spans="2:13" s="1" customFormat="1" ht="18" customHeight="1" x14ac:dyDescent="0.4">
      <c r="B118" s="154"/>
      <c r="C118" s="146"/>
      <c r="D118" s="16" t="s">
        <v>161</v>
      </c>
      <c r="E118" s="22">
        <f t="shared" si="6"/>
        <v>0.32500000000000001</v>
      </c>
      <c r="F118" s="16">
        <v>0.5</v>
      </c>
      <c r="G118" s="9">
        <f t="shared" si="7"/>
        <v>0</v>
      </c>
      <c r="H118" s="9">
        <f t="shared" si="8"/>
        <v>0</v>
      </c>
      <c r="I118" s="123"/>
      <c r="J118" s="124"/>
      <c r="K118" s="124"/>
      <c r="L118" s="124"/>
      <c r="M118" s="125"/>
    </row>
    <row r="119" spans="2:13" s="1" customFormat="1" ht="18" customHeight="1" x14ac:dyDescent="0.4">
      <c r="B119" s="154"/>
      <c r="C119" s="146"/>
      <c r="D119" s="16" t="s">
        <v>186</v>
      </c>
      <c r="E119" s="22">
        <f t="shared" si="6"/>
        <v>0.32500000000000001</v>
      </c>
      <c r="F119" s="16">
        <v>0.5</v>
      </c>
      <c r="G119" s="9">
        <f t="shared" si="7"/>
        <v>0</v>
      </c>
      <c r="H119" s="9">
        <f t="shared" si="8"/>
        <v>0</v>
      </c>
      <c r="I119" s="123"/>
      <c r="J119" s="124"/>
      <c r="K119" s="124"/>
      <c r="L119" s="124"/>
      <c r="M119" s="125"/>
    </row>
    <row r="120" spans="2:13" s="1" customFormat="1" ht="18" customHeight="1" x14ac:dyDescent="0.4">
      <c r="B120" s="154"/>
      <c r="C120" s="146"/>
      <c r="D120" s="16" t="s">
        <v>160</v>
      </c>
      <c r="E120" s="22">
        <f t="shared" si="6"/>
        <v>6.5000000000000002E-2</v>
      </c>
      <c r="F120" s="16">
        <v>0.1</v>
      </c>
      <c r="G120" s="9">
        <f t="shared" si="7"/>
        <v>0</v>
      </c>
      <c r="H120" s="9">
        <f t="shared" si="8"/>
        <v>0</v>
      </c>
      <c r="I120" s="123"/>
      <c r="J120" s="124"/>
      <c r="K120" s="124"/>
      <c r="L120" s="124"/>
      <c r="M120" s="125"/>
    </row>
    <row r="121" spans="2:13" s="1" customFormat="1" ht="18" customHeight="1" x14ac:dyDescent="0.4">
      <c r="B121" s="154"/>
      <c r="C121" s="146"/>
      <c r="D121" s="16" t="s">
        <v>27</v>
      </c>
      <c r="E121" s="22">
        <f t="shared" si="6"/>
        <v>1.3</v>
      </c>
      <c r="F121" s="16">
        <v>2</v>
      </c>
      <c r="G121" s="9">
        <f t="shared" si="7"/>
        <v>0</v>
      </c>
      <c r="H121" s="9">
        <f t="shared" si="8"/>
        <v>0</v>
      </c>
      <c r="I121" s="123"/>
      <c r="J121" s="124"/>
      <c r="K121" s="124"/>
      <c r="L121" s="124"/>
      <c r="M121" s="125"/>
    </row>
    <row r="122" spans="2:13" s="1" customFormat="1" ht="18" customHeight="1" thickBot="1" x14ac:dyDescent="0.45">
      <c r="B122" s="155"/>
      <c r="C122" s="147"/>
      <c r="D122" s="27" t="s">
        <v>28</v>
      </c>
      <c r="E122" s="43">
        <f t="shared" si="6"/>
        <v>1.3</v>
      </c>
      <c r="F122" s="27">
        <v>2</v>
      </c>
      <c r="G122" s="29">
        <f t="shared" si="7"/>
        <v>0</v>
      </c>
      <c r="H122" s="29">
        <f t="shared" si="8"/>
        <v>0</v>
      </c>
      <c r="I122" s="180"/>
      <c r="J122" s="181"/>
      <c r="K122" s="181"/>
      <c r="L122" s="181"/>
      <c r="M122" s="182"/>
    </row>
    <row r="123" spans="2:13" ht="80.099999999999994" customHeight="1" thickTop="1" x14ac:dyDescent="0.4">
      <c r="B123" s="161"/>
      <c r="C123" s="161"/>
      <c r="D123" s="161"/>
      <c r="E123" s="161"/>
      <c r="F123" s="161"/>
      <c r="G123" s="161"/>
      <c r="H123" s="161"/>
      <c r="I123" s="161"/>
      <c r="J123" s="161"/>
      <c r="K123" s="161"/>
      <c r="L123" s="161"/>
      <c r="M123" s="161"/>
    </row>
    <row r="124" spans="2:13" ht="18" customHeight="1" thickBot="1" x14ac:dyDescent="0.45"/>
    <row r="125" spans="2:13" ht="21" customHeight="1" thickTop="1" x14ac:dyDescent="0.4">
      <c r="B125" s="183" t="s">
        <v>187</v>
      </c>
      <c r="C125" s="184"/>
      <c r="D125" s="184"/>
      <c r="E125" s="184"/>
      <c r="F125" s="184"/>
      <c r="G125" s="184"/>
      <c r="H125" s="184"/>
      <c r="I125" s="184"/>
      <c r="J125" s="184"/>
      <c r="K125" s="184"/>
      <c r="L125" s="184"/>
      <c r="M125" s="185"/>
    </row>
    <row r="126" spans="2:13" ht="18" customHeight="1" x14ac:dyDescent="0.4">
      <c r="B126" s="137" t="s">
        <v>3</v>
      </c>
      <c r="C126" s="138" t="s">
        <v>4</v>
      </c>
      <c r="D126" s="138" t="s">
        <v>5</v>
      </c>
      <c r="E126" s="211" t="s">
        <v>6</v>
      </c>
      <c r="F126" s="212"/>
      <c r="G126" s="211" t="s">
        <v>7</v>
      </c>
      <c r="H126" s="212"/>
      <c r="I126" s="138" t="s">
        <v>8</v>
      </c>
      <c r="J126" s="138"/>
      <c r="K126" s="138"/>
      <c r="L126" s="138"/>
      <c r="M126" s="139"/>
    </row>
    <row r="127" spans="2:13" ht="18" customHeight="1" x14ac:dyDescent="0.4">
      <c r="B127" s="137"/>
      <c r="C127" s="138"/>
      <c r="D127" s="138"/>
      <c r="E127" s="5" t="s">
        <v>1</v>
      </c>
      <c r="F127" s="5" t="s">
        <v>2</v>
      </c>
      <c r="G127" s="6" t="s">
        <v>1</v>
      </c>
      <c r="H127" s="7" t="s">
        <v>2</v>
      </c>
      <c r="I127" s="138"/>
      <c r="J127" s="138"/>
      <c r="K127" s="138"/>
      <c r="L127" s="138"/>
      <c r="M127" s="139"/>
    </row>
    <row r="128" spans="2:13" ht="18" customHeight="1" x14ac:dyDescent="0.4">
      <c r="B128" s="102" t="s">
        <v>9</v>
      </c>
      <c r="C128" s="196" t="s">
        <v>188</v>
      </c>
      <c r="D128" s="16" t="s">
        <v>189</v>
      </c>
      <c r="E128" s="21">
        <f t="shared" ref="E128:E158" si="9">F128*0.65</f>
        <v>52</v>
      </c>
      <c r="F128" s="16">
        <v>80</v>
      </c>
      <c r="G128" s="9">
        <f t="shared" ref="G128:G159" si="10">E128*E$2</f>
        <v>0</v>
      </c>
      <c r="H128" s="9">
        <f t="shared" ref="H128:H159" si="11">F128*E$3</f>
        <v>0</v>
      </c>
      <c r="I128" s="148" t="s">
        <v>190</v>
      </c>
      <c r="J128" s="148"/>
      <c r="K128" s="148"/>
      <c r="L128" s="148"/>
      <c r="M128" s="149"/>
    </row>
    <row r="129" spans="2:13" ht="18" customHeight="1" x14ac:dyDescent="0.4">
      <c r="B129" s="162"/>
      <c r="C129" s="197"/>
      <c r="D129" s="16" t="s">
        <v>123</v>
      </c>
      <c r="E129" s="17">
        <f t="shared" si="9"/>
        <v>9.75</v>
      </c>
      <c r="F129" s="16">
        <v>15</v>
      </c>
      <c r="G129" s="9">
        <f t="shared" si="10"/>
        <v>0</v>
      </c>
      <c r="H129" s="9">
        <f t="shared" si="11"/>
        <v>0</v>
      </c>
      <c r="I129" s="148"/>
      <c r="J129" s="148"/>
      <c r="K129" s="148"/>
      <c r="L129" s="148"/>
      <c r="M129" s="149"/>
    </row>
    <row r="130" spans="2:13" ht="18" customHeight="1" x14ac:dyDescent="0.4">
      <c r="B130" s="162"/>
      <c r="C130" s="197"/>
      <c r="D130" s="16" t="s">
        <v>191</v>
      </c>
      <c r="E130" s="17">
        <f t="shared" si="9"/>
        <v>6.5</v>
      </c>
      <c r="F130" s="16">
        <v>10</v>
      </c>
      <c r="G130" s="9">
        <f t="shared" si="10"/>
        <v>0</v>
      </c>
      <c r="H130" s="9">
        <f t="shared" si="11"/>
        <v>0</v>
      </c>
      <c r="I130" s="148"/>
      <c r="J130" s="148"/>
      <c r="K130" s="148"/>
      <c r="L130" s="148"/>
      <c r="M130" s="149"/>
    </row>
    <row r="131" spans="2:13" ht="18" customHeight="1" x14ac:dyDescent="0.4">
      <c r="B131" s="162"/>
      <c r="C131" s="197"/>
      <c r="D131" s="16" t="s">
        <v>157</v>
      </c>
      <c r="E131" s="17">
        <f t="shared" si="9"/>
        <v>4.55</v>
      </c>
      <c r="F131" s="16">
        <v>7</v>
      </c>
      <c r="G131" s="9">
        <f t="shared" si="10"/>
        <v>0</v>
      </c>
      <c r="H131" s="9">
        <f t="shared" si="11"/>
        <v>0</v>
      </c>
      <c r="I131" s="148"/>
      <c r="J131" s="148"/>
      <c r="K131" s="148"/>
      <c r="L131" s="148"/>
      <c r="M131" s="149"/>
    </row>
    <row r="132" spans="2:13" ht="18" customHeight="1" x14ac:dyDescent="0.4">
      <c r="B132" s="162"/>
      <c r="C132" s="197"/>
      <c r="D132" s="16" t="s">
        <v>127</v>
      </c>
      <c r="E132" s="17">
        <f t="shared" si="9"/>
        <v>3.25</v>
      </c>
      <c r="F132" s="16">
        <v>5</v>
      </c>
      <c r="G132" s="9">
        <f t="shared" si="10"/>
        <v>0</v>
      </c>
      <c r="H132" s="9">
        <f t="shared" si="11"/>
        <v>0</v>
      </c>
      <c r="I132" s="148"/>
      <c r="J132" s="148"/>
      <c r="K132" s="148"/>
      <c r="L132" s="148"/>
      <c r="M132" s="149"/>
    </row>
    <row r="133" spans="2:13" ht="18" customHeight="1" x14ac:dyDescent="0.4">
      <c r="B133" s="162"/>
      <c r="C133" s="197"/>
      <c r="D133" s="16" t="s">
        <v>121</v>
      </c>
      <c r="E133" s="17">
        <f t="shared" si="9"/>
        <v>3.25</v>
      </c>
      <c r="F133" s="16">
        <v>5</v>
      </c>
      <c r="G133" s="9">
        <f t="shared" si="10"/>
        <v>0</v>
      </c>
      <c r="H133" s="9">
        <f t="shared" si="11"/>
        <v>0</v>
      </c>
      <c r="I133" s="148"/>
      <c r="J133" s="148"/>
      <c r="K133" s="148"/>
      <c r="L133" s="148"/>
      <c r="M133" s="149"/>
    </row>
    <row r="134" spans="2:13" ht="18" customHeight="1" x14ac:dyDescent="0.4">
      <c r="B134" s="162"/>
      <c r="C134" s="197"/>
      <c r="D134" s="16" t="s">
        <v>192</v>
      </c>
      <c r="E134" s="21">
        <f t="shared" si="9"/>
        <v>1.9500000000000002</v>
      </c>
      <c r="F134" s="16">
        <v>3</v>
      </c>
      <c r="G134" s="9">
        <f t="shared" si="10"/>
        <v>0</v>
      </c>
      <c r="H134" s="9">
        <f t="shared" si="11"/>
        <v>0</v>
      </c>
      <c r="I134" s="148"/>
      <c r="J134" s="148"/>
      <c r="K134" s="148"/>
      <c r="L134" s="148"/>
      <c r="M134" s="149"/>
    </row>
    <row r="135" spans="2:13" ht="18" customHeight="1" x14ac:dyDescent="0.4">
      <c r="B135" s="162"/>
      <c r="C135" s="197"/>
      <c r="D135" s="16" t="s">
        <v>159</v>
      </c>
      <c r="E135" s="17">
        <f t="shared" si="9"/>
        <v>0.32500000000000001</v>
      </c>
      <c r="F135" s="16">
        <v>0.5</v>
      </c>
      <c r="G135" s="9">
        <f t="shared" si="10"/>
        <v>0</v>
      </c>
      <c r="H135" s="9">
        <f t="shared" si="11"/>
        <v>0</v>
      </c>
      <c r="I135" s="148"/>
      <c r="J135" s="148"/>
      <c r="K135" s="148"/>
      <c r="L135" s="148"/>
      <c r="M135" s="149"/>
    </row>
    <row r="136" spans="2:13" ht="18" customHeight="1" x14ac:dyDescent="0.4">
      <c r="B136" s="162"/>
      <c r="C136" s="197"/>
      <c r="D136" s="16" t="s">
        <v>160</v>
      </c>
      <c r="E136" s="17">
        <f t="shared" si="9"/>
        <v>0.19500000000000001</v>
      </c>
      <c r="F136" s="16">
        <v>0.3</v>
      </c>
      <c r="G136" s="9">
        <f t="shared" si="10"/>
        <v>0</v>
      </c>
      <c r="H136" s="9">
        <f t="shared" si="11"/>
        <v>0</v>
      </c>
      <c r="I136" s="148"/>
      <c r="J136" s="148"/>
      <c r="K136" s="148"/>
      <c r="L136" s="148"/>
      <c r="M136" s="149"/>
    </row>
    <row r="137" spans="2:13" s="1" customFormat="1" ht="18" customHeight="1" x14ac:dyDescent="0.4">
      <c r="B137" s="169" t="s">
        <v>12</v>
      </c>
      <c r="C137" s="39" t="s">
        <v>122</v>
      </c>
      <c r="D137" s="39" t="s">
        <v>123</v>
      </c>
      <c r="E137" s="48">
        <f t="shared" si="9"/>
        <v>35.75</v>
      </c>
      <c r="F137" s="49">
        <v>55</v>
      </c>
      <c r="G137" s="35">
        <f t="shared" si="10"/>
        <v>0</v>
      </c>
      <c r="H137" s="35">
        <f t="shared" si="11"/>
        <v>0</v>
      </c>
      <c r="I137" s="105" t="s">
        <v>124</v>
      </c>
      <c r="J137" s="174"/>
      <c r="K137" s="174"/>
      <c r="L137" s="174"/>
      <c r="M137" s="175"/>
    </row>
    <row r="138" spans="2:13" ht="18" customHeight="1" x14ac:dyDescent="0.4">
      <c r="B138" s="170"/>
      <c r="C138" s="176" t="s">
        <v>193</v>
      </c>
      <c r="D138" s="16" t="s">
        <v>48</v>
      </c>
      <c r="E138" s="21">
        <f t="shared" si="9"/>
        <v>13</v>
      </c>
      <c r="F138" s="16">
        <v>20</v>
      </c>
      <c r="G138" s="9">
        <f t="shared" si="10"/>
        <v>0</v>
      </c>
      <c r="H138" s="9">
        <f t="shared" si="11"/>
        <v>0</v>
      </c>
      <c r="I138" s="120" t="s">
        <v>194</v>
      </c>
      <c r="J138" s="121"/>
      <c r="K138" s="121"/>
      <c r="L138" s="121"/>
      <c r="M138" s="122"/>
    </row>
    <row r="139" spans="2:13" ht="18" customHeight="1" x14ac:dyDescent="0.4">
      <c r="B139" s="170"/>
      <c r="C139" s="107"/>
      <c r="D139" s="16" t="s">
        <v>25</v>
      </c>
      <c r="E139" s="21">
        <f t="shared" si="9"/>
        <v>13</v>
      </c>
      <c r="F139" s="16">
        <v>20</v>
      </c>
      <c r="G139" s="9">
        <f t="shared" si="10"/>
        <v>0</v>
      </c>
      <c r="H139" s="9">
        <f t="shared" si="11"/>
        <v>0</v>
      </c>
      <c r="I139" s="123"/>
      <c r="J139" s="124"/>
      <c r="K139" s="124"/>
      <c r="L139" s="124"/>
      <c r="M139" s="125"/>
    </row>
    <row r="140" spans="2:13" ht="18" customHeight="1" x14ac:dyDescent="0.4">
      <c r="B140" s="170"/>
      <c r="C140" s="107"/>
      <c r="D140" s="16" t="s">
        <v>18</v>
      </c>
      <c r="E140" s="17">
        <f t="shared" si="9"/>
        <v>0.65</v>
      </c>
      <c r="F140" s="16">
        <v>1</v>
      </c>
      <c r="G140" s="9">
        <f t="shared" si="10"/>
        <v>0</v>
      </c>
      <c r="H140" s="9">
        <f t="shared" si="11"/>
        <v>0</v>
      </c>
      <c r="I140" s="123"/>
      <c r="J140" s="124"/>
      <c r="K140" s="124"/>
      <c r="L140" s="124"/>
      <c r="M140" s="125"/>
    </row>
    <row r="141" spans="2:13" ht="18" customHeight="1" x14ac:dyDescent="0.4">
      <c r="B141" s="170"/>
      <c r="C141" s="107"/>
      <c r="D141" s="16" t="s">
        <v>14</v>
      </c>
      <c r="E141" s="17">
        <f t="shared" si="9"/>
        <v>0.32500000000000001</v>
      </c>
      <c r="F141" s="16">
        <v>0.5</v>
      </c>
      <c r="G141" s="9">
        <f t="shared" si="10"/>
        <v>0</v>
      </c>
      <c r="H141" s="9">
        <f t="shared" si="11"/>
        <v>0</v>
      </c>
      <c r="I141" s="123"/>
      <c r="J141" s="124"/>
      <c r="K141" s="124"/>
      <c r="L141" s="124"/>
      <c r="M141" s="125"/>
    </row>
    <row r="142" spans="2:13" ht="18" customHeight="1" x14ac:dyDescent="0.4">
      <c r="B142" s="170"/>
      <c r="C142" s="107"/>
      <c r="D142" s="16" t="s">
        <v>24</v>
      </c>
      <c r="E142" s="17">
        <f t="shared" si="9"/>
        <v>0.65</v>
      </c>
      <c r="F142" s="16">
        <v>1</v>
      </c>
      <c r="G142" s="9">
        <f t="shared" si="10"/>
        <v>0</v>
      </c>
      <c r="H142" s="9">
        <f t="shared" si="11"/>
        <v>0</v>
      </c>
      <c r="I142" s="123"/>
      <c r="J142" s="124"/>
      <c r="K142" s="124"/>
      <c r="L142" s="124"/>
      <c r="M142" s="125"/>
    </row>
    <row r="143" spans="2:13" ht="18" customHeight="1" x14ac:dyDescent="0.4">
      <c r="B143" s="170"/>
      <c r="C143" s="107"/>
      <c r="D143" s="16" t="s">
        <v>127</v>
      </c>
      <c r="E143" s="17">
        <f t="shared" si="9"/>
        <v>0.32500000000000001</v>
      </c>
      <c r="F143" s="16">
        <v>0.5</v>
      </c>
      <c r="G143" s="9">
        <f t="shared" si="10"/>
        <v>0</v>
      </c>
      <c r="H143" s="9">
        <f t="shared" si="11"/>
        <v>0</v>
      </c>
      <c r="I143" s="123"/>
      <c r="J143" s="124"/>
      <c r="K143" s="124"/>
      <c r="L143" s="124"/>
      <c r="M143" s="125"/>
    </row>
    <row r="144" spans="2:13" ht="18" customHeight="1" x14ac:dyDescent="0.4">
      <c r="B144" s="170"/>
      <c r="C144" s="107"/>
      <c r="D144" s="16" t="s">
        <v>15</v>
      </c>
      <c r="E144" s="17">
        <f t="shared" si="9"/>
        <v>0.32500000000000001</v>
      </c>
      <c r="F144" s="16">
        <v>0.5</v>
      </c>
      <c r="G144" s="9">
        <f t="shared" si="10"/>
        <v>0</v>
      </c>
      <c r="H144" s="9">
        <f t="shared" si="11"/>
        <v>0</v>
      </c>
      <c r="I144" s="123"/>
      <c r="J144" s="124"/>
      <c r="K144" s="124"/>
      <c r="L144" s="124"/>
      <c r="M144" s="125"/>
    </row>
    <row r="145" spans="2:13" ht="18" customHeight="1" x14ac:dyDescent="0.4">
      <c r="B145" s="170"/>
      <c r="C145" s="107"/>
      <c r="D145" s="16" t="s">
        <v>36</v>
      </c>
      <c r="E145" s="17">
        <f t="shared" si="9"/>
        <v>6.5000000000000002E-2</v>
      </c>
      <c r="F145" s="16">
        <v>0.1</v>
      </c>
      <c r="G145" s="9">
        <f t="shared" si="10"/>
        <v>0</v>
      </c>
      <c r="H145" s="9">
        <f t="shared" si="11"/>
        <v>0</v>
      </c>
      <c r="I145" s="173"/>
      <c r="J145" s="174"/>
      <c r="K145" s="174"/>
      <c r="L145" s="174"/>
      <c r="M145" s="175"/>
    </row>
    <row r="146" spans="2:13" ht="18" customHeight="1" x14ac:dyDescent="0.4">
      <c r="B146" s="170"/>
      <c r="C146" s="176" t="s">
        <v>195</v>
      </c>
      <c r="D146" s="50" t="s">
        <v>86</v>
      </c>
      <c r="E146" s="11">
        <f t="shared" si="9"/>
        <v>26</v>
      </c>
      <c r="F146" s="12">
        <v>40</v>
      </c>
      <c r="G146" s="9">
        <f t="shared" si="10"/>
        <v>0</v>
      </c>
      <c r="H146" s="9">
        <f t="shared" si="11"/>
        <v>0</v>
      </c>
      <c r="I146" s="199" t="s">
        <v>196</v>
      </c>
      <c r="J146" s="200"/>
      <c r="K146" s="200"/>
      <c r="L146" s="200"/>
      <c r="M146" s="201"/>
    </row>
    <row r="147" spans="2:13" ht="18" customHeight="1" x14ac:dyDescent="0.4">
      <c r="B147" s="170"/>
      <c r="C147" s="107"/>
      <c r="D147" s="50" t="s">
        <v>21</v>
      </c>
      <c r="E147" s="22">
        <f t="shared" si="9"/>
        <v>3.25</v>
      </c>
      <c r="F147" s="12">
        <v>5</v>
      </c>
      <c r="G147" s="9">
        <f t="shared" si="10"/>
        <v>0</v>
      </c>
      <c r="H147" s="9">
        <f t="shared" si="11"/>
        <v>0</v>
      </c>
      <c r="I147" s="202"/>
      <c r="J147" s="203"/>
      <c r="K147" s="203"/>
      <c r="L147" s="203"/>
      <c r="M147" s="204"/>
    </row>
    <row r="148" spans="2:13" ht="18" customHeight="1" x14ac:dyDescent="0.4">
      <c r="B148" s="170"/>
      <c r="C148" s="107"/>
      <c r="D148" s="50" t="s">
        <v>24</v>
      </c>
      <c r="E148" s="11">
        <f t="shared" si="9"/>
        <v>1.9500000000000002</v>
      </c>
      <c r="F148" s="12">
        <v>3</v>
      </c>
      <c r="G148" s="9">
        <f t="shared" si="10"/>
        <v>0</v>
      </c>
      <c r="H148" s="9">
        <f t="shared" si="11"/>
        <v>0</v>
      </c>
      <c r="I148" s="202"/>
      <c r="J148" s="203"/>
      <c r="K148" s="203"/>
      <c r="L148" s="203"/>
      <c r="M148" s="204"/>
    </row>
    <row r="149" spans="2:13" ht="18" customHeight="1" x14ac:dyDescent="0.4">
      <c r="B149" s="170"/>
      <c r="C149" s="107"/>
      <c r="D149" s="50" t="s">
        <v>159</v>
      </c>
      <c r="E149" s="22">
        <f t="shared" si="9"/>
        <v>1.3</v>
      </c>
      <c r="F149" s="12">
        <v>2</v>
      </c>
      <c r="G149" s="9">
        <f t="shared" si="10"/>
        <v>0</v>
      </c>
      <c r="H149" s="9">
        <f t="shared" si="11"/>
        <v>0</v>
      </c>
      <c r="I149" s="202"/>
      <c r="J149" s="203"/>
      <c r="K149" s="203"/>
      <c r="L149" s="203"/>
      <c r="M149" s="204"/>
    </row>
    <row r="150" spans="2:13" ht="18" customHeight="1" x14ac:dyDescent="0.4">
      <c r="B150" s="170"/>
      <c r="C150" s="107"/>
      <c r="D150" s="50" t="s">
        <v>14</v>
      </c>
      <c r="E150" s="22">
        <f t="shared" si="9"/>
        <v>0.65</v>
      </c>
      <c r="F150" s="12">
        <v>1</v>
      </c>
      <c r="G150" s="9">
        <f t="shared" si="10"/>
        <v>0</v>
      </c>
      <c r="H150" s="9">
        <f t="shared" si="11"/>
        <v>0</v>
      </c>
      <c r="I150" s="205"/>
      <c r="J150" s="206"/>
      <c r="K150" s="206"/>
      <c r="L150" s="206"/>
      <c r="M150" s="207"/>
    </row>
    <row r="151" spans="2:13" ht="18" customHeight="1" x14ac:dyDescent="0.4">
      <c r="B151" s="170"/>
      <c r="C151" s="189" t="s">
        <v>197</v>
      </c>
      <c r="D151" s="16" t="s">
        <v>198</v>
      </c>
      <c r="E151" s="22">
        <f t="shared" si="9"/>
        <v>19.5</v>
      </c>
      <c r="F151" s="16">
        <v>30</v>
      </c>
      <c r="G151" s="9">
        <f t="shared" si="10"/>
        <v>0</v>
      </c>
      <c r="H151" s="9">
        <f t="shared" si="11"/>
        <v>0</v>
      </c>
      <c r="I151" s="148" t="s">
        <v>199</v>
      </c>
      <c r="J151" s="148"/>
      <c r="K151" s="148"/>
      <c r="L151" s="148"/>
      <c r="M151" s="149"/>
    </row>
    <row r="152" spans="2:13" ht="18" customHeight="1" x14ac:dyDescent="0.4">
      <c r="B152" s="170"/>
      <c r="C152" s="189"/>
      <c r="D152" s="16" t="s">
        <v>133</v>
      </c>
      <c r="E152" s="22">
        <f t="shared" si="9"/>
        <v>3.25</v>
      </c>
      <c r="F152" s="16">
        <v>5</v>
      </c>
      <c r="G152" s="9">
        <f t="shared" si="10"/>
        <v>0</v>
      </c>
      <c r="H152" s="9">
        <f t="shared" si="11"/>
        <v>0</v>
      </c>
      <c r="I152" s="148"/>
      <c r="J152" s="148"/>
      <c r="K152" s="148"/>
      <c r="L152" s="148"/>
      <c r="M152" s="149"/>
    </row>
    <row r="153" spans="2:13" ht="18" customHeight="1" x14ac:dyDescent="0.4">
      <c r="B153" s="170"/>
      <c r="C153" s="189"/>
      <c r="D153" s="16" t="s">
        <v>166</v>
      </c>
      <c r="E153" s="11">
        <f t="shared" si="9"/>
        <v>1.9500000000000002</v>
      </c>
      <c r="F153" s="16">
        <v>3</v>
      </c>
      <c r="G153" s="9">
        <f t="shared" si="10"/>
        <v>0</v>
      </c>
      <c r="H153" s="9">
        <f t="shared" si="11"/>
        <v>0</v>
      </c>
      <c r="I153" s="148"/>
      <c r="J153" s="148"/>
      <c r="K153" s="148"/>
      <c r="L153" s="148"/>
      <c r="M153" s="149"/>
    </row>
    <row r="154" spans="2:13" ht="18" customHeight="1" x14ac:dyDescent="0.4">
      <c r="B154" s="170"/>
      <c r="C154" s="189"/>
      <c r="D154" s="16" t="s">
        <v>186</v>
      </c>
      <c r="E154" s="22">
        <f t="shared" si="9"/>
        <v>0.65</v>
      </c>
      <c r="F154" s="16">
        <v>1</v>
      </c>
      <c r="G154" s="9">
        <f t="shared" si="10"/>
        <v>0</v>
      </c>
      <c r="H154" s="9">
        <f t="shared" si="11"/>
        <v>0</v>
      </c>
      <c r="I154" s="148"/>
      <c r="J154" s="148"/>
      <c r="K154" s="148"/>
      <c r="L154" s="148"/>
      <c r="M154" s="149"/>
    </row>
    <row r="155" spans="2:13" ht="18" customHeight="1" x14ac:dyDescent="0.4">
      <c r="B155" s="170"/>
      <c r="C155" s="189"/>
      <c r="D155" s="16" t="s">
        <v>134</v>
      </c>
      <c r="E155" s="22">
        <f t="shared" si="9"/>
        <v>0.13</v>
      </c>
      <c r="F155" s="16">
        <v>0.2</v>
      </c>
      <c r="G155" s="9">
        <f t="shared" si="10"/>
        <v>0</v>
      </c>
      <c r="H155" s="9">
        <f t="shared" si="11"/>
        <v>0</v>
      </c>
      <c r="I155" s="148"/>
      <c r="J155" s="148"/>
      <c r="K155" s="148"/>
      <c r="L155" s="148"/>
      <c r="M155" s="149"/>
    </row>
    <row r="156" spans="2:13" ht="18" customHeight="1" x14ac:dyDescent="0.4">
      <c r="B156" s="170"/>
      <c r="C156" s="189"/>
      <c r="D156" s="16" t="s">
        <v>165</v>
      </c>
      <c r="E156" s="11">
        <f t="shared" si="9"/>
        <v>1.9500000000000002</v>
      </c>
      <c r="F156" s="16">
        <v>3</v>
      </c>
      <c r="G156" s="9">
        <f t="shared" si="10"/>
        <v>0</v>
      </c>
      <c r="H156" s="9">
        <f t="shared" si="11"/>
        <v>0</v>
      </c>
      <c r="I156" s="148"/>
      <c r="J156" s="148"/>
      <c r="K156" s="148"/>
      <c r="L156" s="148"/>
      <c r="M156" s="149"/>
    </row>
    <row r="157" spans="2:13" ht="18" customHeight="1" x14ac:dyDescent="0.4">
      <c r="B157" s="198"/>
      <c r="C157" s="24" t="s">
        <v>135</v>
      </c>
      <c r="D157" s="25" t="s">
        <v>136</v>
      </c>
      <c r="E157" s="51">
        <f t="shared" si="9"/>
        <v>13</v>
      </c>
      <c r="F157" s="37">
        <v>20</v>
      </c>
      <c r="G157" s="52">
        <f t="shared" si="10"/>
        <v>0</v>
      </c>
      <c r="H157" s="52">
        <f t="shared" si="11"/>
        <v>0</v>
      </c>
      <c r="I157" s="208" t="s">
        <v>115</v>
      </c>
      <c r="J157" s="209"/>
      <c r="K157" s="209"/>
      <c r="L157" s="209"/>
      <c r="M157" s="210"/>
    </row>
    <row r="158" spans="2:13" ht="34.5" customHeight="1" x14ac:dyDescent="0.4">
      <c r="B158" s="190" t="s">
        <v>138</v>
      </c>
      <c r="C158" s="45" t="s">
        <v>200</v>
      </c>
      <c r="D158" s="16" t="s">
        <v>100</v>
      </c>
      <c r="E158" s="9">
        <f t="shared" si="9"/>
        <v>26</v>
      </c>
      <c r="F158" s="16">
        <v>40</v>
      </c>
      <c r="G158" s="9">
        <f t="shared" si="10"/>
        <v>0</v>
      </c>
      <c r="H158" s="9">
        <f t="shared" si="11"/>
        <v>0</v>
      </c>
      <c r="I158" s="96" t="s">
        <v>201</v>
      </c>
      <c r="J158" s="97"/>
      <c r="K158" s="97"/>
      <c r="L158" s="97"/>
      <c r="M158" s="98"/>
    </row>
    <row r="159" spans="2:13" ht="18" customHeight="1" thickBot="1" x14ac:dyDescent="0.45">
      <c r="B159" s="191"/>
      <c r="C159" s="53" t="s">
        <v>149</v>
      </c>
      <c r="D159" s="53" t="s">
        <v>33</v>
      </c>
      <c r="E159" s="54">
        <v>100</v>
      </c>
      <c r="F159" s="53">
        <v>100</v>
      </c>
      <c r="G159" s="29">
        <f t="shared" si="10"/>
        <v>0</v>
      </c>
      <c r="H159" s="29">
        <f t="shared" si="11"/>
        <v>0</v>
      </c>
      <c r="I159" s="192"/>
      <c r="J159" s="193"/>
      <c r="K159" s="193"/>
      <c r="L159" s="193"/>
      <c r="M159" s="194"/>
    </row>
    <row r="160" spans="2:13" ht="80.099999999999994" customHeight="1" thickTop="1" x14ac:dyDescent="0.4">
      <c r="B160" s="195"/>
      <c r="C160" s="195"/>
      <c r="D160" s="195"/>
      <c r="E160" s="195"/>
      <c r="F160" s="195"/>
      <c r="G160" s="195"/>
      <c r="H160" s="195"/>
      <c r="I160" s="195"/>
      <c r="J160" s="195"/>
      <c r="K160" s="195"/>
      <c r="L160" s="195"/>
      <c r="M160" s="195"/>
    </row>
    <row r="161" spans="2:13" ht="18" thickBot="1" x14ac:dyDescent="0.45"/>
    <row r="162" spans="2:13" ht="21" customHeight="1" thickTop="1" x14ac:dyDescent="0.4">
      <c r="B162" s="183" t="s">
        <v>202</v>
      </c>
      <c r="C162" s="184"/>
      <c r="D162" s="184"/>
      <c r="E162" s="184"/>
      <c r="F162" s="184"/>
      <c r="G162" s="184"/>
      <c r="H162" s="184"/>
      <c r="I162" s="184"/>
      <c r="J162" s="184"/>
      <c r="K162" s="184"/>
      <c r="L162" s="184"/>
      <c r="M162" s="185"/>
    </row>
    <row r="163" spans="2:13" ht="18" customHeight="1" x14ac:dyDescent="0.4">
      <c r="B163" s="222" t="s">
        <v>3</v>
      </c>
      <c r="C163" s="224" t="s">
        <v>4</v>
      </c>
      <c r="D163" s="224" t="s">
        <v>5</v>
      </c>
      <c r="E163" s="211" t="s">
        <v>6</v>
      </c>
      <c r="F163" s="212"/>
      <c r="G163" s="211" t="s">
        <v>7</v>
      </c>
      <c r="H163" s="212"/>
      <c r="I163" s="213" t="s">
        <v>8</v>
      </c>
      <c r="J163" s="214"/>
      <c r="K163" s="214"/>
      <c r="L163" s="214"/>
      <c r="M163" s="215"/>
    </row>
    <row r="164" spans="2:13" ht="18" customHeight="1" x14ac:dyDescent="0.4">
      <c r="B164" s="223"/>
      <c r="C164" s="225"/>
      <c r="D164" s="225"/>
      <c r="E164" s="5" t="s">
        <v>1</v>
      </c>
      <c r="F164" s="46" t="s">
        <v>2</v>
      </c>
      <c r="G164" s="55" t="s">
        <v>1</v>
      </c>
      <c r="H164" s="56" t="s">
        <v>2</v>
      </c>
      <c r="I164" s="216"/>
      <c r="J164" s="217"/>
      <c r="K164" s="217"/>
      <c r="L164" s="217"/>
      <c r="M164" s="218"/>
    </row>
    <row r="165" spans="2:13" ht="18" customHeight="1" x14ac:dyDescent="0.4">
      <c r="B165" s="57" t="s">
        <v>9</v>
      </c>
      <c r="C165" s="58" t="s">
        <v>203</v>
      </c>
      <c r="D165" s="58" t="s">
        <v>203</v>
      </c>
      <c r="E165" s="17">
        <f t="shared" ref="E165:E190" si="12">F165*0.65</f>
        <v>32.5</v>
      </c>
      <c r="F165" s="36">
        <v>50</v>
      </c>
      <c r="G165" s="9">
        <f t="shared" ref="G165:G192" si="13">E165*E$2</f>
        <v>0</v>
      </c>
      <c r="H165" s="9">
        <f>E165*E$3</f>
        <v>0</v>
      </c>
      <c r="I165" s="163" t="s">
        <v>204</v>
      </c>
      <c r="J165" s="164"/>
      <c r="K165" s="164"/>
      <c r="L165" s="164"/>
      <c r="M165" s="165"/>
    </row>
    <row r="166" spans="2:13" ht="18" customHeight="1" x14ac:dyDescent="0.4">
      <c r="B166" s="169" t="s">
        <v>10</v>
      </c>
      <c r="C166" s="172" t="s">
        <v>205</v>
      </c>
      <c r="D166" s="16" t="s">
        <v>43</v>
      </c>
      <c r="E166" s="17">
        <f t="shared" si="12"/>
        <v>32.5</v>
      </c>
      <c r="F166" s="39">
        <v>50</v>
      </c>
      <c r="G166" s="35">
        <f t="shared" si="13"/>
        <v>0</v>
      </c>
      <c r="H166" s="35">
        <f t="shared" ref="H166:H192" si="14">F166*E$3</f>
        <v>0</v>
      </c>
      <c r="I166" s="105" t="s">
        <v>101</v>
      </c>
      <c r="J166" s="105"/>
      <c r="K166" s="105"/>
      <c r="L166" s="105"/>
      <c r="M166" s="220"/>
    </row>
    <row r="167" spans="2:13" ht="18" customHeight="1" x14ac:dyDescent="0.4">
      <c r="B167" s="170"/>
      <c r="C167" s="219"/>
      <c r="D167" s="16" t="s">
        <v>82</v>
      </c>
      <c r="E167" s="17">
        <f t="shared" si="12"/>
        <v>1.625</v>
      </c>
      <c r="F167" s="16">
        <v>2.5</v>
      </c>
      <c r="G167" s="9">
        <f t="shared" si="13"/>
        <v>0</v>
      </c>
      <c r="H167" s="9">
        <f t="shared" si="14"/>
        <v>0</v>
      </c>
      <c r="I167" s="178"/>
      <c r="J167" s="178"/>
      <c r="K167" s="178"/>
      <c r="L167" s="178"/>
      <c r="M167" s="179"/>
    </row>
    <row r="168" spans="2:13" ht="18" customHeight="1" x14ac:dyDescent="0.4">
      <c r="B168" s="170"/>
      <c r="C168" s="176" t="s">
        <v>206</v>
      </c>
      <c r="D168" s="19" t="s">
        <v>207</v>
      </c>
      <c r="E168" s="26">
        <f t="shared" si="12"/>
        <v>13</v>
      </c>
      <c r="F168" s="15">
        <v>20</v>
      </c>
      <c r="G168" s="9">
        <f t="shared" si="13"/>
        <v>0</v>
      </c>
      <c r="H168" s="9">
        <f t="shared" si="14"/>
        <v>0</v>
      </c>
      <c r="I168" s="109" t="s">
        <v>208</v>
      </c>
      <c r="J168" s="110"/>
      <c r="K168" s="110"/>
      <c r="L168" s="110"/>
      <c r="M168" s="111"/>
    </row>
    <row r="169" spans="2:13" ht="18" customHeight="1" x14ac:dyDescent="0.4">
      <c r="B169" s="170"/>
      <c r="C169" s="107"/>
      <c r="D169" s="19" t="s">
        <v>157</v>
      </c>
      <c r="E169" s="23">
        <f t="shared" si="12"/>
        <v>3.25</v>
      </c>
      <c r="F169" s="15">
        <v>5</v>
      </c>
      <c r="G169" s="9">
        <f t="shared" si="13"/>
        <v>0</v>
      </c>
      <c r="H169" s="9">
        <f t="shared" si="14"/>
        <v>0</v>
      </c>
      <c r="I169" s="112"/>
      <c r="J169" s="113"/>
      <c r="K169" s="113"/>
      <c r="L169" s="113"/>
      <c r="M169" s="114"/>
    </row>
    <row r="170" spans="2:13" ht="18" customHeight="1" x14ac:dyDescent="0.4">
      <c r="B170" s="170"/>
      <c r="C170" s="107"/>
      <c r="D170" s="19" t="s">
        <v>163</v>
      </c>
      <c r="E170" s="23">
        <f t="shared" si="12"/>
        <v>3.25</v>
      </c>
      <c r="F170" s="15">
        <v>5</v>
      </c>
      <c r="G170" s="9">
        <f t="shared" si="13"/>
        <v>0</v>
      </c>
      <c r="H170" s="9">
        <f t="shared" si="14"/>
        <v>0</v>
      </c>
      <c r="I170" s="112"/>
      <c r="J170" s="113"/>
      <c r="K170" s="113"/>
      <c r="L170" s="113"/>
      <c r="M170" s="114"/>
    </row>
    <row r="171" spans="2:13" ht="18" customHeight="1" x14ac:dyDescent="0.4">
      <c r="B171" s="170"/>
      <c r="C171" s="107"/>
      <c r="D171" s="19" t="s">
        <v>118</v>
      </c>
      <c r="E171" s="23">
        <f t="shared" si="12"/>
        <v>3.25</v>
      </c>
      <c r="F171" s="15">
        <v>5</v>
      </c>
      <c r="G171" s="9">
        <f t="shared" si="13"/>
        <v>0</v>
      </c>
      <c r="H171" s="9">
        <f t="shared" si="14"/>
        <v>0</v>
      </c>
      <c r="I171" s="112"/>
      <c r="J171" s="113"/>
      <c r="K171" s="113"/>
      <c r="L171" s="113"/>
      <c r="M171" s="114"/>
    </row>
    <row r="172" spans="2:13" ht="18" customHeight="1" x14ac:dyDescent="0.4">
      <c r="B172" s="170"/>
      <c r="C172" s="107"/>
      <c r="D172" s="19" t="s">
        <v>158</v>
      </c>
      <c r="E172" s="26">
        <f t="shared" si="12"/>
        <v>1.9500000000000002</v>
      </c>
      <c r="F172" s="15">
        <v>3</v>
      </c>
      <c r="G172" s="9">
        <f t="shared" si="13"/>
        <v>0</v>
      </c>
      <c r="H172" s="9">
        <f t="shared" si="14"/>
        <v>0</v>
      </c>
      <c r="I172" s="112"/>
      <c r="J172" s="113"/>
      <c r="K172" s="113"/>
      <c r="L172" s="113"/>
      <c r="M172" s="114"/>
    </row>
    <row r="173" spans="2:13" ht="18" customHeight="1" x14ac:dyDescent="0.4">
      <c r="B173" s="170"/>
      <c r="C173" s="107"/>
      <c r="D173" s="19" t="s">
        <v>133</v>
      </c>
      <c r="E173" s="23">
        <f t="shared" si="12"/>
        <v>0.65</v>
      </c>
      <c r="F173" s="15">
        <v>1</v>
      </c>
      <c r="G173" s="9">
        <f t="shared" si="13"/>
        <v>0</v>
      </c>
      <c r="H173" s="9">
        <f t="shared" si="14"/>
        <v>0</v>
      </c>
      <c r="I173" s="112"/>
      <c r="J173" s="113"/>
      <c r="K173" s="113"/>
      <c r="L173" s="113"/>
      <c r="M173" s="114"/>
    </row>
    <row r="174" spans="2:13" ht="18" customHeight="1" x14ac:dyDescent="0.4">
      <c r="B174" s="170"/>
      <c r="C174" s="107"/>
      <c r="D174" s="19" t="s">
        <v>159</v>
      </c>
      <c r="E174" s="23">
        <f t="shared" si="12"/>
        <v>0.32500000000000001</v>
      </c>
      <c r="F174" s="15">
        <v>0.5</v>
      </c>
      <c r="G174" s="9">
        <f t="shared" si="13"/>
        <v>0</v>
      </c>
      <c r="H174" s="9">
        <f t="shared" si="14"/>
        <v>0</v>
      </c>
      <c r="I174" s="112"/>
      <c r="J174" s="113"/>
      <c r="K174" s="113"/>
      <c r="L174" s="113"/>
      <c r="M174" s="114"/>
    </row>
    <row r="175" spans="2:13" ht="18" customHeight="1" x14ac:dyDescent="0.4">
      <c r="B175" s="170"/>
      <c r="C175" s="107"/>
      <c r="D175" s="19" t="s">
        <v>160</v>
      </c>
      <c r="E175" s="23">
        <f t="shared" si="12"/>
        <v>0.13</v>
      </c>
      <c r="F175" s="15">
        <v>0.2</v>
      </c>
      <c r="G175" s="9">
        <f t="shared" si="13"/>
        <v>0</v>
      </c>
      <c r="H175" s="9">
        <f t="shared" si="14"/>
        <v>0</v>
      </c>
      <c r="I175" s="112"/>
      <c r="J175" s="113"/>
      <c r="K175" s="113"/>
      <c r="L175" s="113"/>
      <c r="M175" s="114"/>
    </row>
    <row r="176" spans="2:13" ht="18" customHeight="1" x14ac:dyDescent="0.4">
      <c r="B176" s="170"/>
      <c r="C176" s="107"/>
      <c r="D176" s="19" t="s">
        <v>127</v>
      </c>
      <c r="E176" s="23">
        <f t="shared" si="12"/>
        <v>0.32500000000000001</v>
      </c>
      <c r="F176" s="15">
        <v>0.5</v>
      </c>
      <c r="G176" s="9">
        <f t="shared" si="13"/>
        <v>0</v>
      </c>
      <c r="H176" s="9">
        <f t="shared" si="14"/>
        <v>0</v>
      </c>
      <c r="I176" s="112"/>
      <c r="J176" s="113"/>
      <c r="K176" s="113"/>
      <c r="L176" s="113"/>
      <c r="M176" s="114"/>
    </row>
    <row r="177" spans="2:13" ht="18" customHeight="1" x14ac:dyDescent="0.4">
      <c r="B177" s="170"/>
      <c r="C177" s="106" t="s">
        <v>209</v>
      </c>
      <c r="D177" s="16" t="s">
        <v>31</v>
      </c>
      <c r="E177" s="21">
        <f t="shared" si="12"/>
        <v>26</v>
      </c>
      <c r="F177" s="16">
        <v>40</v>
      </c>
      <c r="G177" s="9">
        <f t="shared" si="13"/>
        <v>0</v>
      </c>
      <c r="H177" s="9">
        <f t="shared" si="14"/>
        <v>0</v>
      </c>
      <c r="I177" s="109" t="s">
        <v>210</v>
      </c>
      <c r="J177" s="110"/>
      <c r="K177" s="110"/>
      <c r="L177" s="110"/>
      <c r="M177" s="111"/>
    </row>
    <row r="178" spans="2:13" ht="18" customHeight="1" x14ac:dyDescent="0.4">
      <c r="B178" s="170"/>
      <c r="C178" s="146"/>
      <c r="D178" s="14" t="s">
        <v>18</v>
      </c>
      <c r="E178" s="17">
        <f t="shared" si="12"/>
        <v>2.6</v>
      </c>
      <c r="F178" s="16">
        <v>4</v>
      </c>
      <c r="G178" s="9">
        <f t="shared" si="13"/>
        <v>0</v>
      </c>
      <c r="H178" s="9">
        <f t="shared" si="14"/>
        <v>0</v>
      </c>
      <c r="I178" s="112"/>
      <c r="J178" s="113"/>
      <c r="K178" s="113"/>
      <c r="L178" s="113"/>
      <c r="M178" s="114"/>
    </row>
    <row r="179" spans="2:13" ht="18" customHeight="1" x14ac:dyDescent="0.4">
      <c r="B179" s="170"/>
      <c r="C179" s="146"/>
      <c r="D179" s="14" t="s">
        <v>20</v>
      </c>
      <c r="E179" s="17">
        <f t="shared" si="12"/>
        <v>1.3</v>
      </c>
      <c r="F179" s="16">
        <v>2</v>
      </c>
      <c r="G179" s="9">
        <f t="shared" si="13"/>
        <v>0</v>
      </c>
      <c r="H179" s="9">
        <f t="shared" si="14"/>
        <v>0</v>
      </c>
      <c r="I179" s="112"/>
      <c r="J179" s="113"/>
      <c r="K179" s="113"/>
      <c r="L179" s="113"/>
      <c r="M179" s="114"/>
    </row>
    <row r="180" spans="2:13" ht="18" customHeight="1" x14ac:dyDescent="0.4">
      <c r="B180" s="170"/>
      <c r="C180" s="146"/>
      <c r="D180" s="14" t="s">
        <v>14</v>
      </c>
      <c r="E180" s="17">
        <f t="shared" si="12"/>
        <v>0.32500000000000001</v>
      </c>
      <c r="F180" s="16">
        <v>0.5</v>
      </c>
      <c r="G180" s="9">
        <f t="shared" si="13"/>
        <v>0</v>
      </c>
      <c r="H180" s="9">
        <f t="shared" si="14"/>
        <v>0</v>
      </c>
      <c r="I180" s="112"/>
      <c r="J180" s="113"/>
      <c r="K180" s="113"/>
      <c r="L180" s="113"/>
      <c r="M180" s="114"/>
    </row>
    <row r="181" spans="2:13" ht="18" customHeight="1" x14ac:dyDescent="0.4">
      <c r="B181" s="170"/>
      <c r="C181" s="146"/>
      <c r="D181" s="14" t="s">
        <v>68</v>
      </c>
      <c r="E181" s="17">
        <f t="shared" si="12"/>
        <v>0.32500000000000001</v>
      </c>
      <c r="F181" s="16">
        <v>0.5</v>
      </c>
      <c r="G181" s="9">
        <f t="shared" si="13"/>
        <v>0</v>
      </c>
      <c r="H181" s="9">
        <f t="shared" si="14"/>
        <v>0</v>
      </c>
      <c r="I181" s="112"/>
      <c r="J181" s="113"/>
      <c r="K181" s="113"/>
      <c r="L181" s="113"/>
      <c r="M181" s="114"/>
    </row>
    <row r="182" spans="2:13" ht="18" customHeight="1" x14ac:dyDescent="0.4">
      <c r="B182" s="170"/>
      <c r="C182" s="146"/>
      <c r="D182" s="16" t="s">
        <v>24</v>
      </c>
      <c r="E182" s="17">
        <f t="shared" si="12"/>
        <v>1.3</v>
      </c>
      <c r="F182" s="16">
        <v>2</v>
      </c>
      <c r="G182" s="9">
        <f t="shared" si="13"/>
        <v>0</v>
      </c>
      <c r="H182" s="9">
        <f t="shared" si="14"/>
        <v>0</v>
      </c>
      <c r="I182" s="112"/>
      <c r="J182" s="113"/>
      <c r="K182" s="113"/>
      <c r="L182" s="113"/>
      <c r="M182" s="114"/>
    </row>
    <row r="183" spans="2:13" ht="18" customHeight="1" x14ac:dyDescent="0.4">
      <c r="B183" s="170"/>
      <c r="C183" s="177"/>
      <c r="D183" s="16" t="s">
        <v>19</v>
      </c>
      <c r="E183" s="21">
        <f t="shared" si="12"/>
        <v>1.9500000000000002</v>
      </c>
      <c r="F183" s="16">
        <v>3</v>
      </c>
      <c r="G183" s="9">
        <f t="shared" si="13"/>
        <v>0</v>
      </c>
      <c r="H183" s="9">
        <f t="shared" si="14"/>
        <v>0</v>
      </c>
      <c r="I183" s="112"/>
      <c r="J183" s="113"/>
      <c r="K183" s="113"/>
      <c r="L183" s="113"/>
      <c r="M183" s="114"/>
    </row>
    <row r="184" spans="2:13" ht="18" customHeight="1" x14ac:dyDescent="0.4">
      <c r="B184" s="170"/>
      <c r="C184" s="126" t="s">
        <v>211</v>
      </c>
      <c r="D184" s="16" t="s">
        <v>212</v>
      </c>
      <c r="E184" s="9">
        <f t="shared" si="12"/>
        <v>19.5</v>
      </c>
      <c r="F184" s="16">
        <v>30</v>
      </c>
      <c r="G184" s="9">
        <f t="shared" si="13"/>
        <v>0</v>
      </c>
      <c r="H184" s="9">
        <f t="shared" si="14"/>
        <v>0</v>
      </c>
      <c r="I184" s="109" t="s">
        <v>213</v>
      </c>
      <c r="J184" s="110"/>
      <c r="K184" s="110"/>
      <c r="L184" s="110"/>
      <c r="M184" s="111"/>
    </row>
    <row r="185" spans="2:13" ht="18" customHeight="1" x14ac:dyDescent="0.4">
      <c r="B185" s="170"/>
      <c r="C185" s="221"/>
      <c r="D185" s="16" t="s">
        <v>214</v>
      </c>
      <c r="E185" s="23">
        <f t="shared" si="12"/>
        <v>1.3</v>
      </c>
      <c r="F185" s="16">
        <v>2</v>
      </c>
      <c r="G185" s="9">
        <f t="shared" si="13"/>
        <v>0</v>
      </c>
      <c r="H185" s="9">
        <f t="shared" si="14"/>
        <v>0</v>
      </c>
      <c r="I185" s="112"/>
      <c r="J185" s="113"/>
      <c r="K185" s="113"/>
      <c r="L185" s="113"/>
      <c r="M185" s="114"/>
    </row>
    <row r="186" spans="2:13" ht="18" customHeight="1" x14ac:dyDescent="0.4">
      <c r="B186" s="170"/>
      <c r="C186" s="221"/>
      <c r="D186" s="16" t="s">
        <v>165</v>
      </c>
      <c r="E186" s="23">
        <f t="shared" si="12"/>
        <v>0.65</v>
      </c>
      <c r="F186" s="16">
        <v>1</v>
      </c>
      <c r="G186" s="9">
        <f t="shared" si="13"/>
        <v>0</v>
      </c>
      <c r="H186" s="9">
        <f t="shared" si="14"/>
        <v>0</v>
      </c>
      <c r="I186" s="112"/>
      <c r="J186" s="113"/>
      <c r="K186" s="113"/>
      <c r="L186" s="113"/>
      <c r="M186" s="114"/>
    </row>
    <row r="187" spans="2:13" ht="18" customHeight="1" x14ac:dyDescent="0.4">
      <c r="B187" s="170"/>
      <c r="C187" s="221"/>
      <c r="D187" s="16" t="s">
        <v>215</v>
      </c>
      <c r="E187" s="23">
        <f t="shared" si="12"/>
        <v>3.25</v>
      </c>
      <c r="F187" s="16">
        <v>5</v>
      </c>
      <c r="G187" s="9">
        <f t="shared" si="13"/>
        <v>0</v>
      </c>
      <c r="H187" s="9">
        <f t="shared" si="14"/>
        <v>0</v>
      </c>
      <c r="I187" s="112"/>
      <c r="J187" s="113"/>
      <c r="K187" s="113"/>
      <c r="L187" s="113"/>
      <c r="M187" s="114"/>
    </row>
    <row r="188" spans="2:13" ht="18" customHeight="1" x14ac:dyDescent="0.4">
      <c r="B188" s="170"/>
      <c r="C188" s="221"/>
      <c r="D188" s="16" t="s">
        <v>216</v>
      </c>
      <c r="E188" s="23">
        <f t="shared" si="12"/>
        <v>0.65</v>
      </c>
      <c r="F188" s="16">
        <v>1</v>
      </c>
      <c r="G188" s="9">
        <f t="shared" si="13"/>
        <v>0</v>
      </c>
      <c r="H188" s="9">
        <f t="shared" si="14"/>
        <v>0</v>
      </c>
      <c r="I188" s="112"/>
      <c r="J188" s="113"/>
      <c r="K188" s="113"/>
      <c r="L188" s="113"/>
      <c r="M188" s="114"/>
    </row>
    <row r="189" spans="2:13" ht="18" customHeight="1" x14ac:dyDescent="0.4">
      <c r="B189" s="170"/>
      <c r="C189" s="221"/>
      <c r="D189" s="16" t="s">
        <v>186</v>
      </c>
      <c r="E189" s="23">
        <f t="shared" si="12"/>
        <v>0.32500000000000001</v>
      </c>
      <c r="F189" s="16">
        <v>0.5</v>
      </c>
      <c r="G189" s="9">
        <f t="shared" si="13"/>
        <v>0</v>
      </c>
      <c r="H189" s="9">
        <f t="shared" si="14"/>
        <v>0</v>
      </c>
      <c r="I189" s="112"/>
      <c r="J189" s="113"/>
      <c r="K189" s="113"/>
      <c r="L189" s="113"/>
      <c r="M189" s="114"/>
    </row>
    <row r="190" spans="2:13" ht="18" customHeight="1" x14ac:dyDescent="0.4">
      <c r="B190" s="198"/>
      <c r="C190" s="24" t="s">
        <v>135</v>
      </c>
      <c r="D190" s="25" t="s">
        <v>136</v>
      </c>
      <c r="E190" s="51">
        <f t="shared" si="12"/>
        <v>13</v>
      </c>
      <c r="F190" s="37">
        <v>20</v>
      </c>
      <c r="G190" s="52">
        <f t="shared" si="13"/>
        <v>0</v>
      </c>
      <c r="H190" s="52">
        <f t="shared" si="14"/>
        <v>0</v>
      </c>
      <c r="I190" s="208" t="s">
        <v>115</v>
      </c>
      <c r="J190" s="209"/>
      <c r="K190" s="209"/>
      <c r="L190" s="209"/>
      <c r="M190" s="210"/>
    </row>
    <row r="191" spans="2:13" s="1" customFormat="1" ht="18" customHeight="1" x14ac:dyDescent="0.4">
      <c r="B191" s="154" t="s">
        <v>138</v>
      </c>
      <c r="C191" s="45" t="s">
        <v>217</v>
      </c>
      <c r="D191" s="16" t="s">
        <v>218</v>
      </c>
      <c r="E191" s="11">
        <v>39</v>
      </c>
      <c r="F191" s="16">
        <v>60</v>
      </c>
      <c r="G191" s="9">
        <f t="shared" si="13"/>
        <v>0</v>
      </c>
      <c r="H191" s="9">
        <f t="shared" si="14"/>
        <v>0</v>
      </c>
      <c r="I191" s="148" t="s">
        <v>219</v>
      </c>
      <c r="J191" s="148"/>
      <c r="K191" s="148"/>
      <c r="L191" s="148"/>
      <c r="M191" s="149"/>
    </row>
    <row r="192" spans="2:13" s="1" customFormat="1" ht="18" customHeight="1" thickBot="1" x14ac:dyDescent="0.45">
      <c r="B192" s="155"/>
      <c r="C192" s="59" t="s">
        <v>149</v>
      </c>
      <c r="D192" s="53" t="s">
        <v>189</v>
      </c>
      <c r="E192" s="60">
        <v>100</v>
      </c>
      <c r="F192" s="53">
        <v>100</v>
      </c>
      <c r="G192" s="60">
        <f t="shared" si="13"/>
        <v>0</v>
      </c>
      <c r="H192" s="60">
        <f t="shared" si="14"/>
        <v>0</v>
      </c>
      <c r="I192" s="192"/>
      <c r="J192" s="193"/>
      <c r="K192" s="193"/>
      <c r="L192" s="193"/>
      <c r="M192" s="194"/>
    </row>
    <row r="193" spans="2:13" ht="80.099999999999994" customHeight="1" thickTop="1" x14ac:dyDescent="0.4">
      <c r="B193" s="152"/>
      <c r="C193" s="152"/>
      <c r="D193" s="152"/>
      <c r="E193" s="152"/>
      <c r="F193" s="152"/>
      <c r="G193" s="152"/>
      <c r="H193" s="152"/>
      <c r="I193" s="152"/>
      <c r="J193" s="152"/>
      <c r="K193" s="152"/>
      <c r="L193" s="152"/>
      <c r="M193" s="152"/>
    </row>
    <row r="194" spans="2:13" ht="18" thickBot="1" x14ac:dyDescent="0.45">
      <c r="B194" s="30"/>
      <c r="C194" s="30"/>
      <c r="D194" s="30"/>
      <c r="E194" s="30"/>
      <c r="F194" s="30"/>
      <c r="G194" s="30"/>
      <c r="H194" s="30"/>
      <c r="I194" s="30"/>
      <c r="J194" s="30"/>
      <c r="K194" s="30"/>
      <c r="L194" s="30"/>
      <c r="M194" s="30"/>
    </row>
    <row r="195" spans="2:13" ht="21" customHeight="1" thickTop="1" x14ac:dyDescent="0.4">
      <c r="B195" s="183" t="s">
        <v>220</v>
      </c>
      <c r="C195" s="184"/>
      <c r="D195" s="184"/>
      <c r="E195" s="184"/>
      <c r="F195" s="184"/>
      <c r="G195" s="184"/>
      <c r="H195" s="184"/>
      <c r="I195" s="184"/>
      <c r="J195" s="184"/>
      <c r="K195" s="184"/>
      <c r="L195" s="184"/>
      <c r="M195" s="185"/>
    </row>
    <row r="196" spans="2:13" ht="18" customHeight="1" x14ac:dyDescent="0.4">
      <c r="B196" s="222" t="s">
        <v>3</v>
      </c>
      <c r="C196" s="224" t="s">
        <v>4</v>
      </c>
      <c r="D196" s="224" t="s">
        <v>5</v>
      </c>
      <c r="E196" s="211" t="s">
        <v>6</v>
      </c>
      <c r="F196" s="212"/>
      <c r="G196" s="211" t="s">
        <v>7</v>
      </c>
      <c r="H196" s="212"/>
      <c r="I196" s="213" t="s">
        <v>8</v>
      </c>
      <c r="J196" s="214"/>
      <c r="K196" s="214"/>
      <c r="L196" s="214"/>
      <c r="M196" s="215"/>
    </row>
    <row r="197" spans="2:13" ht="18" customHeight="1" x14ac:dyDescent="0.4">
      <c r="B197" s="223"/>
      <c r="C197" s="225"/>
      <c r="D197" s="225"/>
      <c r="E197" s="5" t="s">
        <v>1</v>
      </c>
      <c r="F197" s="46" t="s">
        <v>2</v>
      </c>
      <c r="G197" s="55" t="s">
        <v>1</v>
      </c>
      <c r="H197" s="56" t="s">
        <v>2</v>
      </c>
      <c r="I197" s="216"/>
      <c r="J197" s="217"/>
      <c r="K197" s="217"/>
      <c r="L197" s="217"/>
      <c r="M197" s="218"/>
    </row>
    <row r="198" spans="2:13" ht="18" customHeight="1" x14ac:dyDescent="0.4">
      <c r="B198" s="8" t="s">
        <v>9</v>
      </c>
      <c r="C198" s="10" t="s">
        <v>221</v>
      </c>
      <c r="D198" s="10" t="s">
        <v>222</v>
      </c>
      <c r="E198" s="9">
        <v>200</v>
      </c>
      <c r="F198" s="36">
        <v>200</v>
      </c>
      <c r="G198" s="9">
        <f t="shared" ref="G198:G228" si="15">E198*E$2</f>
        <v>0</v>
      </c>
      <c r="H198" s="9">
        <f t="shared" ref="H198:H228" si="16">F198*E$3</f>
        <v>0</v>
      </c>
      <c r="I198" s="226"/>
      <c r="J198" s="227"/>
      <c r="K198" s="227"/>
      <c r="L198" s="227"/>
      <c r="M198" s="228"/>
    </row>
    <row r="199" spans="2:13" ht="18" customHeight="1" x14ac:dyDescent="0.4">
      <c r="B199" s="104" t="s">
        <v>10</v>
      </c>
      <c r="C199" s="230" t="s">
        <v>223</v>
      </c>
      <c r="D199" s="16" t="s">
        <v>224</v>
      </c>
      <c r="E199" s="9">
        <f t="shared" ref="E199:E208" si="17">F199*0.65</f>
        <v>32.5</v>
      </c>
      <c r="F199" s="16">
        <v>50</v>
      </c>
      <c r="G199" s="9">
        <f t="shared" si="15"/>
        <v>0</v>
      </c>
      <c r="H199" s="9">
        <f t="shared" si="16"/>
        <v>0</v>
      </c>
      <c r="I199" s="120" t="s">
        <v>225</v>
      </c>
      <c r="J199" s="121"/>
      <c r="K199" s="121"/>
      <c r="L199" s="121"/>
      <c r="M199" s="122"/>
    </row>
    <row r="200" spans="2:13" ht="18" customHeight="1" x14ac:dyDescent="0.4">
      <c r="B200" s="104"/>
      <c r="C200" s="187"/>
      <c r="D200" s="16" t="s">
        <v>226</v>
      </c>
      <c r="E200" s="9">
        <f t="shared" si="17"/>
        <v>11.700000000000001</v>
      </c>
      <c r="F200" s="16">
        <v>18</v>
      </c>
      <c r="G200" s="9">
        <f t="shared" si="15"/>
        <v>0</v>
      </c>
      <c r="H200" s="9">
        <f t="shared" si="16"/>
        <v>0</v>
      </c>
      <c r="I200" s="123"/>
      <c r="J200" s="124"/>
      <c r="K200" s="124"/>
      <c r="L200" s="124"/>
      <c r="M200" s="125"/>
    </row>
    <row r="201" spans="2:13" ht="18" customHeight="1" x14ac:dyDescent="0.4">
      <c r="B201" s="104"/>
      <c r="C201" s="187"/>
      <c r="D201" s="16" t="s">
        <v>227</v>
      </c>
      <c r="E201" s="23">
        <f t="shared" si="17"/>
        <v>3.25</v>
      </c>
      <c r="F201" s="16">
        <v>5</v>
      </c>
      <c r="G201" s="9">
        <f t="shared" si="15"/>
        <v>0</v>
      </c>
      <c r="H201" s="9">
        <f t="shared" si="16"/>
        <v>0</v>
      </c>
      <c r="I201" s="123"/>
      <c r="J201" s="124"/>
      <c r="K201" s="124"/>
      <c r="L201" s="124"/>
      <c r="M201" s="125"/>
    </row>
    <row r="202" spans="2:13" ht="18" customHeight="1" x14ac:dyDescent="0.4">
      <c r="B202" s="104"/>
      <c r="C202" s="187"/>
      <c r="D202" s="16" t="s">
        <v>228</v>
      </c>
      <c r="E202" s="9">
        <f t="shared" si="17"/>
        <v>6.5</v>
      </c>
      <c r="F202" s="16">
        <v>10</v>
      </c>
      <c r="G202" s="9">
        <f t="shared" si="15"/>
        <v>0</v>
      </c>
      <c r="H202" s="9">
        <f t="shared" si="16"/>
        <v>0</v>
      </c>
      <c r="I202" s="123"/>
      <c r="J202" s="124"/>
      <c r="K202" s="124"/>
      <c r="L202" s="124"/>
      <c r="M202" s="125"/>
    </row>
    <row r="203" spans="2:13" ht="18" customHeight="1" x14ac:dyDescent="0.4">
      <c r="B203" s="104"/>
      <c r="C203" s="187"/>
      <c r="D203" s="16" t="s">
        <v>229</v>
      </c>
      <c r="E203" s="23">
        <f t="shared" si="17"/>
        <v>9.75</v>
      </c>
      <c r="F203" s="16">
        <v>15</v>
      </c>
      <c r="G203" s="9">
        <f t="shared" si="15"/>
        <v>0</v>
      </c>
      <c r="H203" s="9">
        <f t="shared" si="16"/>
        <v>0</v>
      </c>
      <c r="I203" s="123"/>
      <c r="J203" s="124"/>
      <c r="K203" s="124"/>
      <c r="L203" s="124"/>
      <c r="M203" s="125"/>
    </row>
    <row r="204" spans="2:13" ht="18" customHeight="1" x14ac:dyDescent="0.4">
      <c r="B204" s="104"/>
      <c r="C204" s="187"/>
      <c r="D204" s="16" t="s">
        <v>157</v>
      </c>
      <c r="E204" s="23">
        <f t="shared" si="17"/>
        <v>8.4500000000000011</v>
      </c>
      <c r="F204" s="16">
        <v>13</v>
      </c>
      <c r="G204" s="9">
        <f t="shared" si="15"/>
        <v>0</v>
      </c>
      <c r="H204" s="9">
        <f t="shared" si="16"/>
        <v>0</v>
      </c>
      <c r="I204" s="123"/>
      <c r="J204" s="124"/>
      <c r="K204" s="124"/>
      <c r="L204" s="124"/>
      <c r="M204" s="125"/>
    </row>
    <row r="205" spans="2:13" ht="18" customHeight="1" x14ac:dyDescent="0.4">
      <c r="B205" s="104"/>
      <c r="C205" s="187"/>
      <c r="D205" s="16" t="s">
        <v>230</v>
      </c>
      <c r="E205" s="9">
        <f t="shared" si="17"/>
        <v>7.8000000000000007</v>
      </c>
      <c r="F205" s="16">
        <v>12</v>
      </c>
      <c r="G205" s="9">
        <f t="shared" si="15"/>
        <v>0</v>
      </c>
      <c r="H205" s="9">
        <f t="shared" si="16"/>
        <v>0</v>
      </c>
      <c r="I205" s="123"/>
      <c r="J205" s="124"/>
      <c r="K205" s="124"/>
      <c r="L205" s="124"/>
      <c r="M205" s="125"/>
    </row>
    <row r="206" spans="2:13" ht="18" customHeight="1" x14ac:dyDescent="0.4">
      <c r="B206" s="104"/>
      <c r="C206" s="187"/>
      <c r="D206" s="16" t="s">
        <v>166</v>
      </c>
      <c r="E206" s="26">
        <f t="shared" si="17"/>
        <v>0.97500000000000009</v>
      </c>
      <c r="F206" s="16">
        <v>1.5</v>
      </c>
      <c r="G206" s="9">
        <f t="shared" si="15"/>
        <v>0</v>
      </c>
      <c r="H206" s="9">
        <f t="shared" si="16"/>
        <v>0</v>
      </c>
      <c r="I206" s="123"/>
      <c r="J206" s="124"/>
      <c r="K206" s="124"/>
      <c r="L206" s="124"/>
      <c r="M206" s="125"/>
    </row>
    <row r="207" spans="2:13" ht="18" customHeight="1" x14ac:dyDescent="0.4">
      <c r="B207" s="104"/>
      <c r="C207" s="187"/>
      <c r="D207" s="16" t="s">
        <v>231</v>
      </c>
      <c r="E207" s="26">
        <f t="shared" si="17"/>
        <v>0.97500000000000009</v>
      </c>
      <c r="F207" s="16">
        <v>1.5</v>
      </c>
      <c r="G207" s="9">
        <f t="shared" si="15"/>
        <v>0</v>
      </c>
      <c r="H207" s="9">
        <f t="shared" si="16"/>
        <v>0</v>
      </c>
      <c r="I207" s="123"/>
      <c r="J207" s="124"/>
      <c r="K207" s="124"/>
      <c r="L207" s="124"/>
      <c r="M207" s="125"/>
    </row>
    <row r="208" spans="2:13" ht="18" customHeight="1" x14ac:dyDescent="0.4">
      <c r="B208" s="104"/>
      <c r="C208" s="188"/>
      <c r="D208" s="16" t="s">
        <v>19</v>
      </c>
      <c r="E208" s="23">
        <f t="shared" si="17"/>
        <v>0.65</v>
      </c>
      <c r="F208" s="16">
        <v>1</v>
      </c>
      <c r="G208" s="9">
        <f t="shared" si="15"/>
        <v>0</v>
      </c>
      <c r="H208" s="9">
        <f t="shared" si="16"/>
        <v>0</v>
      </c>
      <c r="I208" s="173"/>
      <c r="J208" s="174"/>
      <c r="K208" s="174"/>
      <c r="L208" s="174"/>
      <c r="M208" s="175"/>
    </row>
    <row r="209" spans="2:13" ht="18" customHeight="1" x14ac:dyDescent="0.4">
      <c r="B209" s="104"/>
      <c r="C209" s="231" t="s">
        <v>232</v>
      </c>
      <c r="D209" s="16" t="s">
        <v>47</v>
      </c>
      <c r="E209" s="11">
        <v>13</v>
      </c>
      <c r="F209" s="16">
        <v>20</v>
      </c>
      <c r="G209" s="9">
        <f t="shared" si="15"/>
        <v>0</v>
      </c>
      <c r="H209" s="9">
        <f t="shared" si="16"/>
        <v>0</v>
      </c>
      <c r="I209" s="178" t="s">
        <v>233</v>
      </c>
      <c r="J209" s="178"/>
      <c r="K209" s="178"/>
      <c r="L209" s="178"/>
      <c r="M209" s="179"/>
    </row>
    <row r="210" spans="2:13" ht="18" customHeight="1" x14ac:dyDescent="0.4">
      <c r="B210" s="104"/>
      <c r="C210" s="231"/>
      <c r="D210" s="16" t="s">
        <v>28</v>
      </c>
      <c r="E210" s="22">
        <v>1.3</v>
      </c>
      <c r="F210" s="16">
        <v>2</v>
      </c>
      <c r="G210" s="9">
        <f t="shared" si="15"/>
        <v>0</v>
      </c>
      <c r="H210" s="9">
        <f t="shared" si="16"/>
        <v>0</v>
      </c>
      <c r="I210" s="178"/>
      <c r="J210" s="178"/>
      <c r="K210" s="178"/>
      <c r="L210" s="178"/>
      <c r="M210" s="179"/>
    </row>
    <row r="211" spans="2:13" ht="18" customHeight="1" x14ac:dyDescent="0.4">
      <c r="B211" s="104"/>
      <c r="C211" s="231"/>
      <c r="D211" s="16" t="s">
        <v>27</v>
      </c>
      <c r="E211" s="22">
        <v>1.3</v>
      </c>
      <c r="F211" s="16">
        <v>2</v>
      </c>
      <c r="G211" s="9">
        <f t="shared" si="15"/>
        <v>0</v>
      </c>
      <c r="H211" s="9">
        <f t="shared" si="16"/>
        <v>0</v>
      </c>
      <c r="I211" s="178"/>
      <c r="J211" s="178"/>
      <c r="K211" s="178"/>
      <c r="L211" s="178"/>
      <c r="M211" s="179"/>
    </row>
    <row r="212" spans="2:13" ht="18" customHeight="1" x14ac:dyDescent="0.4">
      <c r="B212" s="104"/>
      <c r="C212" s="231"/>
      <c r="D212" s="16" t="s">
        <v>18</v>
      </c>
      <c r="E212" s="22">
        <v>0.65</v>
      </c>
      <c r="F212" s="16">
        <v>1</v>
      </c>
      <c r="G212" s="9">
        <f t="shared" si="15"/>
        <v>0</v>
      </c>
      <c r="H212" s="9">
        <f t="shared" si="16"/>
        <v>0</v>
      </c>
      <c r="I212" s="178"/>
      <c r="J212" s="178"/>
      <c r="K212" s="178"/>
      <c r="L212" s="178"/>
      <c r="M212" s="179"/>
    </row>
    <row r="213" spans="2:13" ht="18" customHeight="1" x14ac:dyDescent="0.4">
      <c r="B213" s="104"/>
      <c r="C213" s="231"/>
      <c r="D213" s="16" t="s">
        <v>15</v>
      </c>
      <c r="E213" s="22">
        <v>0.32500000000000001</v>
      </c>
      <c r="F213" s="16">
        <v>0.5</v>
      </c>
      <c r="G213" s="9">
        <f t="shared" si="15"/>
        <v>0</v>
      </c>
      <c r="H213" s="9">
        <f t="shared" si="16"/>
        <v>0</v>
      </c>
      <c r="I213" s="178"/>
      <c r="J213" s="178"/>
      <c r="K213" s="178"/>
      <c r="L213" s="178"/>
      <c r="M213" s="179"/>
    </row>
    <row r="214" spans="2:13" ht="18" customHeight="1" x14ac:dyDescent="0.4">
      <c r="B214" s="104"/>
      <c r="C214" s="231"/>
      <c r="D214" s="16" t="s">
        <v>127</v>
      </c>
      <c r="E214" s="22">
        <v>0.32500000000000001</v>
      </c>
      <c r="F214" s="16">
        <v>0.5</v>
      </c>
      <c r="G214" s="9">
        <f t="shared" si="15"/>
        <v>0</v>
      </c>
      <c r="H214" s="9">
        <f t="shared" si="16"/>
        <v>0</v>
      </c>
      <c r="I214" s="178"/>
      <c r="J214" s="178"/>
      <c r="K214" s="178"/>
      <c r="L214" s="178"/>
      <c r="M214" s="179"/>
    </row>
    <row r="215" spans="2:13" ht="18" customHeight="1" x14ac:dyDescent="0.4">
      <c r="B215" s="104"/>
      <c r="C215" s="231"/>
      <c r="D215" s="16" t="s">
        <v>24</v>
      </c>
      <c r="E215" s="22">
        <v>1.3</v>
      </c>
      <c r="F215" s="16">
        <v>2</v>
      </c>
      <c r="G215" s="9">
        <f t="shared" si="15"/>
        <v>0</v>
      </c>
      <c r="H215" s="9">
        <f t="shared" si="16"/>
        <v>0</v>
      </c>
      <c r="I215" s="178"/>
      <c r="J215" s="178"/>
      <c r="K215" s="178"/>
      <c r="L215" s="178"/>
      <c r="M215" s="179"/>
    </row>
    <row r="216" spans="2:13" ht="18" customHeight="1" x14ac:dyDescent="0.4">
      <c r="B216" s="104"/>
      <c r="C216" s="106" t="s">
        <v>234</v>
      </c>
      <c r="D216" s="50" t="s">
        <v>38</v>
      </c>
      <c r="E216" s="21">
        <f t="shared" ref="E216:E228" si="18">F216*0.65</f>
        <v>26</v>
      </c>
      <c r="F216" s="50">
        <v>40</v>
      </c>
      <c r="G216" s="9">
        <f t="shared" si="15"/>
        <v>0</v>
      </c>
      <c r="H216" s="9">
        <f t="shared" si="16"/>
        <v>0</v>
      </c>
      <c r="I216" s="199" t="s">
        <v>235</v>
      </c>
      <c r="J216" s="200"/>
      <c r="K216" s="200"/>
      <c r="L216" s="200"/>
      <c r="M216" s="201"/>
    </row>
    <row r="217" spans="2:13" ht="18" customHeight="1" x14ac:dyDescent="0.4">
      <c r="B217" s="104"/>
      <c r="C217" s="146"/>
      <c r="D217" s="50" t="s">
        <v>86</v>
      </c>
      <c r="E217" s="17">
        <f t="shared" si="18"/>
        <v>9.75</v>
      </c>
      <c r="F217" s="50">
        <v>15</v>
      </c>
      <c r="G217" s="9">
        <f t="shared" si="15"/>
        <v>0</v>
      </c>
      <c r="H217" s="9">
        <f t="shared" si="16"/>
        <v>0</v>
      </c>
      <c r="I217" s="202"/>
      <c r="J217" s="203"/>
      <c r="K217" s="203"/>
      <c r="L217" s="203"/>
      <c r="M217" s="204"/>
    </row>
    <row r="218" spans="2:13" ht="18" customHeight="1" x14ac:dyDescent="0.4">
      <c r="B218" s="104"/>
      <c r="C218" s="146"/>
      <c r="D218" s="50" t="s">
        <v>29</v>
      </c>
      <c r="E218" s="17">
        <f t="shared" si="18"/>
        <v>6.5</v>
      </c>
      <c r="F218" s="50">
        <v>10</v>
      </c>
      <c r="G218" s="9">
        <f t="shared" si="15"/>
        <v>0</v>
      </c>
      <c r="H218" s="9">
        <f t="shared" si="16"/>
        <v>0</v>
      </c>
      <c r="I218" s="202"/>
      <c r="J218" s="203"/>
      <c r="K218" s="203"/>
      <c r="L218" s="203"/>
      <c r="M218" s="204"/>
    </row>
    <row r="219" spans="2:13" ht="18" customHeight="1" x14ac:dyDescent="0.4">
      <c r="B219" s="104"/>
      <c r="C219" s="146"/>
      <c r="D219" s="50" t="s">
        <v>21</v>
      </c>
      <c r="E219" s="17">
        <f t="shared" si="18"/>
        <v>3.25</v>
      </c>
      <c r="F219" s="50">
        <v>5</v>
      </c>
      <c r="G219" s="9">
        <f t="shared" si="15"/>
        <v>0</v>
      </c>
      <c r="H219" s="9">
        <f t="shared" si="16"/>
        <v>0</v>
      </c>
      <c r="I219" s="202"/>
      <c r="J219" s="203"/>
      <c r="K219" s="203"/>
      <c r="L219" s="203"/>
      <c r="M219" s="204"/>
    </row>
    <row r="220" spans="2:13" ht="18" customHeight="1" x14ac:dyDescent="0.4">
      <c r="B220" s="104"/>
      <c r="C220" s="146"/>
      <c r="D220" s="50" t="s">
        <v>46</v>
      </c>
      <c r="E220" s="17">
        <f t="shared" si="18"/>
        <v>3.25</v>
      </c>
      <c r="F220" s="50">
        <v>5</v>
      </c>
      <c r="G220" s="9">
        <f t="shared" si="15"/>
        <v>0</v>
      </c>
      <c r="H220" s="9">
        <f t="shared" si="16"/>
        <v>0</v>
      </c>
      <c r="I220" s="202"/>
      <c r="J220" s="203"/>
      <c r="K220" s="203"/>
      <c r="L220" s="203"/>
      <c r="M220" s="204"/>
    </row>
    <row r="221" spans="2:13" ht="18" customHeight="1" x14ac:dyDescent="0.4">
      <c r="B221" s="104"/>
      <c r="C221" s="146"/>
      <c r="D221" s="50" t="s">
        <v>15</v>
      </c>
      <c r="E221" s="17">
        <f t="shared" si="18"/>
        <v>0.32500000000000001</v>
      </c>
      <c r="F221" s="50">
        <v>0.5</v>
      </c>
      <c r="G221" s="9">
        <f t="shared" si="15"/>
        <v>0</v>
      </c>
      <c r="H221" s="9">
        <f t="shared" si="16"/>
        <v>0</v>
      </c>
      <c r="I221" s="202"/>
      <c r="J221" s="203"/>
      <c r="K221" s="203"/>
      <c r="L221" s="203"/>
      <c r="M221" s="204"/>
    </row>
    <row r="222" spans="2:13" ht="18" customHeight="1" x14ac:dyDescent="0.4">
      <c r="B222" s="104"/>
      <c r="C222" s="146"/>
      <c r="D222" s="50" t="s">
        <v>36</v>
      </c>
      <c r="E222" s="17">
        <f t="shared" si="18"/>
        <v>6.5000000000000002E-2</v>
      </c>
      <c r="F222" s="50">
        <v>0.1</v>
      </c>
      <c r="G222" s="9">
        <f t="shared" si="15"/>
        <v>0</v>
      </c>
      <c r="H222" s="9">
        <f t="shared" si="16"/>
        <v>0</v>
      </c>
      <c r="I222" s="202"/>
      <c r="J222" s="203"/>
      <c r="K222" s="203"/>
      <c r="L222" s="203"/>
      <c r="M222" s="204"/>
    </row>
    <row r="223" spans="2:13" ht="18" customHeight="1" x14ac:dyDescent="0.4">
      <c r="B223" s="104"/>
      <c r="C223" s="146"/>
      <c r="D223" s="50" t="s">
        <v>20</v>
      </c>
      <c r="E223" s="17">
        <f t="shared" si="18"/>
        <v>1.3</v>
      </c>
      <c r="F223" s="50">
        <v>2</v>
      </c>
      <c r="G223" s="9">
        <f t="shared" si="15"/>
        <v>0</v>
      </c>
      <c r="H223" s="9">
        <f t="shared" si="16"/>
        <v>0</v>
      </c>
      <c r="I223" s="202"/>
      <c r="J223" s="203"/>
      <c r="K223" s="203"/>
      <c r="L223" s="203"/>
      <c r="M223" s="204"/>
    </row>
    <row r="224" spans="2:13" ht="18" customHeight="1" x14ac:dyDescent="0.4">
      <c r="B224" s="104"/>
      <c r="C224" s="146"/>
      <c r="D224" s="50" t="s">
        <v>34</v>
      </c>
      <c r="E224" s="17">
        <f t="shared" si="18"/>
        <v>1.3</v>
      </c>
      <c r="F224" s="50">
        <v>2</v>
      </c>
      <c r="G224" s="9">
        <f t="shared" si="15"/>
        <v>0</v>
      </c>
      <c r="H224" s="9">
        <f t="shared" si="16"/>
        <v>0</v>
      </c>
      <c r="I224" s="202"/>
      <c r="J224" s="203"/>
      <c r="K224" s="203"/>
      <c r="L224" s="203"/>
      <c r="M224" s="204"/>
    </row>
    <row r="225" spans="2:13" ht="18" customHeight="1" x14ac:dyDescent="0.4">
      <c r="B225" s="104"/>
      <c r="C225" s="146"/>
      <c r="D225" s="50" t="s">
        <v>18</v>
      </c>
      <c r="E225" s="21">
        <f t="shared" si="18"/>
        <v>1.9500000000000002</v>
      </c>
      <c r="F225" s="50">
        <v>3</v>
      </c>
      <c r="G225" s="9">
        <f t="shared" si="15"/>
        <v>0</v>
      </c>
      <c r="H225" s="9">
        <f t="shared" si="16"/>
        <v>0</v>
      </c>
      <c r="I225" s="202"/>
      <c r="J225" s="203"/>
      <c r="K225" s="203"/>
      <c r="L225" s="203"/>
      <c r="M225" s="204"/>
    </row>
    <row r="226" spans="2:13" ht="18" customHeight="1" x14ac:dyDescent="0.4">
      <c r="B226" s="104"/>
      <c r="C226" s="146"/>
      <c r="D226" s="50" t="s">
        <v>30</v>
      </c>
      <c r="E226" s="17">
        <f t="shared" si="18"/>
        <v>6.5</v>
      </c>
      <c r="F226" s="50">
        <v>10</v>
      </c>
      <c r="G226" s="9">
        <f t="shared" si="15"/>
        <v>0</v>
      </c>
      <c r="H226" s="9">
        <f t="shared" si="16"/>
        <v>0</v>
      </c>
      <c r="I226" s="202"/>
      <c r="J226" s="203"/>
      <c r="K226" s="203"/>
      <c r="L226" s="203"/>
      <c r="M226" s="204"/>
    </row>
    <row r="227" spans="2:13" ht="18" customHeight="1" x14ac:dyDescent="0.4">
      <c r="B227" s="104"/>
      <c r="C227" s="146"/>
      <c r="D227" s="50" t="s">
        <v>19</v>
      </c>
      <c r="E227" s="17">
        <f t="shared" si="18"/>
        <v>6.5</v>
      </c>
      <c r="F227" s="50">
        <v>10</v>
      </c>
      <c r="G227" s="9">
        <f t="shared" si="15"/>
        <v>0</v>
      </c>
      <c r="H227" s="9">
        <f t="shared" si="16"/>
        <v>0</v>
      </c>
      <c r="I227" s="205"/>
      <c r="J227" s="206"/>
      <c r="K227" s="206"/>
      <c r="L227" s="206"/>
      <c r="M227" s="207"/>
    </row>
    <row r="228" spans="2:13" ht="18" customHeight="1" thickBot="1" x14ac:dyDescent="0.45">
      <c r="B228" s="229"/>
      <c r="C228" s="61" t="s">
        <v>135</v>
      </c>
      <c r="D228" s="59" t="s">
        <v>136</v>
      </c>
      <c r="E228" s="62">
        <f t="shared" si="18"/>
        <v>13</v>
      </c>
      <c r="F228" s="27">
        <v>20</v>
      </c>
      <c r="G228" s="29">
        <f t="shared" si="15"/>
        <v>0</v>
      </c>
      <c r="H228" s="29">
        <f t="shared" si="16"/>
        <v>0</v>
      </c>
      <c r="I228" s="232" t="s">
        <v>115</v>
      </c>
      <c r="J228" s="233"/>
      <c r="K228" s="233"/>
      <c r="L228" s="233"/>
      <c r="M228" s="234"/>
    </row>
    <row r="229" spans="2:13" ht="80.099999999999994" customHeight="1" thickTop="1" x14ac:dyDescent="0.4"/>
  </sheetData>
  <mergeCells count="132">
    <mergeCell ref="I196:M197"/>
    <mergeCell ref="I198:M198"/>
    <mergeCell ref="B199:B228"/>
    <mergeCell ref="C199:C208"/>
    <mergeCell ref="I199:M208"/>
    <mergeCell ref="C209:C215"/>
    <mergeCell ref="I209:M215"/>
    <mergeCell ref="C216:C227"/>
    <mergeCell ref="I216:M227"/>
    <mergeCell ref="I228:M228"/>
    <mergeCell ref="B196:B197"/>
    <mergeCell ref="C196:C197"/>
    <mergeCell ref="D196:D197"/>
    <mergeCell ref="E196:F196"/>
    <mergeCell ref="G196:H196"/>
    <mergeCell ref="B191:B192"/>
    <mergeCell ref="I191:M191"/>
    <mergeCell ref="I192:M192"/>
    <mergeCell ref="B193:M193"/>
    <mergeCell ref="B195:M195"/>
    <mergeCell ref="I163:M164"/>
    <mergeCell ref="I165:M165"/>
    <mergeCell ref="B166:B190"/>
    <mergeCell ref="C166:C167"/>
    <mergeCell ref="I166:M167"/>
    <mergeCell ref="C168:C176"/>
    <mergeCell ref="I168:M176"/>
    <mergeCell ref="C177:C183"/>
    <mergeCell ref="I177:M183"/>
    <mergeCell ref="C184:C189"/>
    <mergeCell ref="I184:M189"/>
    <mergeCell ref="I190:M190"/>
    <mergeCell ref="B163:B164"/>
    <mergeCell ref="C163:C164"/>
    <mergeCell ref="D163:D164"/>
    <mergeCell ref="E163:F163"/>
    <mergeCell ref="G163:H163"/>
    <mergeCell ref="B158:B159"/>
    <mergeCell ref="I158:M158"/>
    <mergeCell ref="I159:M159"/>
    <mergeCell ref="B160:M160"/>
    <mergeCell ref="B162:M162"/>
    <mergeCell ref="I126:M127"/>
    <mergeCell ref="B128:B136"/>
    <mergeCell ref="C128:C136"/>
    <mergeCell ref="I128:M136"/>
    <mergeCell ref="B137:B157"/>
    <mergeCell ref="I137:M137"/>
    <mergeCell ref="C138:C145"/>
    <mergeCell ref="I138:M145"/>
    <mergeCell ref="C146:C150"/>
    <mergeCell ref="I146:M150"/>
    <mergeCell ref="C151:C156"/>
    <mergeCell ref="I151:M156"/>
    <mergeCell ref="I157:M157"/>
    <mergeCell ref="B126:B127"/>
    <mergeCell ref="C126:C127"/>
    <mergeCell ref="D126:D127"/>
    <mergeCell ref="E126:F126"/>
    <mergeCell ref="G126:H126"/>
    <mergeCell ref="B112:B122"/>
    <mergeCell ref="C112:C122"/>
    <mergeCell ref="I112:M122"/>
    <mergeCell ref="B123:M123"/>
    <mergeCell ref="B125:M125"/>
    <mergeCell ref="I88:M89"/>
    <mergeCell ref="I90:M90"/>
    <mergeCell ref="B91:B111"/>
    <mergeCell ref="C91:C97"/>
    <mergeCell ref="I91:M97"/>
    <mergeCell ref="C98:C103"/>
    <mergeCell ref="I98:M103"/>
    <mergeCell ref="C104:C110"/>
    <mergeCell ref="I104:M110"/>
    <mergeCell ref="I111:M111"/>
    <mergeCell ref="B88:B89"/>
    <mergeCell ref="C88:C89"/>
    <mergeCell ref="D88:D89"/>
    <mergeCell ref="E88:F88"/>
    <mergeCell ref="G88:H88"/>
    <mergeCell ref="B74:B84"/>
    <mergeCell ref="C74:C84"/>
    <mergeCell ref="I74:M84"/>
    <mergeCell ref="B85:M85"/>
    <mergeCell ref="B87:M87"/>
    <mergeCell ref="B46:B48"/>
    <mergeCell ref="I46:M46"/>
    <mergeCell ref="I47:M47"/>
    <mergeCell ref="I48:M48"/>
    <mergeCell ref="B49:B73"/>
    <mergeCell ref="C49:C50"/>
    <mergeCell ref="I49:M50"/>
    <mergeCell ref="C51:C56"/>
    <mergeCell ref="I51:M56"/>
    <mergeCell ref="C57:C66"/>
    <mergeCell ref="I57:M66"/>
    <mergeCell ref="C67:C72"/>
    <mergeCell ref="I67:M72"/>
    <mergeCell ref="I73:M73"/>
    <mergeCell ref="B43:M43"/>
    <mergeCell ref="B44:B45"/>
    <mergeCell ref="C44:C45"/>
    <mergeCell ref="D44:D45"/>
    <mergeCell ref="E44:F44"/>
    <mergeCell ref="G44:H44"/>
    <mergeCell ref="I44:M45"/>
    <mergeCell ref="I32:M32"/>
    <mergeCell ref="B33:B40"/>
    <mergeCell ref="C33:C40"/>
    <mergeCell ref="I33:M40"/>
    <mergeCell ref="B41:M41"/>
    <mergeCell ref="C2:C3"/>
    <mergeCell ref="F2:M3"/>
    <mergeCell ref="B4:M6"/>
    <mergeCell ref="B7:M7"/>
    <mergeCell ref="B8:B9"/>
    <mergeCell ref="C8:C9"/>
    <mergeCell ref="D8:D9"/>
    <mergeCell ref="E8:F8"/>
    <mergeCell ref="G8:H8"/>
    <mergeCell ref="I8:M9"/>
    <mergeCell ref="I10:M10"/>
    <mergeCell ref="I11:M11"/>
    <mergeCell ref="B10:B11"/>
    <mergeCell ref="B12:B32"/>
    <mergeCell ref="I12:M12"/>
    <mergeCell ref="C13:C20"/>
    <mergeCell ref="I13:M20"/>
    <mergeCell ref="C21:C25"/>
    <mergeCell ref="I21:M25"/>
    <mergeCell ref="C26:C31"/>
    <mergeCell ref="I26:M31"/>
  </mergeCells>
  <phoneticPr fontId="2" type="noConversion"/>
  <pageMargins left="0.25" right="0.25" top="0.75" bottom="0.75" header="0.3" footer="0.3"/>
  <rowBreaks count="5" manualBreakCount="5">
    <brk id="41" min="1" max="12" man="1"/>
    <brk id="83" min="1" max="12" man="1"/>
    <brk id="116" min="1" max="12" man="1"/>
    <brk id="152" min="1" max="12" man="1"/>
    <brk id="186" min="1" max="12" man="1"/>
  </row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C12C5-6D1B-4D42-AA6C-89DF8F3EBBA6}">
  <sheetPr>
    <pageSetUpPr fitToPage="1"/>
  </sheetPr>
  <dimension ref="A1:M209"/>
  <sheetViews>
    <sheetView zoomScaleNormal="100" zoomScaleSheetLayoutView="70" workbookViewId="0">
      <selection activeCell="O191" sqref="O191"/>
    </sheetView>
  </sheetViews>
  <sheetFormatPr defaultColWidth="9" defaultRowHeight="17.399999999999999" x14ac:dyDescent="0.4"/>
  <cols>
    <col min="1" max="1" width="4.8984375" customWidth="1"/>
    <col min="2" max="2" width="9" style="1"/>
    <col min="3" max="3" width="18.59765625" style="1" customWidth="1"/>
    <col min="4" max="4" width="11.59765625" style="1" customWidth="1"/>
    <col min="5" max="12" width="9" style="1"/>
    <col min="13" max="13" width="9" style="1" customWidth="1"/>
  </cols>
  <sheetData>
    <row r="1" spans="2:13" ht="18" thickBot="1" x14ac:dyDescent="0.45"/>
    <row r="2" spans="2:13" ht="18" customHeight="1" thickTop="1" thickBot="1" x14ac:dyDescent="0.45">
      <c r="C2" s="128" t="s">
        <v>0</v>
      </c>
      <c r="D2" s="3" t="s">
        <v>1</v>
      </c>
      <c r="E2" s="4"/>
      <c r="F2" s="130" t="s">
        <v>109</v>
      </c>
      <c r="G2" s="131"/>
      <c r="H2" s="131"/>
      <c r="I2" s="131"/>
      <c r="J2" s="131"/>
      <c r="K2" s="131"/>
      <c r="L2" s="131"/>
      <c r="M2" s="131"/>
    </row>
    <row r="3" spans="2:13" ht="18" customHeight="1" thickTop="1" thickBot="1" x14ac:dyDescent="0.45">
      <c r="C3" s="129"/>
      <c r="D3" s="3" t="s">
        <v>2</v>
      </c>
      <c r="E3" s="2"/>
      <c r="F3" s="130"/>
      <c r="G3" s="131"/>
      <c r="H3" s="131"/>
      <c r="I3" s="131"/>
      <c r="J3" s="131"/>
      <c r="K3" s="131"/>
      <c r="L3" s="131"/>
      <c r="M3" s="131"/>
    </row>
    <row r="4" spans="2:13" ht="34.5" customHeight="1" thickTop="1" x14ac:dyDescent="0.4">
      <c r="B4" s="132" t="s">
        <v>98</v>
      </c>
      <c r="C4" s="132"/>
      <c r="D4" s="132"/>
      <c r="E4" s="132"/>
      <c r="F4" s="132"/>
      <c r="G4" s="132"/>
      <c r="H4" s="132"/>
      <c r="I4" s="132"/>
      <c r="J4" s="132"/>
      <c r="K4" s="132"/>
      <c r="L4" s="132"/>
      <c r="M4" s="132"/>
    </row>
    <row r="5" spans="2:13" ht="16.5" customHeight="1" x14ac:dyDescent="0.4"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</row>
    <row r="6" spans="2:13" ht="16.5" customHeight="1" thickBot="1" x14ac:dyDescent="0.45">
      <c r="B6" s="133"/>
      <c r="C6" s="133"/>
      <c r="D6" s="133"/>
      <c r="E6" s="133"/>
      <c r="F6" s="133"/>
      <c r="G6" s="133"/>
      <c r="H6" s="133"/>
      <c r="I6" s="133"/>
      <c r="J6" s="133"/>
      <c r="K6" s="133"/>
      <c r="L6" s="133"/>
      <c r="M6" s="133"/>
    </row>
    <row r="7" spans="2:13" ht="21" customHeight="1" thickTop="1" x14ac:dyDescent="0.4">
      <c r="B7" s="134" t="s">
        <v>236</v>
      </c>
      <c r="C7" s="135"/>
      <c r="D7" s="135"/>
      <c r="E7" s="135"/>
      <c r="F7" s="135"/>
      <c r="G7" s="135"/>
      <c r="H7" s="135"/>
      <c r="I7" s="135"/>
      <c r="J7" s="135"/>
      <c r="K7" s="135"/>
      <c r="L7" s="135"/>
      <c r="M7" s="136"/>
    </row>
    <row r="8" spans="2:13" ht="18" customHeight="1" x14ac:dyDescent="0.4">
      <c r="B8" s="137" t="s">
        <v>3</v>
      </c>
      <c r="C8" s="138" t="s">
        <v>4</v>
      </c>
      <c r="D8" s="138" t="s">
        <v>5</v>
      </c>
      <c r="E8" s="138" t="s">
        <v>6</v>
      </c>
      <c r="F8" s="138"/>
      <c r="G8" s="138" t="s">
        <v>7</v>
      </c>
      <c r="H8" s="138"/>
      <c r="I8" s="138" t="s">
        <v>8</v>
      </c>
      <c r="J8" s="138"/>
      <c r="K8" s="138"/>
      <c r="L8" s="138"/>
      <c r="M8" s="139"/>
    </row>
    <row r="9" spans="2:13" ht="18" customHeight="1" x14ac:dyDescent="0.4">
      <c r="B9" s="137"/>
      <c r="C9" s="138"/>
      <c r="D9" s="138"/>
      <c r="E9" s="5" t="s">
        <v>1</v>
      </c>
      <c r="F9" s="5" t="s">
        <v>2</v>
      </c>
      <c r="G9" s="6" t="s">
        <v>1</v>
      </c>
      <c r="H9" s="7" t="s">
        <v>2</v>
      </c>
      <c r="I9" s="138"/>
      <c r="J9" s="138"/>
      <c r="K9" s="138"/>
      <c r="L9" s="138"/>
      <c r="M9" s="139"/>
    </row>
    <row r="10" spans="2:13" ht="18" customHeight="1" x14ac:dyDescent="0.4">
      <c r="B10" s="8" t="s">
        <v>9</v>
      </c>
      <c r="C10" s="9" t="s">
        <v>237</v>
      </c>
      <c r="D10" s="9" t="s">
        <v>237</v>
      </c>
      <c r="E10" s="22">
        <f t="shared" ref="E10:E38" si="0">F10*0.65</f>
        <v>32.5</v>
      </c>
      <c r="F10" s="9">
        <v>50</v>
      </c>
      <c r="G10" s="9">
        <f t="shared" ref="G10:G39" si="1">E10*E$2</f>
        <v>0</v>
      </c>
      <c r="H10" s="9">
        <f t="shared" ref="H10:H39" si="2">F10*E$3</f>
        <v>0</v>
      </c>
      <c r="I10" s="163" t="s">
        <v>238</v>
      </c>
      <c r="J10" s="164"/>
      <c r="K10" s="164"/>
      <c r="L10" s="164"/>
      <c r="M10" s="165"/>
    </row>
    <row r="11" spans="2:13" ht="18" customHeight="1" x14ac:dyDescent="0.4">
      <c r="B11" s="104" t="s">
        <v>10</v>
      </c>
      <c r="C11" s="16" t="s">
        <v>122</v>
      </c>
      <c r="D11" s="16" t="s">
        <v>123</v>
      </c>
      <c r="E11" s="17">
        <f t="shared" si="0"/>
        <v>35.75</v>
      </c>
      <c r="F11" s="15">
        <v>55</v>
      </c>
      <c r="G11" s="9">
        <f t="shared" si="1"/>
        <v>0</v>
      </c>
      <c r="H11" s="9">
        <f t="shared" si="2"/>
        <v>0</v>
      </c>
      <c r="I11" s="105" t="s">
        <v>124</v>
      </c>
      <c r="J11" s="97"/>
      <c r="K11" s="97"/>
      <c r="L11" s="97"/>
      <c r="M11" s="98"/>
    </row>
    <row r="12" spans="2:13" ht="18" customHeight="1" x14ac:dyDescent="0.4">
      <c r="B12" s="104"/>
      <c r="C12" s="263" t="s">
        <v>239</v>
      </c>
      <c r="D12" s="19" t="s">
        <v>49</v>
      </c>
      <c r="E12" s="11">
        <f t="shared" si="0"/>
        <v>13</v>
      </c>
      <c r="F12" s="15">
        <v>20</v>
      </c>
      <c r="G12" s="9">
        <f t="shared" si="1"/>
        <v>0</v>
      </c>
      <c r="H12" s="9">
        <f t="shared" si="2"/>
        <v>0</v>
      </c>
      <c r="I12" s="109" t="s">
        <v>240</v>
      </c>
      <c r="J12" s="110"/>
      <c r="K12" s="110"/>
      <c r="L12" s="110"/>
      <c r="M12" s="111"/>
    </row>
    <row r="13" spans="2:13" ht="18" customHeight="1" x14ac:dyDescent="0.4">
      <c r="B13" s="104"/>
      <c r="C13" s="263"/>
      <c r="D13" s="19" t="s">
        <v>27</v>
      </c>
      <c r="E13" s="22">
        <f t="shared" si="0"/>
        <v>1.3</v>
      </c>
      <c r="F13" s="15">
        <v>2</v>
      </c>
      <c r="G13" s="9">
        <f t="shared" si="1"/>
        <v>0</v>
      </c>
      <c r="H13" s="9">
        <f t="shared" si="2"/>
        <v>0</v>
      </c>
      <c r="I13" s="112"/>
      <c r="J13" s="113"/>
      <c r="K13" s="113"/>
      <c r="L13" s="113"/>
      <c r="M13" s="114"/>
    </row>
    <row r="14" spans="2:13" ht="18" customHeight="1" x14ac:dyDescent="0.4">
      <c r="B14" s="104"/>
      <c r="C14" s="263"/>
      <c r="D14" s="19" t="s">
        <v>28</v>
      </c>
      <c r="E14" s="22">
        <f t="shared" si="0"/>
        <v>1.3</v>
      </c>
      <c r="F14" s="15">
        <v>2</v>
      </c>
      <c r="G14" s="9">
        <f t="shared" si="1"/>
        <v>0</v>
      </c>
      <c r="H14" s="9">
        <f t="shared" si="2"/>
        <v>0</v>
      </c>
      <c r="I14" s="112"/>
      <c r="J14" s="113"/>
      <c r="K14" s="113"/>
      <c r="L14" s="113"/>
      <c r="M14" s="114"/>
    </row>
    <row r="15" spans="2:13" ht="18" customHeight="1" x14ac:dyDescent="0.4">
      <c r="B15" s="104"/>
      <c r="C15" s="263"/>
      <c r="D15" s="19" t="s">
        <v>159</v>
      </c>
      <c r="E15" s="22">
        <f t="shared" si="0"/>
        <v>0.32500000000000001</v>
      </c>
      <c r="F15" s="15">
        <v>0.5</v>
      </c>
      <c r="G15" s="9">
        <f t="shared" si="1"/>
        <v>0</v>
      </c>
      <c r="H15" s="9">
        <f t="shared" si="2"/>
        <v>0</v>
      </c>
      <c r="I15" s="112"/>
      <c r="J15" s="113"/>
      <c r="K15" s="113"/>
      <c r="L15" s="113"/>
      <c r="M15" s="114"/>
    </row>
    <row r="16" spans="2:13" ht="18" customHeight="1" x14ac:dyDescent="0.4">
      <c r="B16" s="104"/>
      <c r="C16" s="263"/>
      <c r="D16" s="19" t="s">
        <v>127</v>
      </c>
      <c r="E16" s="22">
        <f t="shared" si="0"/>
        <v>0.32500000000000001</v>
      </c>
      <c r="F16" s="15">
        <v>0.5</v>
      </c>
      <c r="G16" s="9">
        <f t="shared" si="1"/>
        <v>0</v>
      </c>
      <c r="H16" s="9">
        <f t="shared" si="2"/>
        <v>0</v>
      </c>
      <c r="I16" s="112"/>
      <c r="J16" s="113"/>
      <c r="K16" s="113"/>
      <c r="L16" s="113"/>
      <c r="M16" s="114"/>
    </row>
    <row r="17" spans="2:13" ht="18" customHeight="1" x14ac:dyDescent="0.4">
      <c r="B17" s="104"/>
      <c r="C17" s="264"/>
      <c r="D17" s="19" t="s">
        <v>158</v>
      </c>
      <c r="E17" s="22">
        <f t="shared" si="0"/>
        <v>0.65</v>
      </c>
      <c r="F17" s="15">
        <v>1</v>
      </c>
      <c r="G17" s="9">
        <f t="shared" si="1"/>
        <v>0</v>
      </c>
      <c r="H17" s="9">
        <f t="shared" si="2"/>
        <v>0</v>
      </c>
      <c r="I17" s="115"/>
      <c r="J17" s="116"/>
      <c r="K17" s="116"/>
      <c r="L17" s="116"/>
      <c r="M17" s="117"/>
    </row>
    <row r="18" spans="2:13" ht="18" customHeight="1" x14ac:dyDescent="0.4">
      <c r="B18" s="104"/>
      <c r="C18" s="186" t="s">
        <v>241</v>
      </c>
      <c r="D18" s="16" t="s">
        <v>38</v>
      </c>
      <c r="E18" s="21">
        <f t="shared" si="0"/>
        <v>26</v>
      </c>
      <c r="F18" s="15">
        <v>40</v>
      </c>
      <c r="G18" s="9">
        <f t="shared" si="1"/>
        <v>0</v>
      </c>
      <c r="H18" s="9">
        <f t="shared" si="2"/>
        <v>0</v>
      </c>
      <c r="I18" s="120" t="s">
        <v>242</v>
      </c>
      <c r="J18" s="121"/>
      <c r="K18" s="121"/>
      <c r="L18" s="121"/>
      <c r="M18" s="122"/>
    </row>
    <row r="19" spans="2:13" ht="18" customHeight="1" x14ac:dyDescent="0.4">
      <c r="B19" s="104"/>
      <c r="C19" s="261"/>
      <c r="D19" s="16" t="s">
        <v>21</v>
      </c>
      <c r="E19" s="17">
        <f t="shared" si="0"/>
        <v>3.25</v>
      </c>
      <c r="F19" s="15">
        <v>5</v>
      </c>
      <c r="G19" s="9">
        <f t="shared" si="1"/>
        <v>0</v>
      </c>
      <c r="H19" s="9">
        <f t="shared" si="2"/>
        <v>0</v>
      </c>
      <c r="I19" s="123"/>
      <c r="J19" s="124"/>
      <c r="K19" s="124"/>
      <c r="L19" s="124"/>
      <c r="M19" s="125"/>
    </row>
    <row r="20" spans="2:13" ht="18" customHeight="1" x14ac:dyDescent="0.4">
      <c r="B20" s="104"/>
      <c r="C20" s="261"/>
      <c r="D20" s="16" t="s">
        <v>22</v>
      </c>
      <c r="E20" s="9">
        <f t="shared" si="0"/>
        <v>6.5</v>
      </c>
      <c r="F20" s="15">
        <v>10</v>
      </c>
      <c r="G20" s="9">
        <f t="shared" si="1"/>
        <v>0</v>
      </c>
      <c r="H20" s="9">
        <f t="shared" si="2"/>
        <v>0</v>
      </c>
      <c r="I20" s="123"/>
      <c r="J20" s="124"/>
      <c r="K20" s="124"/>
      <c r="L20" s="124"/>
      <c r="M20" s="125"/>
    </row>
    <row r="21" spans="2:13" ht="18" customHeight="1" x14ac:dyDescent="0.4">
      <c r="B21" s="104"/>
      <c r="C21" s="261"/>
      <c r="D21" s="16" t="s">
        <v>158</v>
      </c>
      <c r="E21" s="23">
        <f t="shared" si="0"/>
        <v>0.65</v>
      </c>
      <c r="F21" s="15">
        <v>1</v>
      </c>
      <c r="G21" s="9">
        <f t="shared" si="1"/>
        <v>0</v>
      </c>
      <c r="H21" s="9">
        <f t="shared" si="2"/>
        <v>0</v>
      </c>
      <c r="I21" s="123"/>
      <c r="J21" s="124"/>
      <c r="K21" s="124"/>
      <c r="L21" s="124"/>
      <c r="M21" s="125"/>
    </row>
    <row r="22" spans="2:13" ht="18" customHeight="1" x14ac:dyDescent="0.4">
      <c r="B22" s="104"/>
      <c r="C22" s="261"/>
      <c r="D22" s="16" t="s">
        <v>127</v>
      </c>
      <c r="E22" s="23">
        <f t="shared" si="0"/>
        <v>0.32500000000000001</v>
      </c>
      <c r="F22" s="15">
        <v>0.5</v>
      </c>
      <c r="G22" s="9">
        <f t="shared" si="1"/>
        <v>0</v>
      </c>
      <c r="H22" s="9">
        <f t="shared" si="2"/>
        <v>0</v>
      </c>
      <c r="I22" s="123"/>
      <c r="J22" s="124"/>
      <c r="K22" s="124"/>
      <c r="L22" s="124"/>
      <c r="M22" s="125"/>
    </row>
    <row r="23" spans="2:13" ht="18" customHeight="1" x14ac:dyDescent="0.4">
      <c r="B23" s="104"/>
      <c r="C23" s="261"/>
      <c r="D23" s="16" t="s">
        <v>18</v>
      </c>
      <c r="E23" s="23">
        <f t="shared" si="0"/>
        <v>3.25</v>
      </c>
      <c r="F23" s="15">
        <v>5</v>
      </c>
      <c r="G23" s="9">
        <f t="shared" si="1"/>
        <v>0</v>
      </c>
      <c r="H23" s="9">
        <f t="shared" si="2"/>
        <v>0</v>
      </c>
      <c r="I23" s="123"/>
      <c r="J23" s="124"/>
      <c r="K23" s="124"/>
      <c r="L23" s="124"/>
      <c r="M23" s="125"/>
    </row>
    <row r="24" spans="2:13" ht="18" customHeight="1" x14ac:dyDescent="0.4">
      <c r="B24" s="104"/>
      <c r="C24" s="261"/>
      <c r="D24" s="16" t="s">
        <v>243</v>
      </c>
      <c r="E24" s="26">
        <f t="shared" si="0"/>
        <v>1.9500000000000002</v>
      </c>
      <c r="F24" s="15">
        <v>3</v>
      </c>
      <c r="G24" s="9">
        <f t="shared" si="1"/>
        <v>0</v>
      </c>
      <c r="H24" s="9">
        <f t="shared" si="2"/>
        <v>0</v>
      </c>
      <c r="I24" s="123"/>
      <c r="J24" s="124"/>
      <c r="K24" s="124"/>
      <c r="L24" s="124"/>
      <c r="M24" s="125"/>
    </row>
    <row r="25" spans="2:13" ht="18" customHeight="1" x14ac:dyDescent="0.4">
      <c r="B25" s="104"/>
      <c r="C25" s="261"/>
      <c r="D25" s="16" t="s">
        <v>13</v>
      </c>
      <c r="E25" s="23">
        <f t="shared" si="0"/>
        <v>0.13</v>
      </c>
      <c r="F25" s="15">
        <v>0.2</v>
      </c>
      <c r="G25" s="9">
        <f t="shared" si="1"/>
        <v>0</v>
      </c>
      <c r="H25" s="9">
        <f t="shared" si="2"/>
        <v>0</v>
      </c>
      <c r="I25" s="123"/>
      <c r="J25" s="124"/>
      <c r="K25" s="124"/>
      <c r="L25" s="124"/>
      <c r="M25" s="125"/>
    </row>
    <row r="26" spans="2:13" ht="18" customHeight="1" x14ac:dyDescent="0.4">
      <c r="B26" s="104"/>
      <c r="C26" s="265"/>
      <c r="D26" s="16" t="s">
        <v>19</v>
      </c>
      <c r="E26" s="9">
        <f t="shared" si="0"/>
        <v>1.3</v>
      </c>
      <c r="F26" s="15">
        <v>2</v>
      </c>
      <c r="G26" s="9">
        <f t="shared" si="1"/>
        <v>0</v>
      </c>
      <c r="H26" s="9">
        <f t="shared" si="2"/>
        <v>0</v>
      </c>
      <c r="I26" s="173"/>
      <c r="J26" s="174"/>
      <c r="K26" s="174"/>
      <c r="L26" s="174"/>
      <c r="M26" s="175"/>
    </row>
    <row r="27" spans="2:13" ht="18" customHeight="1" x14ac:dyDescent="0.4">
      <c r="B27" s="104"/>
      <c r="C27" s="231" t="s">
        <v>244</v>
      </c>
      <c r="D27" s="16" t="s">
        <v>39</v>
      </c>
      <c r="E27" s="17">
        <f t="shared" si="0"/>
        <v>16.25</v>
      </c>
      <c r="F27" s="16">
        <v>25</v>
      </c>
      <c r="G27" s="9">
        <f t="shared" si="1"/>
        <v>0</v>
      </c>
      <c r="H27" s="9">
        <f t="shared" si="2"/>
        <v>0</v>
      </c>
      <c r="I27" s="148" t="s">
        <v>245</v>
      </c>
      <c r="J27" s="148"/>
      <c r="K27" s="148"/>
      <c r="L27" s="148"/>
      <c r="M27" s="149"/>
    </row>
    <row r="28" spans="2:13" ht="18" customHeight="1" x14ac:dyDescent="0.4">
      <c r="B28" s="104"/>
      <c r="C28" s="231"/>
      <c r="D28" s="16" t="s">
        <v>21</v>
      </c>
      <c r="E28" s="17">
        <f t="shared" si="0"/>
        <v>6.5</v>
      </c>
      <c r="F28" s="16">
        <v>10</v>
      </c>
      <c r="G28" s="9">
        <f t="shared" si="1"/>
        <v>0</v>
      </c>
      <c r="H28" s="9">
        <f t="shared" si="2"/>
        <v>0</v>
      </c>
      <c r="I28" s="148"/>
      <c r="J28" s="148"/>
      <c r="K28" s="148"/>
      <c r="L28" s="148"/>
      <c r="M28" s="149"/>
    </row>
    <row r="29" spans="2:13" ht="18" customHeight="1" x14ac:dyDescent="0.4">
      <c r="B29" s="104"/>
      <c r="C29" s="231"/>
      <c r="D29" s="16" t="s">
        <v>22</v>
      </c>
      <c r="E29" s="17">
        <f t="shared" si="0"/>
        <v>3.25</v>
      </c>
      <c r="F29" s="16">
        <v>5</v>
      </c>
      <c r="G29" s="9">
        <f t="shared" si="1"/>
        <v>0</v>
      </c>
      <c r="H29" s="9">
        <f t="shared" si="2"/>
        <v>0</v>
      </c>
      <c r="I29" s="148"/>
      <c r="J29" s="148"/>
      <c r="K29" s="148"/>
      <c r="L29" s="148"/>
      <c r="M29" s="149"/>
    </row>
    <row r="30" spans="2:13" ht="18" customHeight="1" x14ac:dyDescent="0.4">
      <c r="B30" s="104"/>
      <c r="C30" s="231"/>
      <c r="D30" s="16" t="s">
        <v>68</v>
      </c>
      <c r="E30" s="17">
        <f t="shared" si="0"/>
        <v>0.32500000000000001</v>
      </c>
      <c r="F30" s="16">
        <v>0.5</v>
      </c>
      <c r="G30" s="9">
        <f t="shared" si="1"/>
        <v>0</v>
      </c>
      <c r="H30" s="9">
        <f t="shared" si="2"/>
        <v>0</v>
      </c>
      <c r="I30" s="148"/>
      <c r="J30" s="148"/>
      <c r="K30" s="148"/>
      <c r="L30" s="148"/>
      <c r="M30" s="149"/>
    </row>
    <row r="31" spans="2:13" ht="18" customHeight="1" x14ac:dyDescent="0.4">
      <c r="B31" s="104"/>
      <c r="C31" s="231"/>
      <c r="D31" s="16" t="s">
        <v>15</v>
      </c>
      <c r="E31" s="17">
        <f t="shared" si="0"/>
        <v>0.32500000000000001</v>
      </c>
      <c r="F31" s="16">
        <v>0.5</v>
      </c>
      <c r="G31" s="9">
        <f t="shared" si="1"/>
        <v>0</v>
      </c>
      <c r="H31" s="9">
        <f t="shared" si="2"/>
        <v>0</v>
      </c>
      <c r="I31" s="148"/>
      <c r="J31" s="148"/>
      <c r="K31" s="148"/>
      <c r="L31" s="148"/>
      <c r="M31" s="149"/>
    </row>
    <row r="32" spans="2:13" ht="18" customHeight="1" x14ac:dyDescent="0.4">
      <c r="B32" s="104"/>
      <c r="C32" s="231"/>
      <c r="D32" s="16" t="s">
        <v>13</v>
      </c>
      <c r="E32" s="17">
        <f t="shared" si="0"/>
        <v>0.32500000000000001</v>
      </c>
      <c r="F32" s="16">
        <v>0.5</v>
      </c>
      <c r="G32" s="9">
        <f t="shared" si="1"/>
        <v>0</v>
      </c>
      <c r="H32" s="9">
        <f t="shared" si="2"/>
        <v>0</v>
      </c>
      <c r="I32" s="148"/>
      <c r="J32" s="148"/>
      <c r="K32" s="148"/>
      <c r="L32" s="148"/>
      <c r="M32" s="149"/>
    </row>
    <row r="33" spans="1:13" ht="18" customHeight="1" x14ac:dyDescent="0.4">
      <c r="B33" s="104"/>
      <c r="C33" s="231"/>
      <c r="D33" s="16" t="s">
        <v>19</v>
      </c>
      <c r="E33" s="17">
        <f t="shared" si="0"/>
        <v>0.65</v>
      </c>
      <c r="F33" s="16">
        <v>1</v>
      </c>
      <c r="G33" s="9">
        <f t="shared" si="1"/>
        <v>0</v>
      </c>
      <c r="H33" s="9">
        <f t="shared" si="2"/>
        <v>0</v>
      </c>
      <c r="I33" s="148"/>
      <c r="J33" s="148"/>
      <c r="K33" s="148"/>
      <c r="L33" s="148"/>
      <c r="M33" s="149"/>
    </row>
    <row r="34" spans="1:13" ht="18" customHeight="1" x14ac:dyDescent="0.4">
      <c r="B34" s="104"/>
      <c r="C34" s="24" t="s">
        <v>135</v>
      </c>
      <c r="D34" s="24" t="s">
        <v>41</v>
      </c>
      <c r="E34" s="21">
        <f t="shared" si="0"/>
        <v>13</v>
      </c>
      <c r="F34" s="15">
        <v>20</v>
      </c>
      <c r="G34" s="9">
        <f t="shared" si="1"/>
        <v>0</v>
      </c>
      <c r="H34" s="9">
        <f t="shared" si="2"/>
        <v>0</v>
      </c>
      <c r="I34" s="208" t="s">
        <v>115</v>
      </c>
      <c r="J34" s="209"/>
      <c r="K34" s="209"/>
      <c r="L34" s="209"/>
      <c r="M34" s="210"/>
    </row>
    <row r="35" spans="1:13" ht="18" customHeight="1" x14ac:dyDescent="0.4">
      <c r="A35" s="1"/>
      <c r="B35" s="153" t="s">
        <v>138</v>
      </c>
      <c r="C35" s="262" t="s">
        <v>246</v>
      </c>
      <c r="D35" s="16" t="s">
        <v>79</v>
      </c>
      <c r="E35" s="26">
        <f t="shared" si="0"/>
        <v>52</v>
      </c>
      <c r="F35" s="16">
        <v>80</v>
      </c>
      <c r="G35" s="9">
        <f t="shared" si="1"/>
        <v>0</v>
      </c>
      <c r="H35" s="9">
        <f t="shared" si="2"/>
        <v>0</v>
      </c>
      <c r="I35" s="178" t="s">
        <v>247</v>
      </c>
      <c r="J35" s="178"/>
      <c r="K35" s="178"/>
      <c r="L35" s="178"/>
      <c r="M35" s="179"/>
    </row>
    <row r="36" spans="1:13" ht="18" customHeight="1" x14ac:dyDescent="0.4">
      <c r="A36" s="1"/>
      <c r="B36" s="154"/>
      <c r="C36" s="263"/>
      <c r="D36" s="16" t="s">
        <v>17</v>
      </c>
      <c r="E36" s="23">
        <f t="shared" si="0"/>
        <v>3.25</v>
      </c>
      <c r="F36" s="16">
        <v>5</v>
      </c>
      <c r="G36" s="9">
        <f t="shared" si="1"/>
        <v>0</v>
      </c>
      <c r="H36" s="9">
        <f t="shared" si="2"/>
        <v>0</v>
      </c>
      <c r="I36" s="178"/>
      <c r="J36" s="178"/>
      <c r="K36" s="178"/>
      <c r="L36" s="178"/>
      <c r="M36" s="179"/>
    </row>
    <row r="37" spans="1:13" ht="18" customHeight="1" x14ac:dyDescent="0.4">
      <c r="A37" s="1"/>
      <c r="B37" s="154"/>
      <c r="C37" s="263"/>
      <c r="D37" s="16" t="s">
        <v>13</v>
      </c>
      <c r="E37" s="23">
        <f t="shared" si="0"/>
        <v>0.32500000000000001</v>
      </c>
      <c r="F37" s="16">
        <v>0.5</v>
      </c>
      <c r="G37" s="9">
        <f t="shared" si="1"/>
        <v>0</v>
      </c>
      <c r="H37" s="9">
        <f t="shared" si="2"/>
        <v>0</v>
      </c>
      <c r="I37" s="178"/>
      <c r="J37" s="178"/>
      <c r="K37" s="178"/>
      <c r="L37" s="178"/>
      <c r="M37" s="179"/>
    </row>
    <row r="38" spans="1:13" ht="18" customHeight="1" x14ac:dyDescent="0.4">
      <c r="A38" s="1"/>
      <c r="B38" s="154"/>
      <c r="C38" s="264"/>
      <c r="D38" s="16" t="s">
        <v>19</v>
      </c>
      <c r="E38" s="23">
        <f t="shared" si="0"/>
        <v>3.25</v>
      </c>
      <c r="F38" s="16">
        <v>5</v>
      </c>
      <c r="G38" s="9">
        <f t="shared" si="1"/>
        <v>0</v>
      </c>
      <c r="H38" s="9">
        <f t="shared" si="2"/>
        <v>0</v>
      </c>
      <c r="I38" s="178"/>
      <c r="J38" s="178"/>
      <c r="K38" s="178"/>
      <c r="L38" s="178"/>
      <c r="M38" s="179"/>
    </row>
    <row r="39" spans="1:13" s="1" customFormat="1" ht="18" customHeight="1" thickBot="1" x14ac:dyDescent="0.45">
      <c r="B39" s="155"/>
      <c r="C39" s="53" t="s">
        <v>149</v>
      </c>
      <c r="D39" s="53" t="s">
        <v>33</v>
      </c>
      <c r="E39" s="63">
        <v>100</v>
      </c>
      <c r="F39" s="53">
        <v>100</v>
      </c>
      <c r="G39" s="60">
        <f t="shared" si="1"/>
        <v>0</v>
      </c>
      <c r="H39" s="60">
        <f t="shared" si="2"/>
        <v>0</v>
      </c>
      <c r="I39" s="192"/>
      <c r="J39" s="193"/>
      <c r="K39" s="193"/>
      <c r="L39" s="193"/>
      <c r="M39" s="194"/>
    </row>
    <row r="40" spans="1:13" s="1" customFormat="1" ht="80.099999999999994" customHeight="1" thickTop="1" x14ac:dyDescent="0.4">
      <c r="B40" s="152"/>
      <c r="C40" s="152"/>
      <c r="D40" s="152"/>
      <c r="E40" s="152"/>
      <c r="F40" s="152"/>
      <c r="G40" s="152"/>
      <c r="H40" s="152"/>
      <c r="I40" s="152"/>
      <c r="J40" s="152"/>
      <c r="K40" s="152"/>
      <c r="L40" s="152"/>
      <c r="M40" s="152"/>
    </row>
    <row r="41" spans="1:13" ht="18" thickBot="1" x14ac:dyDescent="0.45"/>
    <row r="42" spans="1:13" ht="21" customHeight="1" thickTop="1" x14ac:dyDescent="0.4">
      <c r="B42" s="134" t="s">
        <v>248</v>
      </c>
      <c r="C42" s="135"/>
      <c r="D42" s="135"/>
      <c r="E42" s="135"/>
      <c r="F42" s="135"/>
      <c r="G42" s="135"/>
      <c r="H42" s="135"/>
      <c r="I42" s="135"/>
      <c r="J42" s="135"/>
      <c r="K42" s="135"/>
      <c r="L42" s="135"/>
      <c r="M42" s="136"/>
    </row>
    <row r="43" spans="1:13" ht="18" customHeight="1" x14ac:dyDescent="0.4">
      <c r="B43" s="137" t="s">
        <v>3</v>
      </c>
      <c r="C43" s="138" t="s">
        <v>4</v>
      </c>
      <c r="D43" s="138" t="s">
        <v>5</v>
      </c>
      <c r="E43" s="138" t="s">
        <v>6</v>
      </c>
      <c r="F43" s="138"/>
      <c r="G43" s="138" t="s">
        <v>7</v>
      </c>
      <c r="H43" s="138"/>
      <c r="I43" s="138" t="s">
        <v>8</v>
      </c>
      <c r="J43" s="138"/>
      <c r="K43" s="138"/>
      <c r="L43" s="138"/>
      <c r="M43" s="139"/>
    </row>
    <row r="44" spans="1:13" ht="18" customHeight="1" x14ac:dyDescent="0.4">
      <c r="B44" s="137"/>
      <c r="C44" s="138"/>
      <c r="D44" s="138"/>
      <c r="E44" s="5" t="s">
        <v>1</v>
      </c>
      <c r="F44" s="5" t="s">
        <v>2</v>
      </c>
      <c r="G44" s="6" t="s">
        <v>1</v>
      </c>
      <c r="H44" s="7" t="s">
        <v>2</v>
      </c>
      <c r="I44" s="138"/>
      <c r="J44" s="138"/>
      <c r="K44" s="138"/>
      <c r="L44" s="138"/>
      <c r="M44" s="139"/>
    </row>
    <row r="45" spans="1:13" ht="18" customHeight="1" x14ac:dyDescent="0.4">
      <c r="B45" s="102" t="s">
        <v>9</v>
      </c>
      <c r="C45" s="258" t="s">
        <v>249</v>
      </c>
      <c r="D45" s="9" t="s">
        <v>123</v>
      </c>
      <c r="E45" s="23">
        <f t="shared" ref="E45:E79" si="3">F45*0.65</f>
        <v>22.75</v>
      </c>
      <c r="F45" s="36">
        <v>35</v>
      </c>
      <c r="G45" s="9">
        <f t="shared" ref="G45:G81" si="4">E45*E$2</f>
        <v>0</v>
      </c>
      <c r="H45" s="9">
        <f t="shared" ref="H45:H81" si="5">F45*E$3</f>
        <v>0</v>
      </c>
      <c r="I45" s="120" t="s">
        <v>250</v>
      </c>
      <c r="J45" s="121"/>
      <c r="K45" s="121"/>
      <c r="L45" s="121"/>
      <c r="M45" s="122"/>
    </row>
    <row r="46" spans="1:13" ht="18" customHeight="1" x14ac:dyDescent="0.4">
      <c r="B46" s="162"/>
      <c r="C46" s="259"/>
      <c r="D46" s="10" t="s">
        <v>251</v>
      </c>
      <c r="E46" s="9">
        <f t="shared" si="3"/>
        <v>19.5</v>
      </c>
      <c r="F46" s="36">
        <v>30</v>
      </c>
      <c r="G46" s="9">
        <f t="shared" si="4"/>
        <v>0</v>
      </c>
      <c r="H46" s="9">
        <f t="shared" si="5"/>
        <v>0</v>
      </c>
      <c r="I46" s="123"/>
      <c r="J46" s="124"/>
      <c r="K46" s="124"/>
      <c r="L46" s="124"/>
      <c r="M46" s="125"/>
    </row>
    <row r="47" spans="1:13" ht="18" customHeight="1" x14ac:dyDescent="0.4">
      <c r="B47" s="162"/>
      <c r="C47" s="259"/>
      <c r="D47" s="10" t="s">
        <v>21</v>
      </c>
      <c r="E47" s="23">
        <f t="shared" si="3"/>
        <v>3.25</v>
      </c>
      <c r="F47" s="36">
        <v>5</v>
      </c>
      <c r="G47" s="9">
        <f t="shared" si="4"/>
        <v>0</v>
      </c>
      <c r="H47" s="9">
        <f t="shared" si="5"/>
        <v>0</v>
      </c>
      <c r="I47" s="123"/>
      <c r="J47" s="124"/>
      <c r="K47" s="124"/>
      <c r="L47" s="124"/>
      <c r="M47" s="125"/>
    </row>
    <row r="48" spans="1:13" ht="18" customHeight="1" x14ac:dyDescent="0.4">
      <c r="B48" s="162"/>
      <c r="C48" s="259"/>
      <c r="D48" s="10" t="s">
        <v>22</v>
      </c>
      <c r="E48" s="23">
        <f t="shared" si="3"/>
        <v>3.25</v>
      </c>
      <c r="F48" s="36">
        <v>5</v>
      </c>
      <c r="G48" s="9">
        <f t="shared" si="4"/>
        <v>0</v>
      </c>
      <c r="H48" s="9">
        <f t="shared" si="5"/>
        <v>0</v>
      </c>
      <c r="I48" s="123"/>
      <c r="J48" s="124"/>
      <c r="K48" s="124"/>
      <c r="L48" s="124"/>
      <c r="M48" s="125"/>
    </row>
    <row r="49" spans="2:13" ht="18" customHeight="1" x14ac:dyDescent="0.4">
      <c r="B49" s="162"/>
      <c r="C49" s="259"/>
      <c r="D49" s="10" t="s">
        <v>24</v>
      </c>
      <c r="E49" s="26">
        <f t="shared" si="3"/>
        <v>1.9500000000000002</v>
      </c>
      <c r="F49" s="36">
        <v>3</v>
      </c>
      <c r="G49" s="9">
        <f t="shared" si="4"/>
        <v>0</v>
      </c>
      <c r="H49" s="9">
        <f t="shared" si="5"/>
        <v>0</v>
      </c>
      <c r="I49" s="123"/>
      <c r="J49" s="124"/>
      <c r="K49" s="124"/>
      <c r="L49" s="124"/>
      <c r="M49" s="125"/>
    </row>
    <row r="50" spans="2:13" ht="18" customHeight="1" x14ac:dyDescent="0.4">
      <c r="B50" s="162"/>
      <c r="C50" s="259"/>
      <c r="D50" s="10" t="s">
        <v>16</v>
      </c>
      <c r="E50" s="26">
        <f t="shared" si="3"/>
        <v>1.9500000000000002</v>
      </c>
      <c r="F50" s="36">
        <v>3</v>
      </c>
      <c r="G50" s="9">
        <f t="shared" si="4"/>
        <v>0</v>
      </c>
      <c r="H50" s="9">
        <f t="shared" si="5"/>
        <v>0</v>
      </c>
      <c r="I50" s="123"/>
      <c r="J50" s="124"/>
      <c r="K50" s="124"/>
      <c r="L50" s="124"/>
      <c r="M50" s="125"/>
    </row>
    <row r="51" spans="2:13" ht="18" customHeight="1" x14ac:dyDescent="0.4">
      <c r="B51" s="162"/>
      <c r="C51" s="259"/>
      <c r="D51" s="10" t="s">
        <v>14</v>
      </c>
      <c r="E51" s="23">
        <f t="shared" si="3"/>
        <v>0.32500000000000001</v>
      </c>
      <c r="F51" s="36">
        <v>0.5</v>
      </c>
      <c r="G51" s="9">
        <f t="shared" si="4"/>
        <v>0</v>
      </c>
      <c r="H51" s="9">
        <f t="shared" si="5"/>
        <v>0</v>
      </c>
      <c r="I51" s="123"/>
      <c r="J51" s="124"/>
      <c r="K51" s="124"/>
      <c r="L51" s="124"/>
      <c r="M51" s="125"/>
    </row>
    <row r="52" spans="2:13" ht="18" customHeight="1" x14ac:dyDescent="0.4">
      <c r="B52" s="103"/>
      <c r="C52" s="260"/>
      <c r="D52" s="9" t="s">
        <v>15</v>
      </c>
      <c r="E52" s="23">
        <f t="shared" si="3"/>
        <v>0.65</v>
      </c>
      <c r="F52" s="36">
        <v>1</v>
      </c>
      <c r="G52" s="9">
        <f t="shared" si="4"/>
        <v>0</v>
      </c>
      <c r="H52" s="9">
        <f t="shared" si="5"/>
        <v>0</v>
      </c>
      <c r="I52" s="173"/>
      <c r="J52" s="174"/>
      <c r="K52" s="174"/>
      <c r="L52" s="174"/>
      <c r="M52" s="175"/>
    </row>
    <row r="53" spans="2:13" ht="18" customHeight="1" x14ac:dyDescent="0.4">
      <c r="B53" s="170" t="s">
        <v>10</v>
      </c>
      <c r="C53" s="172" t="s">
        <v>252</v>
      </c>
      <c r="D53" s="39" t="s">
        <v>43</v>
      </c>
      <c r="E53" s="48">
        <f t="shared" si="3"/>
        <v>32.5</v>
      </c>
      <c r="F53" s="39">
        <v>50</v>
      </c>
      <c r="G53" s="9">
        <f t="shared" si="4"/>
        <v>0</v>
      </c>
      <c r="H53" s="9">
        <f t="shared" si="5"/>
        <v>0</v>
      </c>
      <c r="I53" s="105" t="s">
        <v>253</v>
      </c>
      <c r="J53" s="105"/>
      <c r="K53" s="105"/>
      <c r="L53" s="105"/>
      <c r="M53" s="220"/>
    </row>
    <row r="54" spans="2:13" ht="18" customHeight="1" x14ac:dyDescent="0.4">
      <c r="B54" s="170"/>
      <c r="C54" s="219"/>
      <c r="D54" s="16" t="s">
        <v>254</v>
      </c>
      <c r="E54" s="17">
        <f t="shared" si="3"/>
        <v>1.625</v>
      </c>
      <c r="F54" s="16">
        <v>2.5</v>
      </c>
      <c r="G54" s="9">
        <f t="shared" si="4"/>
        <v>0</v>
      </c>
      <c r="H54" s="9">
        <f t="shared" si="5"/>
        <v>0</v>
      </c>
      <c r="I54" s="178"/>
      <c r="J54" s="178"/>
      <c r="K54" s="178"/>
      <c r="L54" s="178"/>
      <c r="M54" s="179"/>
    </row>
    <row r="55" spans="2:13" ht="18" customHeight="1" x14ac:dyDescent="0.4">
      <c r="B55" s="170"/>
      <c r="C55" s="106" t="s">
        <v>255</v>
      </c>
      <c r="D55" s="16" t="s">
        <v>256</v>
      </c>
      <c r="E55" s="23">
        <f t="shared" si="3"/>
        <v>3.25</v>
      </c>
      <c r="F55" s="16">
        <v>5</v>
      </c>
      <c r="G55" s="9">
        <f t="shared" si="4"/>
        <v>0</v>
      </c>
      <c r="H55" s="9">
        <f t="shared" si="5"/>
        <v>0</v>
      </c>
      <c r="I55" s="178" t="s">
        <v>257</v>
      </c>
      <c r="J55" s="178"/>
      <c r="K55" s="178"/>
      <c r="L55" s="178"/>
      <c r="M55" s="179"/>
    </row>
    <row r="56" spans="2:13" ht="18" customHeight="1" x14ac:dyDescent="0.4">
      <c r="B56" s="170"/>
      <c r="C56" s="146"/>
      <c r="D56" s="16" t="s">
        <v>228</v>
      </c>
      <c r="E56" s="23">
        <f t="shared" si="3"/>
        <v>9.75</v>
      </c>
      <c r="F56" s="16">
        <v>15</v>
      </c>
      <c r="G56" s="9">
        <f t="shared" si="4"/>
        <v>0</v>
      </c>
      <c r="H56" s="9">
        <f t="shared" si="5"/>
        <v>0</v>
      </c>
      <c r="I56" s="178"/>
      <c r="J56" s="178"/>
      <c r="K56" s="178"/>
      <c r="L56" s="178"/>
      <c r="M56" s="179"/>
    </row>
    <row r="57" spans="2:13" ht="18" customHeight="1" x14ac:dyDescent="0.4">
      <c r="B57" s="170"/>
      <c r="C57" s="146"/>
      <c r="D57" s="16" t="s">
        <v>158</v>
      </c>
      <c r="E57" s="26">
        <f t="shared" si="3"/>
        <v>1.9500000000000002</v>
      </c>
      <c r="F57" s="16">
        <v>3</v>
      </c>
      <c r="G57" s="9">
        <f t="shared" si="4"/>
        <v>0</v>
      </c>
      <c r="H57" s="9">
        <f t="shared" si="5"/>
        <v>0</v>
      </c>
      <c r="I57" s="178"/>
      <c r="J57" s="178"/>
      <c r="K57" s="178"/>
      <c r="L57" s="178"/>
      <c r="M57" s="179"/>
    </row>
    <row r="58" spans="2:13" ht="18" customHeight="1" x14ac:dyDescent="0.4">
      <c r="B58" s="170"/>
      <c r="C58" s="146"/>
      <c r="D58" s="16" t="s">
        <v>127</v>
      </c>
      <c r="E58" s="23">
        <f t="shared" si="3"/>
        <v>0.32500000000000001</v>
      </c>
      <c r="F58" s="16">
        <v>0.5</v>
      </c>
      <c r="G58" s="9">
        <f t="shared" si="4"/>
        <v>0</v>
      </c>
      <c r="H58" s="9">
        <f t="shared" si="5"/>
        <v>0</v>
      </c>
      <c r="I58" s="178"/>
      <c r="J58" s="178"/>
      <c r="K58" s="178"/>
      <c r="L58" s="178"/>
      <c r="M58" s="179"/>
    </row>
    <row r="59" spans="2:13" ht="18" customHeight="1" x14ac:dyDescent="0.4">
      <c r="B59" s="170"/>
      <c r="C59" s="146"/>
      <c r="D59" s="16" t="s">
        <v>133</v>
      </c>
      <c r="E59" s="23">
        <f t="shared" si="3"/>
        <v>0.32500000000000001</v>
      </c>
      <c r="F59" s="16">
        <v>0.5</v>
      </c>
      <c r="G59" s="9">
        <f t="shared" si="4"/>
        <v>0</v>
      </c>
      <c r="H59" s="9">
        <f t="shared" si="5"/>
        <v>0</v>
      </c>
      <c r="I59" s="178"/>
      <c r="J59" s="178"/>
      <c r="K59" s="178"/>
      <c r="L59" s="178"/>
      <c r="M59" s="179"/>
    </row>
    <row r="60" spans="2:13" ht="18" customHeight="1" x14ac:dyDescent="0.4">
      <c r="B60" s="170"/>
      <c r="C60" s="146"/>
      <c r="D60" s="16" t="s">
        <v>159</v>
      </c>
      <c r="E60" s="23">
        <f t="shared" si="3"/>
        <v>0.26</v>
      </c>
      <c r="F60" s="16">
        <v>0.4</v>
      </c>
      <c r="G60" s="9">
        <f t="shared" si="4"/>
        <v>0</v>
      </c>
      <c r="H60" s="9">
        <f t="shared" si="5"/>
        <v>0</v>
      </c>
      <c r="I60" s="178"/>
      <c r="J60" s="178"/>
      <c r="K60" s="178"/>
      <c r="L60" s="178"/>
      <c r="M60" s="179"/>
    </row>
    <row r="61" spans="2:13" ht="18" customHeight="1" x14ac:dyDescent="0.4">
      <c r="B61" s="170"/>
      <c r="C61" s="146"/>
      <c r="D61" s="16" t="s">
        <v>160</v>
      </c>
      <c r="E61" s="23">
        <f t="shared" si="3"/>
        <v>6.5000000000000002E-2</v>
      </c>
      <c r="F61" s="16">
        <v>0.1</v>
      </c>
      <c r="G61" s="9">
        <f t="shared" si="4"/>
        <v>0</v>
      </c>
      <c r="H61" s="9">
        <f t="shared" si="5"/>
        <v>0</v>
      </c>
      <c r="I61" s="178"/>
      <c r="J61" s="178"/>
      <c r="K61" s="178"/>
      <c r="L61" s="178"/>
      <c r="M61" s="179"/>
    </row>
    <row r="62" spans="2:13" ht="18" customHeight="1" x14ac:dyDescent="0.4">
      <c r="B62" s="170"/>
      <c r="C62" s="146"/>
      <c r="D62" s="16" t="s">
        <v>186</v>
      </c>
      <c r="E62" s="11">
        <f t="shared" si="3"/>
        <v>0.97500000000000009</v>
      </c>
      <c r="F62" s="16">
        <v>1.5</v>
      </c>
      <c r="G62" s="9">
        <f t="shared" si="4"/>
        <v>0</v>
      </c>
      <c r="H62" s="9">
        <f t="shared" si="5"/>
        <v>0</v>
      </c>
      <c r="I62" s="178"/>
      <c r="J62" s="178"/>
      <c r="K62" s="178"/>
      <c r="L62" s="178"/>
      <c r="M62" s="179"/>
    </row>
    <row r="63" spans="2:13" ht="18" customHeight="1" x14ac:dyDescent="0.4">
      <c r="B63" s="170"/>
      <c r="C63" s="186" t="s">
        <v>258</v>
      </c>
      <c r="D63" s="16" t="s">
        <v>48</v>
      </c>
      <c r="E63" s="11">
        <f t="shared" si="3"/>
        <v>26</v>
      </c>
      <c r="F63" s="15">
        <v>40</v>
      </c>
      <c r="G63" s="35">
        <f t="shared" si="4"/>
        <v>0</v>
      </c>
      <c r="H63" s="35">
        <f t="shared" si="5"/>
        <v>0</v>
      </c>
      <c r="I63" s="109" t="s">
        <v>259</v>
      </c>
      <c r="J63" s="110"/>
      <c r="K63" s="110"/>
      <c r="L63" s="110"/>
      <c r="M63" s="111"/>
    </row>
    <row r="64" spans="2:13" ht="18" customHeight="1" x14ac:dyDescent="0.4">
      <c r="B64" s="170"/>
      <c r="C64" s="261"/>
      <c r="D64" s="16" t="s">
        <v>21</v>
      </c>
      <c r="E64" s="22">
        <f t="shared" si="3"/>
        <v>3.25</v>
      </c>
      <c r="F64" s="15">
        <v>5</v>
      </c>
      <c r="G64" s="35">
        <f t="shared" si="4"/>
        <v>0</v>
      </c>
      <c r="H64" s="35">
        <f t="shared" si="5"/>
        <v>0</v>
      </c>
      <c r="I64" s="112"/>
      <c r="J64" s="113"/>
      <c r="K64" s="113"/>
      <c r="L64" s="113"/>
      <c r="M64" s="114"/>
    </row>
    <row r="65" spans="2:13" ht="18" customHeight="1" x14ac:dyDescent="0.4">
      <c r="B65" s="170"/>
      <c r="C65" s="261"/>
      <c r="D65" s="16" t="s">
        <v>22</v>
      </c>
      <c r="E65" s="22">
        <f t="shared" si="3"/>
        <v>6.5</v>
      </c>
      <c r="F65" s="15">
        <v>10</v>
      </c>
      <c r="G65" s="35">
        <f t="shared" si="4"/>
        <v>0</v>
      </c>
      <c r="H65" s="35">
        <f t="shared" si="5"/>
        <v>0</v>
      </c>
      <c r="I65" s="112"/>
      <c r="J65" s="113"/>
      <c r="K65" s="113"/>
      <c r="L65" s="113"/>
      <c r="M65" s="114"/>
    </row>
    <row r="66" spans="2:13" ht="18" customHeight="1" x14ac:dyDescent="0.4">
      <c r="B66" s="170"/>
      <c r="C66" s="261"/>
      <c r="D66" s="16" t="s">
        <v>18</v>
      </c>
      <c r="E66" s="22">
        <f t="shared" si="3"/>
        <v>3.25</v>
      </c>
      <c r="F66" s="15">
        <v>5</v>
      </c>
      <c r="G66" s="35">
        <f t="shared" si="4"/>
        <v>0</v>
      </c>
      <c r="H66" s="35">
        <f t="shared" si="5"/>
        <v>0</v>
      </c>
      <c r="I66" s="112"/>
      <c r="J66" s="113"/>
      <c r="K66" s="113"/>
      <c r="L66" s="113"/>
      <c r="M66" s="114"/>
    </row>
    <row r="67" spans="2:13" ht="18" customHeight="1" x14ac:dyDescent="0.4">
      <c r="B67" s="170"/>
      <c r="C67" s="261"/>
      <c r="D67" s="16" t="s">
        <v>20</v>
      </c>
      <c r="E67" s="11">
        <f t="shared" si="3"/>
        <v>1.9500000000000002</v>
      </c>
      <c r="F67" s="15">
        <v>3</v>
      </c>
      <c r="G67" s="35">
        <f t="shared" si="4"/>
        <v>0</v>
      </c>
      <c r="H67" s="35">
        <f t="shared" si="5"/>
        <v>0</v>
      </c>
      <c r="I67" s="112"/>
      <c r="J67" s="113"/>
      <c r="K67" s="113"/>
      <c r="L67" s="113"/>
      <c r="M67" s="114"/>
    </row>
    <row r="68" spans="2:13" ht="18" customHeight="1" x14ac:dyDescent="0.4">
      <c r="B68" s="170"/>
      <c r="C68" s="261"/>
      <c r="D68" s="16" t="s">
        <v>14</v>
      </c>
      <c r="E68" s="22">
        <f t="shared" si="3"/>
        <v>0.65</v>
      </c>
      <c r="F68" s="15">
        <v>1</v>
      </c>
      <c r="G68" s="35">
        <f t="shared" si="4"/>
        <v>0</v>
      </c>
      <c r="H68" s="35">
        <f t="shared" si="5"/>
        <v>0</v>
      </c>
      <c r="I68" s="112"/>
      <c r="J68" s="113"/>
      <c r="K68" s="113"/>
      <c r="L68" s="113"/>
      <c r="M68" s="114"/>
    </row>
    <row r="69" spans="2:13" ht="18" customHeight="1" x14ac:dyDescent="0.4">
      <c r="B69" s="170"/>
      <c r="C69" s="261"/>
      <c r="D69" s="16" t="s">
        <v>24</v>
      </c>
      <c r="E69" s="22">
        <f t="shared" si="3"/>
        <v>0.65</v>
      </c>
      <c r="F69" s="15">
        <v>1</v>
      </c>
      <c r="G69" s="35">
        <f t="shared" si="4"/>
        <v>0</v>
      </c>
      <c r="H69" s="35">
        <f t="shared" si="5"/>
        <v>0</v>
      </c>
      <c r="I69" s="112"/>
      <c r="J69" s="113"/>
      <c r="K69" s="113"/>
      <c r="L69" s="113"/>
      <c r="M69" s="114"/>
    </row>
    <row r="70" spans="2:13" ht="18" customHeight="1" x14ac:dyDescent="0.4">
      <c r="B70" s="170"/>
      <c r="C70" s="261"/>
      <c r="D70" s="16" t="s">
        <v>127</v>
      </c>
      <c r="E70" s="22">
        <f t="shared" si="3"/>
        <v>0.32500000000000001</v>
      </c>
      <c r="F70" s="15">
        <v>0.5</v>
      </c>
      <c r="G70" s="35">
        <f t="shared" si="4"/>
        <v>0</v>
      </c>
      <c r="H70" s="35">
        <f t="shared" si="5"/>
        <v>0</v>
      </c>
      <c r="I70" s="112"/>
      <c r="J70" s="113"/>
      <c r="K70" s="113"/>
      <c r="L70" s="113"/>
      <c r="M70" s="114"/>
    </row>
    <row r="71" spans="2:13" ht="18" customHeight="1" x14ac:dyDescent="0.4">
      <c r="B71" s="170"/>
      <c r="C71" s="261"/>
      <c r="D71" s="16" t="s">
        <v>161</v>
      </c>
      <c r="E71" s="11">
        <f t="shared" si="3"/>
        <v>1.9500000000000002</v>
      </c>
      <c r="F71" s="15">
        <v>3</v>
      </c>
      <c r="G71" s="35">
        <f t="shared" si="4"/>
        <v>0</v>
      </c>
      <c r="H71" s="35">
        <f t="shared" si="5"/>
        <v>0</v>
      </c>
      <c r="I71" s="112"/>
      <c r="J71" s="113"/>
      <c r="K71" s="113"/>
      <c r="L71" s="113"/>
      <c r="M71" s="114"/>
    </row>
    <row r="72" spans="2:13" ht="18" customHeight="1" x14ac:dyDescent="0.4">
      <c r="B72" s="170"/>
      <c r="C72" s="261"/>
      <c r="D72" s="16" t="s">
        <v>13</v>
      </c>
      <c r="E72" s="22">
        <f t="shared" si="3"/>
        <v>0.13</v>
      </c>
      <c r="F72" s="15">
        <v>0.2</v>
      </c>
      <c r="G72" s="35">
        <f t="shared" si="4"/>
        <v>0</v>
      </c>
      <c r="H72" s="35">
        <f t="shared" si="5"/>
        <v>0</v>
      </c>
      <c r="I72" s="115"/>
      <c r="J72" s="116"/>
      <c r="K72" s="116"/>
      <c r="L72" s="116"/>
      <c r="M72" s="117"/>
    </row>
    <row r="73" spans="2:13" s="65" customFormat="1" ht="18" customHeight="1" x14ac:dyDescent="0.4">
      <c r="B73" s="170"/>
      <c r="C73" s="176" t="s">
        <v>260</v>
      </c>
      <c r="D73" s="16" t="s">
        <v>44</v>
      </c>
      <c r="E73" s="22">
        <f t="shared" si="3"/>
        <v>22.75</v>
      </c>
      <c r="F73" s="16">
        <v>35</v>
      </c>
      <c r="G73" s="9">
        <f t="shared" si="4"/>
        <v>0</v>
      </c>
      <c r="H73" s="9">
        <f t="shared" si="5"/>
        <v>0</v>
      </c>
      <c r="I73" s="109" t="s">
        <v>261</v>
      </c>
      <c r="J73" s="110"/>
      <c r="K73" s="110"/>
      <c r="L73" s="110"/>
      <c r="M73" s="111"/>
    </row>
    <row r="74" spans="2:13" s="65" customFormat="1" ht="18" customHeight="1" x14ac:dyDescent="0.4">
      <c r="B74" s="170"/>
      <c r="C74" s="107"/>
      <c r="D74" s="16" t="s">
        <v>68</v>
      </c>
      <c r="E74" s="22">
        <f t="shared" si="3"/>
        <v>0.65</v>
      </c>
      <c r="F74" s="16">
        <v>1</v>
      </c>
      <c r="G74" s="9">
        <f t="shared" si="4"/>
        <v>0</v>
      </c>
      <c r="H74" s="9">
        <f t="shared" si="5"/>
        <v>0</v>
      </c>
      <c r="I74" s="112"/>
      <c r="J74" s="113"/>
      <c r="K74" s="113"/>
      <c r="L74" s="113"/>
      <c r="M74" s="114"/>
    </row>
    <row r="75" spans="2:13" s="65" customFormat="1" ht="18" customHeight="1" x14ac:dyDescent="0.4">
      <c r="B75" s="170"/>
      <c r="C75" s="107"/>
      <c r="D75" s="16" t="s">
        <v>15</v>
      </c>
      <c r="E75" s="22">
        <f t="shared" si="3"/>
        <v>0.65</v>
      </c>
      <c r="F75" s="16">
        <v>1</v>
      </c>
      <c r="G75" s="9">
        <f t="shared" si="4"/>
        <v>0</v>
      </c>
      <c r="H75" s="9">
        <f t="shared" si="5"/>
        <v>0</v>
      </c>
      <c r="I75" s="112"/>
      <c r="J75" s="113"/>
      <c r="K75" s="113"/>
      <c r="L75" s="113"/>
      <c r="M75" s="114"/>
    </row>
    <row r="76" spans="2:13" s="65" customFormat="1" ht="18" customHeight="1" x14ac:dyDescent="0.4">
      <c r="B76" s="170"/>
      <c r="C76" s="107"/>
      <c r="D76" s="16" t="s">
        <v>14</v>
      </c>
      <c r="E76" s="22">
        <f t="shared" si="3"/>
        <v>0.32500000000000001</v>
      </c>
      <c r="F76" s="16">
        <v>0.5</v>
      </c>
      <c r="G76" s="9">
        <f t="shared" si="4"/>
        <v>0</v>
      </c>
      <c r="H76" s="9">
        <f t="shared" si="5"/>
        <v>0</v>
      </c>
      <c r="I76" s="112"/>
      <c r="J76" s="113"/>
      <c r="K76" s="113"/>
      <c r="L76" s="113"/>
      <c r="M76" s="114"/>
    </row>
    <row r="77" spans="2:13" s="65" customFormat="1" ht="18" customHeight="1" x14ac:dyDescent="0.4">
      <c r="B77" s="170"/>
      <c r="C77" s="107"/>
      <c r="D77" s="16" t="s">
        <v>24</v>
      </c>
      <c r="E77" s="22">
        <f t="shared" si="3"/>
        <v>1.3</v>
      </c>
      <c r="F77" s="16">
        <v>2</v>
      </c>
      <c r="G77" s="9">
        <f t="shared" si="4"/>
        <v>0</v>
      </c>
      <c r="H77" s="9">
        <f t="shared" si="5"/>
        <v>0</v>
      </c>
      <c r="I77" s="112"/>
      <c r="J77" s="113"/>
      <c r="K77" s="113"/>
      <c r="L77" s="113"/>
      <c r="M77" s="114"/>
    </row>
    <row r="78" spans="2:13" s="65" customFormat="1" ht="18" customHeight="1" x14ac:dyDescent="0.4">
      <c r="B78" s="170"/>
      <c r="C78" s="107"/>
      <c r="D78" s="16" t="s">
        <v>13</v>
      </c>
      <c r="E78" s="22">
        <f t="shared" si="3"/>
        <v>0.19500000000000001</v>
      </c>
      <c r="F78" s="16">
        <v>0.3</v>
      </c>
      <c r="G78" s="9">
        <f t="shared" si="4"/>
        <v>0</v>
      </c>
      <c r="H78" s="9">
        <f t="shared" si="5"/>
        <v>0</v>
      </c>
      <c r="I78" s="115"/>
      <c r="J78" s="116"/>
      <c r="K78" s="116"/>
      <c r="L78" s="116"/>
      <c r="M78" s="117"/>
    </row>
    <row r="79" spans="2:13" s="65" customFormat="1" ht="18" customHeight="1" x14ac:dyDescent="0.4">
      <c r="B79" s="170"/>
      <c r="C79" s="19" t="s">
        <v>135</v>
      </c>
      <c r="D79" s="25" t="s">
        <v>136</v>
      </c>
      <c r="E79" s="51">
        <f t="shared" si="3"/>
        <v>13</v>
      </c>
      <c r="F79" s="37">
        <v>20</v>
      </c>
      <c r="G79" s="52">
        <f t="shared" si="4"/>
        <v>0</v>
      </c>
      <c r="H79" s="52">
        <f t="shared" si="5"/>
        <v>0</v>
      </c>
      <c r="I79" s="208" t="s">
        <v>115</v>
      </c>
      <c r="J79" s="209"/>
      <c r="K79" s="209"/>
      <c r="L79" s="209"/>
      <c r="M79" s="210"/>
    </row>
    <row r="80" spans="2:13" ht="18" customHeight="1" x14ac:dyDescent="0.4">
      <c r="B80" s="153" t="s">
        <v>11</v>
      </c>
      <c r="C80" s="35" t="s">
        <v>262</v>
      </c>
      <c r="D80" s="9" t="s">
        <v>88</v>
      </c>
      <c r="E80" s="9">
        <f>F80*0.7</f>
        <v>42</v>
      </c>
      <c r="F80" s="36">
        <v>60</v>
      </c>
      <c r="G80" s="9">
        <f t="shared" si="4"/>
        <v>0</v>
      </c>
      <c r="H80" s="9">
        <f t="shared" si="5"/>
        <v>0</v>
      </c>
      <c r="I80" s="163" t="s">
        <v>263</v>
      </c>
      <c r="J80" s="164"/>
      <c r="K80" s="164"/>
      <c r="L80" s="164"/>
      <c r="M80" s="165"/>
    </row>
    <row r="81" spans="2:13" ht="18" customHeight="1" thickBot="1" x14ac:dyDescent="0.45">
      <c r="B81" s="155"/>
      <c r="C81" s="29" t="s">
        <v>149</v>
      </c>
      <c r="D81" s="29" t="s">
        <v>33</v>
      </c>
      <c r="E81" s="66">
        <v>100</v>
      </c>
      <c r="F81" s="67">
        <v>100</v>
      </c>
      <c r="G81" s="29">
        <f t="shared" si="4"/>
        <v>0</v>
      </c>
      <c r="H81" s="29">
        <f t="shared" si="5"/>
        <v>0</v>
      </c>
      <c r="I81" s="251"/>
      <c r="J81" s="252"/>
      <c r="K81" s="252"/>
      <c r="L81" s="252"/>
      <c r="M81" s="253"/>
    </row>
    <row r="82" spans="2:13" ht="80.099999999999994" customHeight="1" thickTop="1" x14ac:dyDescent="0.4">
      <c r="B82" s="152"/>
      <c r="C82" s="152"/>
      <c r="D82" s="152"/>
      <c r="E82" s="152"/>
      <c r="F82" s="152"/>
      <c r="G82" s="152"/>
      <c r="H82" s="152"/>
      <c r="I82" s="152"/>
      <c r="J82" s="152"/>
      <c r="K82" s="152"/>
      <c r="L82" s="152"/>
      <c r="M82" s="152"/>
    </row>
    <row r="83" spans="2:13" ht="18" thickBot="1" x14ac:dyDescent="0.45">
      <c r="B83" s="31"/>
      <c r="C83" s="32"/>
      <c r="D83" s="32"/>
      <c r="E83" s="33"/>
      <c r="F83" s="32"/>
      <c r="G83" s="33"/>
      <c r="H83" s="33"/>
      <c r="I83" s="34"/>
      <c r="J83" s="34"/>
      <c r="K83" s="34"/>
      <c r="L83" s="34"/>
      <c r="M83" s="34"/>
    </row>
    <row r="84" spans="2:13" ht="21" customHeight="1" thickTop="1" x14ac:dyDescent="0.4">
      <c r="B84" s="183" t="s">
        <v>264</v>
      </c>
      <c r="C84" s="184"/>
      <c r="D84" s="184"/>
      <c r="E84" s="184"/>
      <c r="F84" s="184"/>
      <c r="G84" s="184"/>
      <c r="H84" s="184"/>
      <c r="I84" s="184"/>
      <c r="J84" s="184"/>
      <c r="K84" s="184"/>
      <c r="L84" s="184"/>
      <c r="M84" s="185"/>
    </row>
    <row r="85" spans="2:13" ht="18" customHeight="1" x14ac:dyDescent="0.4">
      <c r="B85" s="137" t="s">
        <v>3</v>
      </c>
      <c r="C85" s="138" t="s">
        <v>4</v>
      </c>
      <c r="D85" s="138" t="s">
        <v>5</v>
      </c>
      <c r="E85" s="138" t="s">
        <v>6</v>
      </c>
      <c r="F85" s="138"/>
      <c r="G85" s="138" t="s">
        <v>7</v>
      </c>
      <c r="H85" s="138"/>
      <c r="I85" s="213" t="s">
        <v>8</v>
      </c>
      <c r="J85" s="214"/>
      <c r="K85" s="214"/>
      <c r="L85" s="214"/>
      <c r="M85" s="215"/>
    </row>
    <row r="86" spans="2:13" ht="18" customHeight="1" x14ac:dyDescent="0.4">
      <c r="B86" s="137"/>
      <c r="C86" s="138"/>
      <c r="D86" s="138"/>
      <c r="E86" s="5" t="s">
        <v>1</v>
      </c>
      <c r="F86" s="5" t="s">
        <v>2</v>
      </c>
      <c r="G86" s="6" t="s">
        <v>1</v>
      </c>
      <c r="H86" s="7" t="s">
        <v>2</v>
      </c>
      <c r="I86" s="216"/>
      <c r="J86" s="217"/>
      <c r="K86" s="217"/>
      <c r="L86" s="217"/>
      <c r="M86" s="218"/>
    </row>
    <row r="87" spans="2:13" ht="18" customHeight="1" x14ac:dyDescent="0.4">
      <c r="B87" s="57" t="s">
        <v>9</v>
      </c>
      <c r="C87" s="9" t="s">
        <v>265</v>
      </c>
      <c r="D87" s="9" t="s">
        <v>265</v>
      </c>
      <c r="E87" s="9">
        <f t="shared" ref="E87:E114" si="6">F87*0.65</f>
        <v>32.5</v>
      </c>
      <c r="F87" s="36">
        <v>50</v>
      </c>
      <c r="G87" s="9">
        <f t="shared" ref="G87:G114" si="7">E87*E$2</f>
        <v>0</v>
      </c>
      <c r="H87" s="9">
        <f t="shared" ref="H87:H114" si="8">F87*E$3</f>
        <v>0</v>
      </c>
      <c r="I87" s="163" t="s">
        <v>106</v>
      </c>
      <c r="J87" s="164"/>
      <c r="K87" s="164"/>
      <c r="L87" s="164"/>
      <c r="M87" s="165"/>
    </row>
    <row r="88" spans="2:13" ht="18" customHeight="1" x14ac:dyDescent="0.4">
      <c r="B88" s="169" t="s">
        <v>10</v>
      </c>
      <c r="C88" s="244" t="s">
        <v>266</v>
      </c>
      <c r="D88" s="16" t="s">
        <v>43</v>
      </c>
      <c r="E88" s="9">
        <f t="shared" si="6"/>
        <v>32.5</v>
      </c>
      <c r="F88" s="15">
        <v>50</v>
      </c>
      <c r="G88" s="9">
        <f t="shared" si="7"/>
        <v>0</v>
      </c>
      <c r="H88" s="9">
        <f t="shared" si="8"/>
        <v>0</v>
      </c>
      <c r="I88" s="266" t="s">
        <v>267</v>
      </c>
      <c r="J88" s="267"/>
      <c r="K88" s="267"/>
      <c r="L88" s="267"/>
      <c r="M88" s="268"/>
    </row>
    <row r="89" spans="2:13" ht="18" customHeight="1" x14ac:dyDescent="0.4">
      <c r="B89" s="170"/>
      <c r="C89" s="171"/>
      <c r="D89" s="16" t="s">
        <v>227</v>
      </c>
      <c r="E89" s="9">
        <f t="shared" si="6"/>
        <v>13</v>
      </c>
      <c r="F89" s="15">
        <v>20</v>
      </c>
      <c r="G89" s="9">
        <f t="shared" si="7"/>
        <v>0</v>
      </c>
      <c r="H89" s="9">
        <f t="shared" si="8"/>
        <v>0</v>
      </c>
      <c r="I89" s="269"/>
      <c r="J89" s="270"/>
      <c r="K89" s="270"/>
      <c r="L89" s="270"/>
      <c r="M89" s="271"/>
    </row>
    <row r="90" spans="2:13" ht="18" customHeight="1" x14ac:dyDescent="0.4">
      <c r="B90" s="170"/>
      <c r="C90" s="171"/>
      <c r="D90" s="16" t="s">
        <v>47</v>
      </c>
      <c r="E90" s="9">
        <f t="shared" si="6"/>
        <v>6.5</v>
      </c>
      <c r="F90" s="15">
        <v>10</v>
      </c>
      <c r="G90" s="9">
        <f t="shared" si="7"/>
        <v>0</v>
      </c>
      <c r="H90" s="9">
        <f t="shared" si="8"/>
        <v>0</v>
      </c>
      <c r="I90" s="269"/>
      <c r="J90" s="270"/>
      <c r="K90" s="270"/>
      <c r="L90" s="270"/>
      <c r="M90" s="271"/>
    </row>
    <row r="91" spans="2:13" ht="18" customHeight="1" x14ac:dyDescent="0.4">
      <c r="B91" s="170"/>
      <c r="C91" s="171"/>
      <c r="D91" s="16" t="s">
        <v>21</v>
      </c>
      <c r="E91" s="9">
        <f t="shared" si="6"/>
        <v>6.5</v>
      </c>
      <c r="F91" s="15">
        <v>10</v>
      </c>
      <c r="G91" s="9">
        <f t="shared" si="7"/>
        <v>0</v>
      </c>
      <c r="H91" s="9">
        <f t="shared" si="8"/>
        <v>0</v>
      </c>
      <c r="I91" s="269"/>
      <c r="J91" s="270"/>
      <c r="K91" s="270"/>
      <c r="L91" s="270"/>
      <c r="M91" s="271"/>
    </row>
    <row r="92" spans="2:13" ht="18" customHeight="1" x14ac:dyDescent="0.4">
      <c r="B92" s="170"/>
      <c r="C92" s="171"/>
      <c r="D92" s="16" t="s">
        <v>22</v>
      </c>
      <c r="E92" s="9">
        <f t="shared" si="6"/>
        <v>6.5</v>
      </c>
      <c r="F92" s="15">
        <v>10</v>
      </c>
      <c r="G92" s="9">
        <f t="shared" si="7"/>
        <v>0</v>
      </c>
      <c r="H92" s="9">
        <f t="shared" si="8"/>
        <v>0</v>
      </c>
      <c r="I92" s="269"/>
      <c r="J92" s="270"/>
      <c r="K92" s="270"/>
      <c r="L92" s="270"/>
      <c r="M92" s="271"/>
    </row>
    <row r="93" spans="2:13" ht="18" customHeight="1" x14ac:dyDescent="0.4">
      <c r="B93" s="170"/>
      <c r="C93" s="171"/>
      <c r="D93" s="16" t="s">
        <v>142</v>
      </c>
      <c r="E93" s="9">
        <f t="shared" si="6"/>
        <v>6.5</v>
      </c>
      <c r="F93" s="15">
        <v>10</v>
      </c>
      <c r="G93" s="9">
        <f t="shared" si="7"/>
        <v>0</v>
      </c>
      <c r="H93" s="9">
        <f t="shared" si="8"/>
        <v>0</v>
      </c>
      <c r="I93" s="269"/>
      <c r="J93" s="270"/>
      <c r="K93" s="270"/>
      <c r="L93" s="270"/>
      <c r="M93" s="271"/>
    </row>
    <row r="94" spans="2:13" ht="18" customHeight="1" x14ac:dyDescent="0.4">
      <c r="B94" s="170"/>
      <c r="C94" s="171"/>
      <c r="D94" s="16" t="s">
        <v>93</v>
      </c>
      <c r="E94" s="23">
        <f t="shared" si="6"/>
        <v>3.25</v>
      </c>
      <c r="F94" s="15">
        <v>5</v>
      </c>
      <c r="G94" s="9">
        <f t="shared" si="7"/>
        <v>0</v>
      </c>
      <c r="H94" s="9">
        <f t="shared" si="8"/>
        <v>0</v>
      </c>
      <c r="I94" s="269"/>
      <c r="J94" s="270"/>
      <c r="K94" s="270"/>
      <c r="L94" s="270"/>
      <c r="M94" s="271"/>
    </row>
    <row r="95" spans="2:13" ht="18" customHeight="1" x14ac:dyDescent="0.4">
      <c r="B95" s="170"/>
      <c r="C95" s="171"/>
      <c r="D95" s="16" t="s">
        <v>19</v>
      </c>
      <c r="E95" s="23">
        <f t="shared" si="6"/>
        <v>0.65</v>
      </c>
      <c r="F95" s="15">
        <v>1</v>
      </c>
      <c r="G95" s="9">
        <f t="shared" si="7"/>
        <v>0</v>
      </c>
      <c r="H95" s="9">
        <f t="shared" si="8"/>
        <v>0</v>
      </c>
      <c r="I95" s="275"/>
      <c r="J95" s="276"/>
      <c r="K95" s="276"/>
      <c r="L95" s="276"/>
      <c r="M95" s="277"/>
    </row>
    <row r="96" spans="2:13" ht="18" customHeight="1" x14ac:dyDescent="0.4">
      <c r="B96" s="170"/>
      <c r="C96" s="106" t="s">
        <v>268</v>
      </c>
      <c r="D96" s="16" t="s">
        <v>25</v>
      </c>
      <c r="E96" s="9">
        <f t="shared" si="6"/>
        <v>13</v>
      </c>
      <c r="F96" s="16">
        <v>20</v>
      </c>
      <c r="G96" s="9">
        <f t="shared" si="7"/>
        <v>0</v>
      </c>
      <c r="H96" s="9">
        <f t="shared" si="8"/>
        <v>0</v>
      </c>
      <c r="I96" s="178" t="s">
        <v>269</v>
      </c>
      <c r="J96" s="178"/>
      <c r="K96" s="178"/>
      <c r="L96" s="178"/>
      <c r="M96" s="179"/>
    </row>
    <row r="97" spans="2:13" ht="18" customHeight="1" x14ac:dyDescent="0.4">
      <c r="B97" s="170"/>
      <c r="C97" s="146"/>
      <c r="D97" s="16" t="s">
        <v>91</v>
      </c>
      <c r="E97" s="9">
        <f t="shared" si="6"/>
        <v>1.3</v>
      </c>
      <c r="F97" s="16">
        <v>2</v>
      </c>
      <c r="G97" s="9">
        <f t="shared" si="7"/>
        <v>0</v>
      </c>
      <c r="H97" s="9">
        <f t="shared" si="8"/>
        <v>0</v>
      </c>
      <c r="I97" s="178"/>
      <c r="J97" s="178"/>
      <c r="K97" s="178"/>
      <c r="L97" s="178"/>
      <c r="M97" s="179"/>
    </row>
    <row r="98" spans="2:13" ht="18" customHeight="1" x14ac:dyDescent="0.4">
      <c r="B98" s="170"/>
      <c r="C98" s="146"/>
      <c r="D98" s="16" t="s">
        <v>28</v>
      </c>
      <c r="E98" s="26">
        <f t="shared" si="6"/>
        <v>1.9500000000000002</v>
      </c>
      <c r="F98" s="16">
        <v>3</v>
      </c>
      <c r="G98" s="9">
        <f t="shared" si="7"/>
        <v>0</v>
      </c>
      <c r="H98" s="9">
        <f t="shared" si="8"/>
        <v>0</v>
      </c>
      <c r="I98" s="178"/>
      <c r="J98" s="178"/>
      <c r="K98" s="178"/>
      <c r="L98" s="178"/>
      <c r="M98" s="179"/>
    </row>
    <row r="99" spans="2:13" ht="18" customHeight="1" x14ac:dyDescent="0.4">
      <c r="B99" s="170"/>
      <c r="C99" s="146"/>
      <c r="D99" s="16" t="s">
        <v>127</v>
      </c>
      <c r="E99" s="23">
        <f t="shared" si="6"/>
        <v>0.32500000000000001</v>
      </c>
      <c r="F99" s="16">
        <v>0.5</v>
      </c>
      <c r="G99" s="9">
        <f t="shared" si="7"/>
        <v>0</v>
      </c>
      <c r="H99" s="9">
        <f t="shared" si="8"/>
        <v>0</v>
      </c>
      <c r="I99" s="178"/>
      <c r="J99" s="178"/>
      <c r="K99" s="178"/>
      <c r="L99" s="178"/>
      <c r="M99" s="179"/>
    </row>
    <row r="100" spans="2:13" ht="18" customHeight="1" x14ac:dyDescent="0.4">
      <c r="B100" s="170"/>
      <c r="C100" s="146"/>
      <c r="D100" s="16" t="s">
        <v>133</v>
      </c>
      <c r="E100" s="23">
        <f t="shared" si="6"/>
        <v>0.32500000000000001</v>
      </c>
      <c r="F100" s="16">
        <v>0.5</v>
      </c>
      <c r="G100" s="9">
        <f t="shared" si="7"/>
        <v>0</v>
      </c>
      <c r="H100" s="9">
        <f t="shared" si="8"/>
        <v>0</v>
      </c>
      <c r="I100" s="178"/>
      <c r="J100" s="178"/>
      <c r="K100" s="178"/>
      <c r="L100" s="178"/>
      <c r="M100" s="179"/>
    </row>
    <row r="101" spans="2:13" ht="18" customHeight="1" x14ac:dyDescent="0.4">
      <c r="B101" s="170"/>
      <c r="C101" s="278" t="s">
        <v>270</v>
      </c>
      <c r="D101" s="9" t="s">
        <v>35</v>
      </c>
      <c r="E101" s="23">
        <f t="shared" si="6"/>
        <v>16.25</v>
      </c>
      <c r="F101" s="36">
        <v>25</v>
      </c>
      <c r="G101" s="9">
        <f t="shared" si="7"/>
        <v>0</v>
      </c>
      <c r="H101" s="9">
        <f t="shared" si="8"/>
        <v>0</v>
      </c>
      <c r="I101" s="109" t="s">
        <v>271</v>
      </c>
      <c r="J101" s="110"/>
      <c r="K101" s="110"/>
      <c r="L101" s="110"/>
      <c r="M101" s="111"/>
    </row>
    <row r="102" spans="2:13" ht="18" customHeight="1" x14ac:dyDescent="0.4">
      <c r="B102" s="170"/>
      <c r="C102" s="279"/>
      <c r="D102" s="9" t="s">
        <v>237</v>
      </c>
      <c r="E102" s="23">
        <f t="shared" si="6"/>
        <v>16.25</v>
      </c>
      <c r="F102" s="36">
        <v>25</v>
      </c>
      <c r="G102" s="9">
        <f t="shared" si="7"/>
        <v>0</v>
      </c>
      <c r="H102" s="9">
        <f t="shared" si="8"/>
        <v>0</v>
      </c>
      <c r="I102" s="112"/>
      <c r="J102" s="113"/>
      <c r="K102" s="113"/>
      <c r="L102" s="113"/>
      <c r="M102" s="114"/>
    </row>
    <row r="103" spans="2:13" ht="18" customHeight="1" x14ac:dyDescent="0.4">
      <c r="B103" s="170"/>
      <c r="C103" s="279"/>
      <c r="D103" s="9" t="s">
        <v>215</v>
      </c>
      <c r="E103" s="23">
        <f t="shared" si="6"/>
        <v>3.25</v>
      </c>
      <c r="F103" s="36">
        <v>5</v>
      </c>
      <c r="G103" s="9">
        <f t="shared" si="7"/>
        <v>0</v>
      </c>
      <c r="H103" s="9">
        <f t="shared" si="8"/>
        <v>0</v>
      </c>
      <c r="I103" s="112"/>
      <c r="J103" s="113"/>
      <c r="K103" s="113"/>
      <c r="L103" s="113"/>
      <c r="M103" s="114"/>
    </row>
    <row r="104" spans="2:13" ht="18" customHeight="1" x14ac:dyDescent="0.4">
      <c r="B104" s="170"/>
      <c r="C104" s="280"/>
      <c r="D104" s="9" t="s">
        <v>166</v>
      </c>
      <c r="E104" s="26">
        <f t="shared" si="6"/>
        <v>1.9500000000000002</v>
      </c>
      <c r="F104" s="36">
        <v>3</v>
      </c>
      <c r="G104" s="9">
        <f t="shared" si="7"/>
        <v>0</v>
      </c>
      <c r="H104" s="9">
        <f t="shared" si="8"/>
        <v>0</v>
      </c>
      <c r="I104" s="115"/>
      <c r="J104" s="116"/>
      <c r="K104" s="116"/>
      <c r="L104" s="116"/>
      <c r="M104" s="117"/>
    </row>
    <row r="105" spans="2:13" ht="18" customHeight="1" x14ac:dyDescent="0.4">
      <c r="B105" s="170"/>
      <c r="C105" s="24" t="s">
        <v>135</v>
      </c>
      <c r="D105" s="25" t="s">
        <v>136</v>
      </c>
      <c r="E105" s="51">
        <f t="shared" si="6"/>
        <v>13</v>
      </c>
      <c r="F105" s="37">
        <v>20</v>
      </c>
      <c r="G105" s="52">
        <f t="shared" si="7"/>
        <v>0</v>
      </c>
      <c r="H105" s="52">
        <f t="shared" si="8"/>
        <v>0</v>
      </c>
      <c r="I105" s="208" t="s">
        <v>115</v>
      </c>
      <c r="J105" s="209"/>
      <c r="K105" s="209"/>
      <c r="L105" s="209"/>
      <c r="M105" s="210"/>
    </row>
    <row r="106" spans="2:13" s="65" customFormat="1" ht="18" customHeight="1" x14ac:dyDescent="0.4">
      <c r="B106" s="153" t="s">
        <v>138</v>
      </c>
      <c r="C106" s="186" t="s">
        <v>272</v>
      </c>
      <c r="D106" s="50" t="s">
        <v>123</v>
      </c>
      <c r="E106" s="21">
        <f t="shared" si="6"/>
        <v>26</v>
      </c>
      <c r="F106" s="11">
        <v>40</v>
      </c>
      <c r="G106" s="68">
        <f t="shared" si="7"/>
        <v>0</v>
      </c>
      <c r="H106" s="68">
        <f t="shared" si="8"/>
        <v>0</v>
      </c>
      <c r="I106" s="199" t="s">
        <v>273</v>
      </c>
      <c r="J106" s="200"/>
      <c r="K106" s="200"/>
      <c r="L106" s="200"/>
      <c r="M106" s="201"/>
    </row>
    <row r="107" spans="2:13" s="65" customFormat="1" ht="18" customHeight="1" x14ac:dyDescent="0.4">
      <c r="B107" s="154"/>
      <c r="C107" s="187"/>
      <c r="D107" s="50" t="s">
        <v>118</v>
      </c>
      <c r="E107" s="17">
        <f t="shared" si="6"/>
        <v>4.55</v>
      </c>
      <c r="F107" s="11">
        <v>7</v>
      </c>
      <c r="G107" s="68">
        <f t="shared" si="7"/>
        <v>0</v>
      </c>
      <c r="H107" s="68">
        <f t="shared" si="8"/>
        <v>0</v>
      </c>
      <c r="I107" s="202"/>
      <c r="J107" s="203"/>
      <c r="K107" s="203"/>
      <c r="L107" s="203"/>
      <c r="M107" s="204"/>
    </row>
    <row r="108" spans="2:13" s="65" customFormat="1" ht="18" customHeight="1" x14ac:dyDescent="0.4">
      <c r="B108" s="154"/>
      <c r="C108" s="187"/>
      <c r="D108" s="50" t="s">
        <v>274</v>
      </c>
      <c r="E108" s="17">
        <f t="shared" si="6"/>
        <v>4.55</v>
      </c>
      <c r="F108" s="11">
        <v>7</v>
      </c>
      <c r="G108" s="68">
        <f t="shared" si="7"/>
        <v>0</v>
      </c>
      <c r="H108" s="68">
        <f t="shared" si="8"/>
        <v>0</v>
      </c>
      <c r="I108" s="202"/>
      <c r="J108" s="203"/>
      <c r="K108" s="203"/>
      <c r="L108" s="203"/>
      <c r="M108" s="204"/>
    </row>
    <row r="109" spans="2:13" s="65" customFormat="1" ht="18" customHeight="1" x14ac:dyDescent="0.4">
      <c r="B109" s="154"/>
      <c r="C109" s="187"/>
      <c r="D109" s="50" t="s">
        <v>157</v>
      </c>
      <c r="E109" s="17">
        <f t="shared" si="6"/>
        <v>3.25</v>
      </c>
      <c r="F109" s="11">
        <v>5</v>
      </c>
      <c r="G109" s="68">
        <f t="shared" si="7"/>
        <v>0</v>
      </c>
      <c r="H109" s="68">
        <f t="shared" si="8"/>
        <v>0</v>
      </c>
      <c r="I109" s="202"/>
      <c r="J109" s="203"/>
      <c r="K109" s="203"/>
      <c r="L109" s="203"/>
      <c r="M109" s="204"/>
    </row>
    <row r="110" spans="2:13" s="65" customFormat="1" ht="18" customHeight="1" x14ac:dyDescent="0.4">
      <c r="B110" s="154"/>
      <c r="C110" s="187"/>
      <c r="D110" s="50" t="s">
        <v>161</v>
      </c>
      <c r="E110" s="17">
        <f t="shared" si="6"/>
        <v>0.65</v>
      </c>
      <c r="F110" s="11">
        <v>1</v>
      </c>
      <c r="G110" s="68">
        <f t="shared" si="7"/>
        <v>0</v>
      </c>
      <c r="H110" s="68">
        <f t="shared" si="8"/>
        <v>0</v>
      </c>
      <c r="I110" s="202"/>
      <c r="J110" s="203"/>
      <c r="K110" s="203"/>
      <c r="L110" s="203"/>
      <c r="M110" s="204"/>
    </row>
    <row r="111" spans="2:13" s="65" customFormat="1" ht="18" customHeight="1" x14ac:dyDescent="0.4">
      <c r="B111" s="154"/>
      <c r="C111" s="187"/>
      <c r="D111" s="50" t="s">
        <v>159</v>
      </c>
      <c r="E111" s="17">
        <f t="shared" si="6"/>
        <v>0.19500000000000001</v>
      </c>
      <c r="F111" s="11">
        <v>0.3</v>
      </c>
      <c r="G111" s="68">
        <f t="shared" si="7"/>
        <v>0</v>
      </c>
      <c r="H111" s="68">
        <f t="shared" si="8"/>
        <v>0</v>
      </c>
      <c r="I111" s="202"/>
      <c r="J111" s="203"/>
      <c r="K111" s="203"/>
      <c r="L111" s="203"/>
      <c r="M111" s="204"/>
    </row>
    <row r="112" spans="2:13" ht="18" customHeight="1" x14ac:dyDescent="0.4">
      <c r="B112" s="154"/>
      <c r="C112" s="187"/>
      <c r="D112" s="50" t="s">
        <v>186</v>
      </c>
      <c r="E112" s="17">
        <f t="shared" si="6"/>
        <v>0.19500000000000001</v>
      </c>
      <c r="F112" s="22">
        <v>0.3</v>
      </c>
      <c r="G112" s="68">
        <f t="shared" si="7"/>
        <v>0</v>
      </c>
      <c r="H112" s="68">
        <f t="shared" si="8"/>
        <v>0</v>
      </c>
      <c r="I112" s="202"/>
      <c r="J112" s="203"/>
      <c r="K112" s="203"/>
      <c r="L112" s="203"/>
      <c r="M112" s="204"/>
    </row>
    <row r="113" spans="2:13" ht="18" customHeight="1" x14ac:dyDescent="0.4">
      <c r="B113" s="154"/>
      <c r="C113" s="187"/>
      <c r="D113" s="69" t="s">
        <v>275</v>
      </c>
      <c r="E113" s="70">
        <f t="shared" si="6"/>
        <v>6.5000000000000002E-2</v>
      </c>
      <c r="F113" s="71">
        <v>0.1</v>
      </c>
      <c r="G113" s="68">
        <f t="shared" si="7"/>
        <v>0</v>
      </c>
      <c r="H113" s="68">
        <f t="shared" si="8"/>
        <v>0</v>
      </c>
      <c r="I113" s="202"/>
      <c r="J113" s="203"/>
      <c r="K113" s="203"/>
      <c r="L113" s="203"/>
      <c r="M113" s="204"/>
    </row>
    <row r="114" spans="2:13" ht="18" customHeight="1" thickBot="1" x14ac:dyDescent="0.45">
      <c r="B114" s="155"/>
      <c r="C114" s="254"/>
      <c r="D114" s="72" t="s">
        <v>134</v>
      </c>
      <c r="E114" s="73">
        <f t="shared" si="6"/>
        <v>6.5000000000000002E-2</v>
      </c>
      <c r="F114" s="43">
        <v>0.1</v>
      </c>
      <c r="G114" s="74">
        <f t="shared" si="7"/>
        <v>0</v>
      </c>
      <c r="H114" s="74">
        <f t="shared" si="8"/>
        <v>0</v>
      </c>
      <c r="I114" s="255"/>
      <c r="J114" s="256"/>
      <c r="K114" s="256"/>
      <c r="L114" s="256"/>
      <c r="M114" s="257"/>
    </row>
    <row r="115" spans="2:13" ht="80.099999999999994" customHeight="1" thickTop="1" x14ac:dyDescent="0.4">
      <c r="B115" s="161"/>
      <c r="C115" s="161"/>
      <c r="D115" s="161"/>
      <c r="E115" s="161"/>
      <c r="F115" s="161"/>
      <c r="G115" s="161"/>
      <c r="H115" s="161"/>
      <c r="I115" s="161"/>
      <c r="J115" s="161"/>
      <c r="K115" s="161"/>
      <c r="L115" s="161"/>
      <c r="M115" s="161"/>
    </row>
    <row r="116" spans="2:13" ht="18" thickBot="1" x14ac:dyDescent="0.45">
      <c r="B116" s="31"/>
      <c r="C116" s="32"/>
      <c r="D116" s="32"/>
      <c r="E116" s="33"/>
      <c r="F116" s="32"/>
      <c r="G116" s="33"/>
      <c r="H116" s="33"/>
      <c r="I116" s="34"/>
      <c r="J116" s="34"/>
      <c r="K116" s="34"/>
      <c r="L116" s="34"/>
      <c r="M116" s="34"/>
    </row>
    <row r="117" spans="2:13" ht="21" customHeight="1" thickTop="1" x14ac:dyDescent="0.4">
      <c r="B117" s="134" t="s">
        <v>276</v>
      </c>
      <c r="C117" s="135"/>
      <c r="D117" s="135"/>
      <c r="E117" s="135"/>
      <c r="F117" s="135"/>
      <c r="G117" s="135"/>
      <c r="H117" s="135"/>
      <c r="I117" s="135"/>
      <c r="J117" s="135"/>
      <c r="K117" s="135"/>
      <c r="L117" s="135"/>
      <c r="M117" s="136"/>
    </row>
    <row r="118" spans="2:13" ht="18" customHeight="1" x14ac:dyDescent="0.4">
      <c r="B118" s="137" t="s">
        <v>3</v>
      </c>
      <c r="C118" s="138" t="s">
        <v>4</v>
      </c>
      <c r="D118" s="138" t="s">
        <v>5</v>
      </c>
      <c r="E118" s="138" t="s">
        <v>6</v>
      </c>
      <c r="F118" s="138"/>
      <c r="G118" s="138" t="s">
        <v>7</v>
      </c>
      <c r="H118" s="138"/>
      <c r="I118" s="138" t="s">
        <v>8</v>
      </c>
      <c r="J118" s="138"/>
      <c r="K118" s="138"/>
      <c r="L118" s="138"/>
      <c r="M118" s="139"/>
    </row>
    <row r="119" spans="2:13" ht="18" customHeight="1" x14ac:dyDescent="0.4">
      <c r="B119" s="137"/>
      <c r="C119" s="138"/>
      <c r="D119" s="138"/>
      <c r="E119" s="5" t="s">
        <v>1</v>
      </c>
      <c r="F119" s="5" t="s">
        <v>2</v>
      </c>
      <c r="G119" s="6" t="s">
        <v>1</v>
      </c>
      <c r="H119" s="7" t="s">
        <v>2</v>
      </c>
      <c r="I119" s="138"/>
      <c r="J119" s="138"/>
      <c r="K119" s="138"/>
      <c r="L119" s="138"/>
      <c r="M119" s="139"/>
    </row>
    <row r="120" spans="2:13" ht="18" customHeight="1" x14ac:dyDescent="0.4">
      <c r="B120" s="8" t="s">
        <v>277</v>
      </c>
      <c r="C120" s="9" t="s">
        <v>278</v>
      </c>
      <c r="D120" s="14" t="s">
        <v>279</v>
      </c>
      <c r="E120" s="9">
        <v>100</v>
      </c>
      <c r="F120" s="15">
        <v>100</v>
      </c>
      <c r="G120" s="9">
        <f t="shared" ref="G120:G150" si="9">E120*E$2</f>
        <v>0</v>
      </c>
      <c r="H120" s="9">
        <f t="shared" ref="H120:H150" si="10">F120*E$3</f>
        <v>0</v>
      </c>
      <c r="I120" s="140"/>
      <c r="J120" s="141"/>
      <c r="K120" s="141"/>
      <c r="L120" s="141"/>
      <c r="M120" s="142"/>
    </row>
    <row r="121" spans="2:13" ht="18" customHeight="1" x14ac:dyDescent="0.4">
      <c r="B121" s="169" t="s">
        <v>10</v>
      </c>
      <c r="C121" s="172" t="s">
        <v>205</v>
      </c>
      <c r="D121" s="16" t="s">
        <v>43</v>
      </c>
      <c r="E121" s="17">
        <f t="shared" ref="E121:E150" si="11">F121*0.65</f>
        <v>32.5</v>
      </c>
      <c r="F121" s="39">
        <v>50</v>
      </c>
      <c r="G121" s="35">
        <f t="shared" si="9"/>
        <v>0</v>
      </c>
      <c r="H121" s="35">
        <f t="shared" si="10"/>
        <v>0</v>
      </c>
      <c r="I121" s="105" t="s">
        <v>101</v>
      </c>
      <c r="J121" s="105"/>
      <c r="K121" s="105"/>
      <c r="L121" s="105"/>
      <c r="M121" s="220"/>
    </row>
    <row r="122" spans="2:13" ht="18" customHeight="1" x14ac:dyDescent="0.4">
      <c r="B122" s="170"/>
      <c r="C122" s="219"/>
      <c r="D122" s="16" t="s">
        <v>82</v>
      </c>
      <c r="E122" s="17">
        <f t="shared" si="11"/>
        <v>1.625</v>
      </c>
      <c r="F122" s="16">
        <v>2.5</v>
      </c>
      <c r="G122" s="9">
        <f t="shared" si="9"/>
        <v>0</v>
      </c>
      <c r="H122" s="9">
        <f t="shared" si="10"/>
        <v>0</v>
      </c>
      <c r="I122" s="178"/>
      <c r="J122" s="178"/>
      <c r="K122" s="178"/>
      <c r="L122" s="178"/>
      <c r="M122" s="179"/>
    </row>
    <row r="123" spans="2:13" ht="18" customHeight="1" x14ac:dyDescent="0.4">
      <c r="B123" s="170"/>
      <c r="C123" s="176" t="s">
        <v>280</v>
      </c>
      <c r="D123" s="19" t="s">
        <v>281</v>
      </c>
      <c r="E123" s="23">
        <f t="shared" si="11"/>
        <v>6.5</v>
      </c>
      <c r="F123" s="15">
        <v>10</v>
      </c>
      <c r="G123" s="9">
        <f t="shared" si="9"/>
        <v>0</v>
      </c>
      <c r="H123" s="9">
        <f t="shared" si="10"/>
        <v>0</v>
      </c>
      <c r="I123" s="109" t="s">
        <v>282</v>
      </c>
      <c r="J123" s="110"/>
      <c r="K123" s="110"/>
      <c r="L123" s="110"/>
      <c r="M123" s="111"/>
    </row>
    <row r="124" spans="2:13" ht="18" customHeight="1" x14ac:dyDescent="0.4">
      <c r="B124" s="170"/>
      <c r="C124" s="107"/>
      <c r="D124" s="19" t="s">
        <v>283</v>
      </c>
      <c r="E124" s="23">
        <f t="shared" si="11"/>
        <v>6.5</v>
      </c>
      <c r="F124" s="15">
        <v>10</v>
      </c>
      <c r="G124" s="9">
        <f t="shared" si="9"/>
        <v>0</v>
      </c>
      <c r="H124" s="9">
        <f t="shared" si="10"/>
        <v>0</v>
      </c>
      <c r="I124" s="112"/>
      <c r="J124" s="113"/>
      <c r="K124" s="113"/>
      <c r="L124" s="113"/>
      <c r="M124" s="114"/>
    </row>
    <row r="125" spans="2:13" ht="18" customHeight="1" x14ac:dyDescent="0.4">
      <c r="B125" s="170"/>
      <c r="C125" s="249"/>
      <c r="D125" s="19" t="s">
        <v>284</v>
      </c>
      <c r="E125" s="23">
        <f t="shared" si="11"/>
        <v>6.5</v>
      </c>
      <c r="F125" s="15">
        <v>10</v>
      </c>
      <c r="G125" s="9">
        <f t="shared" si="9"/>
        <v>0</v>
      </c>
      <c r="H125" s="9">
        <f t="shared" si="10"/>
        <v>0</v>
      </c>
      <c r="I125" s="112"/>
      <c r="J125" s="113"/>
      <c r="K125" s="113"/>
      <c r="L125" s="113"/>
      <c r="M125" s="114"/>
    </row>
    <row r="126" spans="2:13" ht="18" customHeight="1" x14ac:dyDescent="0.4">
      <c r="B126" s="170"/>
      <c r="C126" s="107"/>
      <c r="D126" s="19" t="s">
        <v>178</v>
      </c>
      <c r="E126" s="23">
        <f t="shared" si="11"/>
        <v>1.3</v>
      </c>
      <c r="F126" s="15">
        <v>2</v>
      </c>
      <c r="G126" s="9">
        <f t="shared" si="9"/>
        <v>0</v>
      </c>
      <c r="H126" s="9">
        <f t="shared" si="10"/>
        <v>0</v>
      </c>
      <c r="I126" s="112"/>
      <c r="J126" s="113"/>
      <c r="K126" s="113"/>
      <c r="L126" s="113"/>
      <c r="M126" s="114"/>
    </row>
    <row r="127" spans="2:13" ht="18" customHeight="1" x14ac:dyDescent="0.4">
      <c r="B127" s="170"/>
      <c r="C127" s="107"/>
      <c r="D127" s="19" t="s">
        <v>179</v>
      </c>
      <c r="E127" s="23">
        <f t="shared" si="11"/>
        <v>1.3</v>
      </c>
      <c r="F127" s="15">
        <v>2</v>
      </c>
      <c r="G127" s="9">
        <f t="shared" si="9"/>
        <v>0</v>
      </c>
      <c r="H127" s="9">
        <f t="shared" si="10"/>
        <v>0</v>
      </c>
      <c r="I127" s="112"/>
      <c r="J127" s="113"/>
      <c r="K127" s="113"/>
      <c r="L127" s="113"/>
      <c r="M127" s="114"/>
    </row>
    <row r="128" spans="2:13" ht="18" customHeight="1" x14ac:dyDescent="0.4">
      <c r="B128" s="170"/>
      <c r="C128" s="107"/>
      <c r="D128" s="19" t="s">
        <v>133</v>
      </c>
      <c r="E128" s="26">
        <f t="shared" si="11"/>
        <v>1.9500000000000002</v>
      </c>
      <c r="F128" s="15">
        <v>3</v>
      </c>
      <c r="G128" s="9">
        <f t="shared" si="9"/>
        <v>0</v>
      </c>
      <c r="H128" s="9">
        <f t="shared" si="10"/>
        <v>0</v>
      </c>
      <c r="I128" s="112"/>
      <c r="J128" s="113"/>
      <c r="K128" s="113"/>
      <c r="L128" s="113"/>
      <c r="M128" s="114"/>
    </row>
    <row r="129" spans="2:13" ht="18" customHeight="1" x14ac:dyDescent="0.4">
      <c r="B129" s="170"/>
      <c r="C129" s="107"/>
      <c r="D129" s="19" t="s">
        <v>127</v>
      </c>
      <c r="E129" s="23">
        <f t="shared" si="11"/>
        <v>0.19500000000000001</v>
      </c>
      <c r="F129" s="15">
        <v>0.3</v>
      </c>
      <c r="G129" s="9">
        <f t="shared" si="9"/>
        <v>0</v>
      </c>
      <c r="H129" s="9">
        <f t="shared" si="10"/>
        <v>0</v>
      </c>
      <c r="I129" s="112"/>
      <c r="J129" s="113"/>
      <c r="K129" s="113"/>
      <c r="L129" s="113"/>
      <c r="M129" s="114"/>
    </row>
    <row r="130" spans="2:13" ht="18" customHeight="1" x14ac:dyDescent="0.4">
      <c r="B130" s="170"/>
      <c r="C130" s="108"/>
      <c r="D130" s="19" t="s">
        <v>158</v>
      </c>
      <c r="E130" s="23">
        <f t="shared" si="11"/>
        <v>0.32500000000000001</v>
      </c>
      <c r="F130" s="15">
        <v>0.5</v>
      </c>
      <c r="G130" s="9">
        <f t="shared" si="9"/>
        <v>0</v>
      </c>
      <c r="H130" s="9">
        <f t="shared" si="10"/>
        <v>0</v>
      </c>
      <c r="I130" s="115"/>
      <c r="J130" s="116"/>
      <c r="K130" s="116"/>
      <c r="L130" s="116"/>
      <c r="M130" s="117"/>
    </row>
    <row r="131" spans="2:13" ht="18" customHeight="1" x14ac:dyDescent="0.4">
      <c r="B131" s="170"/>
      <c r="C131" s="126" t="s">
        <v>285</v>
      </c>
      <c r="D131" s="16" t="s">
        <v>70</v>
      </c>
      <c r="E131" s="11">
        <f t="shared" si="11"/>
        <v>26</v>
      </c>
      <c r="F131" s="15">
        <v>40</v>
      </c>
      <c r="G131" s="9">
        <f t="shared" si="9"/>
        <v>0</v>
      </c>
      <c r="H131" s="9">
        <f t="shared" si="10"/>
        <v>0</v>
      </c>
      <c r="I131" s="120" t="s">
        <v>286</v>
      </c>
      <c r="J131" s="121"/>
      <c r="K131" s="121"/>
      <c r="L131" s="121"/>
      <c r="M131" s="122"/>
    </row>
    <row r="132" spans="2:13" ht="18" customHeight="1" x14ac:dyDescent="0.4">
      <c r="B132" s="170"/>
      <c r="C132" s="127"/>
      <c r="D132" s="16" t="s">
        <v>15</v>
      </c>
      <c r="E132" s="22">
        <f t="shared" si="11"/>
        <v>0.32500000000000001</v>
      </c>
      <c r="F132" s="15">
        <v>0.5</v>
      </c>
      <c r="G132" s="9">
        <f t="shared" si="9"/>
        <v>0</v>
      </c>
      <c r="H132" s="9">
        <f t="shared" si="10"/>
        <v>0</v>
      </c>
      <c r="I132" s="123"/>
      <c r="J132" s="124"/>
      <c r="K132" s="124"/>
      <c r="L132" s="124"/>
      <c r="M132" s="125"/>
    </row>
    <row r="133" spans="2:13" ht="18" customHeight="1" x14ac:dyDescent="0.4">
      <c r="B133" s="170"/>
      <c r="C133" s="127"/>
      <c r="D133" s="16" t="s">
        <v>19</v>
      </c>
      <c r="E133" s="22">
        <f t="shared" si="11"/>
        <v>0.65</v>
      </c>
      <c r="F133" s="15">
        <v>1</v>
      </c>
      <c r="G133" s="9">
        <f t="shared" si="9"/>
        <v>0</v>
      </c>
      <c r="H133" s="9">
        <f t="shared" si="10"/>
        <v>0</v>
      </c>
      <c r="I133" s="123"/>
      <c r="J133" s="124"/>
      <c r="K133" s="124"/>
      <c r="L133" s="124"/>
      <c r="M133" s="125"/>
    </row>
    <row r="134" spans="2:13" ht="18" customHeight="1" x14ac:dyDescent="0.4">
      <c r="B134" s="170"/>
      <c r="C134" s="250" t="s">
        <v>287</v>
      </c>
      <c r="D134" s="16" t="s">
        <v>288</v>
      </c>
      <c r="E134" s="22">
        <f t="shared" si="11"/>
        <v>19.5</v>
      </c>
      <c r="F134" s="15">
        <v>30</v>
      </c>
      <c r="G134" s="9">
        <f t="shared" si="9"/>
        <v>0</v>
      </c>
      <c r="H134" s="9">
        <f t="shared" si="10"/>
        <v>0</v>
      </c>
      <c r="I134" s="109" t="s">
        <v>289</v>
      </c>
      <c r="J134" s="110"/>
      <c r="K134" s="110"/>
      <c r="L134" s="110"/>
      <c r="M134" s="111"/>
    </row>
    <row r="135" spans="2:13" ht="18" customHeight="1" x14ac:dyDescent="0.4">
      <c r="B135" s="170"/>
      <c r="C135" s="221"/>
      <c r="D135" s="16" t="s">
        <v>133</v>
      </c>
      <c r="E135" s="22">
        <f t="shared" si="11"/>
        <v>1.3</v>
      </c>
      <c r="F135" s="15">
        <v>2</v>
      </c>
      <c r="G135" s="9">
        <f t="shared" si="9"/>
        <v>0</v>
      </c>
      <c r="H135" s="9">
        <f t="shared" si="10"/>
        <v>0</v>
      </c>
      <c r="I135" s="112"/>
      <c r="J135" s="113"/>
      <c r="K135" s="113"/>
      <c r="L135" s="113"/>
      <c r="M135" s="114"/>
    </row>
    <row r="136" spans="2:13" ht="18" customHeight="1" x14ac:dyDescent="0.4">
      <c r="B136" s="170"/>
      <c r="C136" s="221"/>
      <c r="D136" s="16" t="s">
        <v>290</v>
      </c>
      <c r="E136" s="11">
        <f t="shared" si="11"/>
        <v>0.97500000000000009</v>
      </c>
      <c r="F136" s="15">
        <v>1.5</v>
      </c>
      <c r="G136" s="9">
        <f t="shared" si="9"/>
        <v>0</v>
      </c>
      <c r="H136" s="9">
        <f t="shared" si="10"/>
        <v>0</v>
      </c>
      <c r="I136" s="112"/>
      <c r="J136" s="113"/>
      <c r="K136" s="113"/>
      <c r="L136" s="113"/>
      <c r="M136" s="114"/>
    </row>
    <row r="137" spans="2:13" ht="18" customHeight="1" x14ac:dyDescent="0.4">
      <c r="B137" s="170"/>
      <c r="C137" s="221"/>
      <c r="D137" s="16" t="s">
        <v>186</v>
      </c>
      <c r="E137" s="22">
        <f t="shared" si="11"/>
        <v>0.65</v>
      </c>
      <c r="F137" s="15">
        <v>1</v>
      </c>
      <c r="G137" s="9">
        <f t="shared" si="9"/>
        <v>0</v>
      </c>
      <c r="H137" s="9">
        <f t="shared" si="10"/>
        <v>0</v>
      </c>
      <c r="I137" s="112"/>
      <c r="J137" s="113"/>
      <c r="K137" s="113"/>
      <c r="L137" s="113"/>
      <c r="M137" s="114"/>
    </row>
    <row r="138" spans="2:13" ht="18" customHeight="1" x14ac:dyDescent="0.4">
      <c r="B138" s="170"/>
      <c r="C138" s="221"/>
      <c r="D138" s="16" t="s">
        <v>13</v>
      </c>
      <c r="E138" s="22">
        <f t="shared" si="11"/>
        <v>0.32500000000000001</v>
      </c>
      <c r="F138" s="15">
        <v>0.5</v>
      </c>
      <c r="G138" s="9">
        <f t="shared" si="9"/>
        <v>0</v>
      </c>
      <c r="H138" s="9">
        <f t="shared" si="10"/>
        <v>0</v>
      </c>
      <c r="I138" s="115"/>
      <c r="J138" s="116"/>
      <c r="K138" s="116"/>
      <c r="L138" s="116"/>
      <c r="M138" s="117"/>
    </row>
    <row r="139" spans="2:13" ht="18" customHeight="1" x14ac:dyDescent="0.4">
      <c r="B139" s="198"/>
      <c r="C139" s="24" t="s">
        <v>135</v>
      </c>
      <c r="D139" s="25" t="s">
        <v>136</v>
      </c>
      <c r="E139" s="51">
        <f t="shared" si="11"/>
        <v>13</v>
      </c>
      <c r="F139" s="37">
        <v>20</v>
      </c>
      <c r="G139" s="52">
        <f t="shared" si="9"/>
        <v>0</v>
      </c>
      <c r="H139" s="52">
        <f t="shared" si="10"/>
        <v>0</v>
      </c>
      <c r="I139" s="208" t="s">
        <v>115</v>
      </c>
      <c r="J139" s="209"/>
      <c r="K139" s="209"/>
      <c r="L139" s="209"/>
      <c r="M139" s="210"/>
    </row>
    <row r="140" spans="2:13" s="65" customFormat="1" ht="18" customHeight="1" x14ac:dyDescent="0.4">
      <c r="B140" s="153" t="s">
        <v>11</v>
      </c>
      <c r="C140" s="244" t="s">
        <v>291</v>
      </c>
      <c r="D140" s="16" t="s">
        <v>94</v>
      </c>
      <c r="E140" s="11">
        <f t="shared" si="11"/>
        <v>39</v>
      </c>
      <c r="F140" s="15">
        <v>60</v>
      </c>
      <c r="G140" s="9">
        <f t="shared" si="9"/>
        <v>0</v>
      </c>
      <c r="H140" s="9">
        <f t="shared" si="10"/>
        <v>0</v>
      </c>
      <c r="I140" s="109" t="s">
        <v>292</v>
      </c>
      <c r="J140" s="110"/>
      <c r="K140" s="110"/>
      <c r="L140" s="110"/>
      <c r="M140" s="111"/>
    </row>
    <row r="141" spans="2:13" s="65" customFormat="1" ht="18" customHeight="1" x14ac:dyDescent="0.4">
      <c r="B141" s="154"/>
      <c r="C141" s="171"/>
      <c r="D141" s="75" t="s">
        <v>69</v>
      </c>
      <c r="E141" s="11">
        <f t="shared" si="11"/>
        <v>1.9500000000000002</v>
      </c>
      <c r="F141" s="76">
        <v>3</v>
      </c>
      <c r="G141" s="9">
        <f t="shared" si="9"/>
        <v>0</v>
      </c>
      <c r="H141" s="9">
        <f t="shared" si="10"/>
        <v>0</v>
      </c>
      <c r="I141" s="112"/>
      <c r="J141" s="113"/>
      <c r="K141" s="113"/>
      <c r="L141" s="113"/>
      <c r="M141" s="114"/>
    </row>
    <row r="142" spans="2:13" s="65" customFormat="1" ht="18" customHeight="1" x14ac:dyDescent="0.4">
      <c r="B142" s="154"/>
      <c r="C142" s="171"/>
      <c r="D142" s="75" t="s">
        <v>28</v>
      </c>
      <c r="E142" s="22">
        <f t="shared" si="11"/>
        <v>1.3</v>
      </c>
      <c r="F142" s="76">
        <v>2</v>
      </c>
      <c r="G142" s="9">
        <f t="shared" si="9"/>
        <v>0</v>
      </c>
      <c r="H142" s="9">
        <f t="shared" si="10"/>
        <v>0</v>
      </c>
      <c r="I142" s="112"/>
      <c r="J142" s="113"/>
      <c r="K142" s="113"/>
      <c r="L142" s="113"/>
      <c r="M142" s="114"/>
    </row>
    <row r="143" spans="2:13" s="65" customFormat="1" ht="18" customHeight="1" x14ac:dyDescent="0.4">
      <c r="B143" s="154"/>
      <c r="C143" s="171"/>
      <c r="D143" s="75" t="s">
        <v>27</v>
      </c>
      <c r="E143" s="22">
        <f t="shared" si="11"/>
        <v>1.3</v>
      </c>
      <c r="F143" s="76">
        <v>2</v>
      </c>
      <c r="G143" s="9">
        <f t="shared" si="9"/>
        <v>0</v>
      </c>
      <c r="H143" s="9">
        <f t="shared" si="10"/>
        <v>0</v>
      </c>
      <c r="I143" s="112"/>
      <c r="J143" s="113"/>
      <c r="K143" s="113"/>
      <c r="L143" s="113"/>
      <c r="M143" s="114"/>
    </row>
    <row r="144" spans="2:13" s="65" customFormat="1" ht="18" customHeight="1" x14ac:dyDescent="0.4">
      <c r="B144" s="154"/>
      <c r="C144" s="171"/>
      <c r="D144" s="75" t="s">
        <v>59</v>
      </c>
      <c r="E144" s="22">
        <f t="shared" si="11"/>
        <v>3.25</v>
      </c>
      <c r="F144" s="76">
        <v>5</v>
      </c>
      <c r="G144" s="9">
        <f t="shared" si="9"/>
        <v>0</v>
      </c>
      <c r="H144" s="9">
        <f t="shared" si="10"/>
        <v>0</v>
      </c>
      <c r="I144" s="112"/>
      <c r="J144" s="113"/>
      <c r="K144" s="113"/>
      <c r="L144" s="113"/>
      <c r="M144" s="114"/>
    </row>
    <row r="145" spans="1:13" s="65" customFormat="1" ht="18" customHeight="1" x14ac:dyDescent="0.4">
      <c r="B145" s="154"/>
      <c r="C145" s="171"/>
      <c r="D145" s="75" t="s">
        <v>22</v>
      </c>
      <c r="E145" s="22">
        <f t="shared" si="11"/>
        <v>3.25</v>
      </c>
      <c r="F145" s="76">
        <v>5</v>
      </c>
      <c r="G145" s="9">
        <f t="shared" si="9"/>
        <v>0</v>
      </c>
      <c r="H145" s="9">
        <f t="shared" si="10"/>
        <v>0</v>
      </c>
      <c r="I145" s="112"/>
      <c r="J145" s="113"/>
      <c r="K145" s="113"/>
      <c r="L145" s="113"/>
      <c r="M145" s="114"/>
    </row>
    <row r="146" spans="1:13" s="65" customFormat="1" ht="18" customHeight="1" x14ac:dyDescent="0.4">
      <c r="B146" s="154"/>
      <c r="C146" s="171"/>
      <c r="D146" s="16" t="s">
        <v>21</v>
      </c>
      <c r="E146" s="22">
        <f t="shared" si="11"/>
        <v>3.25</v>
      </c>
      <c r="F146" s="15">
        <v>5</v>
      </c>
      <c r="G146" s="9">
        <f t="shared" si="9"/>
        <v>0</v>
      </c>
      <c r="H146" s="9">
        <f t="shared" si="10"/>
        <v>0</v>
      </c>
      <c r="I146" s="112"/>
      <c r="J146" s="113"/>
      <c r="K146" s="113"/>
      <c r="L146" s="113"/>
      <c r="M146" s="114"/>
    </row>
    <row r="147" spans="1:13" s="65" customFormat="1" ht="18" customHeight="1" x14ac:dyDescent="0.4">
      <c r="B147" s="154"/>
      <c r="C147" s="171"/>
      <c r="D147" s="75" t="s">
        <v>158</v>
      </c>
      <c r="E147" s="22">
        <f t="shared" si="11"/>
        <v>0.65</v>
      </c>
      <c r="F147" s="76">
        <v>1</v>
      </c>
      <c r="G147" s="9">
        <f t="shared" si="9"/>
        <v>0</v>
      </c>
      <c r="H147" s="9">
        <f t="shared" si="10"/>
        <v>0</v>
      </c>
      <c r="I147" s="112"/>
      <c r="J147" s="113"/>
      <c r="K147" s="113"/>
      <c r="L147" s="113"/>
      <c r="M147" s="114"/>
    </row>
    <row r="148" spans="1:13" ht="18" customHeight="1" x14ac:dyDescent="0.4">
      <c r="B148" s="154"/>
      <c r="C148" s="171"/>
      <c r="D148" s="75" t="s">
        <v>127</v>
      </c>
      <c r="E148" s="22">
        <f t="shared" si="11"/>
        <v>0.32500000000000001</v>
      </c>
      <c r="F148" s="76">
        <v>0.5</v>
      </c>
      <c r="G148" s="9">
        <f t="shared" si="9"/>
        <v>0</v>
      </c>
      <c r="H148" s="9">
        <f t="shared" si="10"/>
        <v>0</v>
      </c>
      <c r="I148" s="112"/>
      <c r="J148" s="113"/>
      <c r="K148" s="113"/>
      <c r="L148" s="113"/>
      <c r="M148" s="114"/>
    </row>
    <row r="149" spans="1:13" ht="18" customHeight="1" x14ac:dyDescent="0.4">
      <c r="B149" s="154"/>
      <c r="C149" s="171"/>
      <c r="D149" s="16" t="s">
        <v>159</v>
      </c>
      <c r="E149" s="22">
        <f t="shared" si="11"/>
        <v>0.65</v>
      </c>
      <c r="F149" s="15">
        <v>1</v>
      </c>
      <c r="G149" s="9">
        <f t="shared" si="9"/>
        <v>0</v>
      </c>
      <c r="H149" s="9">
        <f t="shared" si="10"/>
        <v>0</v>
      </c>
      <c r="I149" s="112"/>
      <c r="J149" s="113"/>
      <c r="K149" s="113"/>
      <c r="L149" s="113"/>
      <c r="M149" s="114"/>
    </row>
    <row r="150" spans="1:13" ht="18" customHeight="1" thickBot="1" x14ac:dyDescent="0.45">
      <c r="B150" s="155"/>
      <c r="C150" s="245"/>
      <c r="D150" s="27" t="s">
        <v>133</v>
      </c>
      <c r="E150" s="43">
        <f t="shared" si="11"/>
        <v>1.3</v>
      </c>
      <c r="F150" s="77">
        <v>2</v>
      </c>
      <c r="G150" s="29">
        <f t="shared" si="9"/>
        <v>0</v>
      </c>
      <c r="H150" s="29">
        <f t="shared" si="10"/>
        <v>0</v>
      </c>
      <c r="I150" s="246"/>
      <c r="J150" s="247"/>
      <c r="K150" s="247"/>
      <c r="L150" s="247"/>
      <c r="M150" s="248"/>
    </row>
    <row r="151" spans="1:13" ht="80.099999999999994" customHeight="1" thickTop="1" x14ac:dyDescent="0.4">
      <c r="B151" s="195"/>
      <c r="C151" s="195"/>
      <c r="D151" s="195"/>
      <c r="E151" s="195"/>
      <c r="F151" s="195"/>
      <c r="G151" s="195"/>
      <c r="H151" s="195"/>
      <c r="I151" s="195"/>
      <c r="J151" s="195"/>
      <c r="K151" s="195"/>
      <c r="L151" s="195"/>
      <c r="M151" s="195"/>
    </row>
    <row r="152" spans="1:13" ht="18" thickBot="1" x14ac:dyDescent="0.45"/>
    <row r="153" spans="1:13" ht="21" customHeight="1" thickTop="1" x14ac:dyDescent="0.4">
      <c r="B153" s="134" t="s">
        <v>293</v>
      </c>
      <c r="C153" s="135"/>
      <c r="D153" s="135"/>
      <c r="E153" s="135"/>
      <c r="F153" s="135"/>
      <c r="G153" s="135"/>
      <c r="H153" s="135"/>
      <c r="I153" s="135"/>
      <c r="J153" s="135"/>
      <c r="K153" s="135"/>
      <c r="L153" s="135"/>
      <c r="M153" s="136"/>
    </row>
    <row r="154" spans="1:13" ht="18" customHeight="1" x14ac:dyDescent="0.4">
      <c r="B154" s="137" t="s">
        <v>3</v>
      </c>
      <c r="C154" s="138" t="s">
        <v>4</v>
      </c>
      <c r="D154" s="138" t="s">
        <v>5</v>
      </c>
      <c r="E154" s="138" t="s">
        <v>6</v>
      </c>
      <c r="F154" s="138"/>
      <c r="G154" s="138" t="s">
        <v>7</v>
      </c>
      <c r="H154" s="138"/>
      <c r="I154" s="138" t="s">
        <v>8</v>
      </c>
      <c r="J154" s="138"/>
      <c r="K154" s="138"/>
      <c r="L154" s="138"/>
      <c r="M154" s="139"/>
    </row>
    <row r="155" spans="1:13" ht="18" customHeight="1" x14ac:dyDescent="0.4">
      <c r="B155" s="137"/>
      <c r="C155" s="138"/>
      <c r="D155" s="138"/>
      <c r="E155" s="5" t="s">
        <v>1</v>
      </c>
      <c r="F155" s="5" t="s">
        <v>2</v>
      </c>
      <c r="G155" s="6" t="s">
        <v>1</v>
      </c>
      <c r="H155" s="7" t="s">
        <v>2</v>
      </c>
      <c r="I155" s="138"/>
      <c r="J155" s="138"/>
      <c r="K155" s="138"/>
      <c r="L155" s="138"/>
      <c r="M155" s="139"/>
    </row>
    <row r="156" spans="1:13" ht="18" customHeight="1" x14ac:dyDescent="0.4">
      <c r="B156" s="57" t="s">
        <v>9</v>
      </c>
      <c r="C156" s="58" t="s">
        <v>294</v>
      </c>
      <c r="D156" s="9" t="s">
        <v>294</v>
      </c>
      <c r="E156" s="22">
        <f t="shared" ref="E156:E181" si="12">F156*0.65</f>
        <v>32.5</v>
      </c>
      <c r="F156" s="15">
        <v>50</v>
      </c>
      <c r="G156" s="9">
        <f t="shared" ref="G156:G184" si="13">E156*E$2</f>
        <v>0</v>
      </c>
      <c r="H156" s="9">
        <f t="shared" ref="H156:H184" si="14">F156*E$3</f>
        <v>0</v>
      </c>
      <c r="I156" s="242" t="s">
        <v>105</v>
      </c>
      <c r="J156" s="242"/>
      <c r="K156" s="242"/>
      <c r="L156" s="242"/>
      <c r="M156" s="243"/>
    </row>
    <row r="157" spans="1:13" s="1" customFormat="1" ht="18" customHeight="1" x14ac:dyDescent="0.4">
      <c r="B157" s="169" t="s">
        <v>10</v>
      </c>
      <c r="C157" s="171" t="s">
        <v>150</v>
      </c>
      <c r="D157" s="16" t="s">
        <v>123</v>
      </c>
      <c r="E157" s="22">
        <f t="shared" si="12"/>
        <v>32.5</v>
      </c>
      <c r="F157" s="15">
        <v>50</v>
      </c>
      <c r="G157" s="35">
        <f t="shared" si="13"/>
        <v>0</v>
      </c>
      <c r="H157" s="35">
        <f t="shared" si="14"/>
        <v>0</v>
      </c>
      <c r="I157" s="120" t="s">
        <v>102</v>
      </c>
      <c r="J157" s="121"/>
      <c r="K157" s="121"/>
      <c r="L157" s="121"/>
      <c r="M157" s="122"/>
    </row>
    <row r="158" spans="1:13" s="1" customFormat="1" ht="18" customHeight="1" x14ac:dyDescent="0.4">
      <c r="B158" s="170"/>
      <c r="C158" s="172"/>
      <c r="D158" s="16" t="s">
        <v>151</v>
      </c>
      <c r="E158" s="22">
        <f t="shared" si="12"/>
        <v>1.625</v>
      </c>
      <c r="F158" s="15">
        <v>2.5</v>
      </c>
      <c r="G158" s="9">
        <f t="shared" si="13"/>
        <v>0</v>
      </c>
      <c r="H158" s="9">
        <f t="shared" si="14"/>
        <v>0</v>
      </c>
      <c r="I158" s="173"/>
      <c r="J158" s="174"/>
      <c r="K158" s="174"/>
      <c r="L158" s="174"/>
      <c r="M158" s="175"/>
    </row>
    <row r="159" spans="1:13" ht="18" customHeight="1" x14ac:dyDescent="0.4">
      <c r="A159" t="s">
        <v>295</v>
      </c>
      <c r="B159" s="170"/>
      <c r="C159" s="106" t="s">
        <v>296</v>
      </c>
      <c r="D159" s="19" t="s">
        <v>31</v>
      </c>
      <c r="E159" s="21">
        <f t="shared" si="12"/>
        <v>13</v>
      </c>
      <c r="F159" s="16">
        <v>20</v>
      </c>
      <c r="G159" s="9">
        <f t="shared" si="13"/>
        <v>0</v>
      </c>
      <c r="H159" s="9">
        <f t="shared" si="14"/>
        <v>0</v>
      </c>
      <c r="I159" s="109" t="s">
        <v>297</v>
      </c>
      <c r="J159" s="110"/>
      <c r="K159" s="110"/>
      <c r="L159" s="110"/>
      <c r="M159" s="111"/>
    </row>
    <row r="160" spans="1:13" ht="18" customHeight="1" x14ac:dyDescent="0.4">
      <c r="B160" s="170"/>
      <c r="C160" s="146"/>
      <c r="D160" s="19" t="s">
        <v>22</v>
      </c>
      <c r="E160" s="17">
        <f t="shared" si="12"/>
        <v>6.5</v>
      </c>
      <c r="F160" s="16">
        <v>10</v>
      </c>
      <c r="G160" s="9">
        <f t="shared" si="13"/>
        <v>0</v>
      </c>
      <c r="H160" s="9">
        <f t="shared" si="14"/>
        <v>0</v>
      </c>
      <c r="I160" s="112"/>
      <c r="J160" s="113"/>
      <c r="K160" s="113"/>
      <c r="L160" s="113"/>
      <c r="M160" s="114"/>
    </row>
    <row r="161" spans="2:13" ht="18" customHeight="1" x14ac:dyDescent="0.4">
      <c r="B161" s="170"/>
      <c r="C161" s="146"/>
      <c r="D161" s="19" t="s">
        <v>24</v>
      </c>
      <c r="E161" s="17">
        <f t="shared" si="12"/>
        <v>1.3</v>
      </c>
      <c r="F161" s="16">
        <v>2</v>
      </c>
      <c r="G161" s="9">
        <f t="shared" si="13"/>
        <v>0</v>
      </c>
      <c r="H161" s="9">
        <f t="shared" si="14"/>
        <v>0</v>
      </c>
      <c r="I161" s="112"/>
      <c r="J161" s="113"/>
      <c r="K161" s="113"/>
      <c r="L161" s="113"/>
      <c r="M161" s="114"/>
    </row>
    <row r="162" spans="2:13" ht="18" customHeight="1" x14ac:dyDescent="0.4">
      <c r="B162" s="170"/>
      <c r="C162" s="146"/>
      <c r="D162" s="19" t="s">
        <v>127</v>
      </c>
      <c r="E162" s="17">
        <f t="shared" si="12"/>
        <v>0.32500000000000001</v>
      </c>
      <c r="F162" s="16">
        <v>0.5</v>
      </c>
      <c r="G162" s="9">
        <f t="shared" si="13"/>
        <v>0</v>
      </c>
      <c r="H162" s="9">
        <f t="shared" si="14"/>
        <v>0</v>
      </c>
      <c r="I162" s="112"/>
      <c r="J162" s="113"/>
      <c r="K162" s="113"/>
      <c r="L162" s="113"/>
      <c r="M162" s="114"/>
    </row>
    <row r="163" spans="2:13" ht="18" customHeight="1" x14ac:dyDescent="0.4">
      <c r="B163" s="170"/>
      <c r="C163" s="146"/>
      <c r="D163" s="19" t="s">
        <v>133</v>
      </c>
      <c r="E163" s="17">
        <f t="shared" si="12"/>
        <v>0.32500000000000001</v>
      </c>
      <c r="F163" s="16">
        <v>0.5</v>
      </c>
      <c r="G163" s="9">
        <f t="shared" si="13"/>
        <v>0</v>
      </c>
      <c r="H163" s="9">
        <f t="shared" si="14"/>
        <v>0</v>
      </c>
      <c r="I163" s="112"/>
      <c r="J163" s="113"/>
      <c r="K163" s="113"/>
      <c r="L163" s="113"/>
      <c r="M163" s="114"/>
    </row>
    <row r="164" spans="2:13" ht="18" customHeight="1" x14ac:dyDescent="0.4">
      <c r="B164" s="170"/>
      <c r="C164" s="146"/>
      <c r="D164" s="19" t="s">
        <v>159</v>
      </c>
      <c r="E164" s="17">
        <f t="shared" si="12"/>
        <v>0.32500000000000001</v>
      </c>
      <c r="F164" s="16">
        <v>0.5</v>
      </c>
      <c r="G164" s="9">
        <f t="shared" si="13"/>
        <v>0</v>
      </c>
      <c r="H164" s="9">
        <f t="shared" si="14"/>
        <v>0</v>
      </c>
      <c r="I164" s="112"/>
      <c r="J164" s="113"/>
      <c r="K164" s="113"/>
      <c r="L164" s="113"/>
      <c r="M164" s="114"/>
    </row>
    <row r="165" spans="2:13" ht="18" customHeight="1" x14ac:dyDescent="0.4">
      <c r="B165" s="170"/>
      <c r="C165" s="146"/>
      <c r="D165" s="19" t="s">
        <v>178</v>
      </c>
      <c r="E165" s="17">
        <f t="shared" si="12"/>
        <v>1.3</v>
      </c>
      <c r="F165" s="16">
        <v>2</v>
      </c>
      <c r="G165" s="9">
        <f t="shared" si="13"/>
        <v>0</v>
      </c>
      <c r="H165" s="9">
        <f t="shared" si="14"/>
        <v>0</v>
      </c>
      <c r="I165" s="112"/>
      <c r="J165" s="113"/>
      <c r="K165" s="113"/>
      <c r="L165" s="113"/>
      <c r="M165" s="114"/>
    </row>
    <row r="166" spans="2:13" ht="18" customHeight="1" x14ac:dyDescent="0.4">
      <c r="B166" s="170"/>
      <c r="C166" s="177"/>
      <c r="D166" s="19" t="s">
        <v>179</v>
      </c>
      <c r="E166" s="17">
        <f t="shared" si="12"/>
        <v>1.3</v>
      </c>
      <c r="F166" s="16">
        <v>2</v>
      </c>
      <c r="G166" s="9">
        <f t="shared" si="13"/>
        <v>0</v>
      </c>
      <c r="H166" s="9">
        <f t="shared" si="14"/>
        <v>0</v>
      </c>
      <c r="I166" s="115"/>
      <c r="J166" s="116"/>
      <c r="K166" s="116"/>
      <c r="L166" s="116"/>
      <c r="M166" s="117"/>
    </row>
    <row r="167" spans="2:13" ht="18" customHeight="1" x14ac:dyDescent="0.4">
      <c r="B167" s="170"/>
      <c r="C167" s="126" t="s">
        <v>298</v>
      </c>
      <c r="D167" s="16" t="s">
        <v>207</v>
      </c>
      <c r="E167" s="22">
        <f t="shared" si="12"/>
        <v>19.5</v>
      </c>
      <c r="F167" s="16">
        <v>30</v>
      </c>
      <c r="G167" s="9">
        <f t="shared" si="13"/>
        <v>0</v>
      </c>
      <c r="H167" s="9">
        <f t="shared" si="14"/>
        <v>0</v>
      </c>
      <c r="I167" s="109" t="s">
        <v>299</v>
      </c>
      <c r="J167" s="110"/>
      <c r="K167" s="110"/>
      <c r="L167" s="110"/>
      <c r="M167" s="111"/>
    </row>
    <row r="168" spans="2:13" ht="18" customHeight="1" x14ac:dyDescent="0.4">
      <c r="B168" s="170"/>
      <c r="C168" s="127"/>
      <c r="D168" s="16" t="s">
        <v>157</v>
      </c>
      <c r="E168" s="22">
        <f t="shared" si="12"/>
        <v>6.5</v>
      </c>
      <c r="F168" s="16">
        <v>10</v>
      </c>
      <c r="G168" s="9">
        <f t="shared" si="13"/>
        <v>0</v>
      </c>
      <c r="H168" s="9">
        <f t="shared" si="14"/>
        <v>0</v>
      </c>
      <c r="I168" s="112"/>
      <c r="J168" s="113"/>
      <c r="K168" s="113"/>
      <c r="L168" s="113"/>
      <c r="M168" s="114"/>
    </row>
    <row r="169" spans="2:13" ht="18" customHeight="1" x14ac:dyDescent="0.4">
      <c r="B169" s="170"/>
      <c r="C169" s="127"/>
      <c r="D169" s="16" t="s">
        <v>158</v>
      </c>
      <c r="E169" s="22">
        <f t="shared" si="12"/>
        <v>3.25</v>
      </c>
      <c r="F169" s="16">
        <v>5</v>
      </c>
      <c r="G169" s="9">
        <f t="shared" si="13"/>
        <v>0</v>
      </c>
      <c r="H169" s="9">
        <f t="shared" si="14"/>
        <v>0</v>
      </c>
      <c r="I169" s="112"/>
      <c r="J169" s="113"/>
      <c r="K169" s="113"/>
      <c r="L169" s="113"/>
      <c r="M169" s="114"/>
    </row>
    <row r="170" spans="2:13" ht="18" customHeight="1" x14ac:dyDescent="0.4">
      <c r="B170" s="170"/>
      <c r="C170" s="127"/>
      <c r="D170" s="16" t="s">
        <v>133</v>
      </c>
      <c r="E170" s="11">
        <f t="shared" si="12"/>
        <v>1.9500000000000002</v>
      </c>
      <c r="F170" s="16">
        <v>3</v>
      </c>
      <c r="G170" s="9">
        <f t="shared" si="13"/>
        <v>0</v>
      </c>
      <c r="H170" s="9">
        <f t="shared" si="14"/>
        <v>0</v>
      </c>
      <c r="I170" s="112"/>
      <c r="J170" s="113"/>
      <c r="K170" s="113"/>
      <c r="L170" s="113"/>
      <c r="M170" s="114"/>
    </row>
    <row r="171" spans="2:13" ht="18" customHeight="1" x14ac:dyDescent="0.4">
      <c r="B171" s="170"/>
      <c r="C171" s="127"/>
      <c r="D171" s="16" t="s">
        <v>127</v>
      </c>
      <c r="E171" s="22">
        <f t="shared" si="12"/>
        <v>0.65</v>
      </c>
      <c r="F171" s="16">
        <v>1</v>
      </c>
      <c r="G171" s="9">
        <f t="shared" si="13"/>
        <v>0</v>
      </c>
      <c r="H171" s="9">
        <f t="shared" si="14"/>
        <v>0</v>
      </c>
      <c r="I171" s="112"/>
      <c r="J171" s="113"/>
      <c r="K171" s="113"/>
      <c r="L171" s="113"/>
      <c r="M171" s="114"/>
    </row>
    <row r="172" spans="2:13" ht="18" customHeight="1" x14ac:dyDescent="0.4">
      <c r="B172" s="170"/>
      <c r="C172" s="127"/>
      <c r="D172" s="16" t="s">
        <v>186</v>
      </c>
      <c r="E172" s="22">
        <f t="shared" si="12"/>
        <v>0.32500000000000001</v>
      </c>
      <c r="F172" s="16">
        <v>0.5</v>
      </c>
      <c r="G172" s="9">
        <f t="shared" si="13"/>
        <v>0</v>
      </c>
      <c r="H172" s="9">
        <f t="shared" si="14"/>
        <v>0</v>
      </c>
      <c r="I172" s="112"/>
      <c r="J172" s="113"/>
      <c r="K172" s="113"/>
      <c r="L172" s="113"/>
      <c r="M172" s="114"/>
    </row>
    <row r="173" spans="2:13" ht="18" customHeight="1" x14ac:dyDescent="0.4">
      <c r="B173" s="170"/>
      <c r="C173" s="127"/>
      <c r="D173" s="16" t="s">
        <v>160</v>
      </c>
      <c r="E173" s="23">
        <f t="shared" si="12"/>
        <v>6.5000000000000002E-2</v>
      </c>
      <c r="F173" s="16">
        <v>0.1</v>
      </c>
      <c r="G173" s="9">
        <f t="shared" si="13"/>
        <v>0</v>
      </c>
      <c r="H173" s="9">
        <f t="shared" si="14"/>
        <v>0</v>
      </c>
      <c r="I173" s="112"/>
      <c r="J173" s="113"/>
      <c r="K173" s="113"/>
      <c r="L173" s="113"/>
      <c r="M173" s="114"/>
    </row>
    <row r="174" spans="2:13" ht="18" customHeight="1" x14ac:dyDescent="0.4">
      <c r="B174" s="170"/>
      <c r="C174" s="127"/>
      <c r="D174" s="16" t="s">
        <v>161</v>
      </c>
      <c r="E174" s="23">
        <f t="shared" si="12"/>
        <v>1.3</v>
      </c>
      <c r="F174" s="16">
        <v>2</v>
      </c>
      <c r="G174" s="9">
        <f t="shared" si="13"/>
        <v>0</v>
      </c>
      <c r="H174" s="9">
        <f t="shared" si="14"/>
        <v>0</v>
      </c>
      <c r="I174" s="115"/>
      <c r="J174" s="116"/>
      <c r="K174" s="116"/>
      <c r="L174" s="116"/>
      <c r="M174" s="117"/>
    </row>
    <row r="175" spans="2:13" x14ac:dyDescent="0.4">
      <c r="B175" s="170"/>
      <c r="C175" s="106" t="s">
        <v>300</v>
      </c>
      <c r="D175" s="16" t="s">
        <v>46</v>
      </c>
      <c r="E175" s="23">
        <f t="shared" si="12"/>
        <v>19.5</v>
      </c>
      <c r="F175" s="16">
        <v>30</v>
      </c>
      <c r="G175" s="9">
        <f t="shared" si="13"/>
        <v>0</v>
      </c>
      <c r="H175" s="9">
        <f t="shared" si="14"/>
        <v>0</v>
      </c>
      <c r="I175" s="120" t="s">
        <v>301</v>
      </c>
      <c r="J175" s="121"/>
      <c r="K175" s="121"/>
      <c r="L175" s="121"/>
      <c r="M175" s="122"/>
    </row>
    <row r="176" spans="2:13" x14ac:dyDescent="0.4">
      <c r="B176" s="170"/>
      <c r="C176" s="146"/>
      <c r="D176" s="16" t="s">
        <v>15</v>
      </c>
      <c r="E176" s="23">
        <f t="shared" si="12"/>
        <v>1.3</v>
      </c>
      <c r="F176" s="16">
        <v>2</v>
      </c>
      <c r="G176" s="9">
        <f t="shared" si="13"/>
        <v>0</v>
      </c>
      <c r="H176" s="9">
        <f t="shared" si="14"/>
        <v>0</v>
      </c>
      <c r="I176" s="123"/>
      <c r="J176" s="124"/>
      <c r="K176" s="124"/>
      <c r="L176" s="124"/>
      <c r="M176" s="125"/>
    </row>
    <row r="177" spans="2:13" ht="18" customHeight="1" x14ac:dyDescent="0.4">
      <c r="B177" s="170"/>
      <c r="C177" s="146"/>
      <c r="D177" s="16" t="s">
        <v>20</v>
      </c>
      <c r="E177" s="23">
        <f t="shared" si="12"/>
        <v>0.65</v>
      </c>
      <c r="F177" s="16">
        <v>1</v>
      </c>
      <c r="G177" s="9">
        <f t="shared" si="13"/>
        <v>0</v>
      </c>
      <c r="H177" s="9">
        <f t="shared" si="14"/>
        <v>0</v>
      </c>
      <c r="I177" s="123"/>
      <c r="J177" s="124"/>
      <c r="K177" s="124"/>
      <c r="L177" s="124"/>
      <c r="M177" s="125"/>
    </row>
    <row r="178" spans="2:13" ht="18" customHeight="1" x14ac:dyDescent="0.4">
      <c r="B178" s="170"/>
      <c r="C178" s="146"/>
      <c r="D178" s="16" t="s">
        <v>34</v>
      </c>
      <c r="E178" s="23">
        <f t="shared" si="12"/>
        <v>0.65</v>
      </c>
      <c r="F178" s="16">
        <v>1</v>
      </c>
      <c r="G178" s="9">
        <f t="shared" si="13"/>
        <v>0</v>
      </c>
      <c r="H178" s="9">
        <f t="shared" si="14"/>
        <v>0</v>
      </c>
      <c r="I178" s="123"/>
      <c r="J178" s="124"/>
      <c r="K178" s="124"/>
      <c r="L178" s="124"/>
      <c r="M178" s="125"/>
    </row>
    <row r="179" spans="2:13" ht="18" customHeight="1" x14ac:dyDescent="0.4">
      <c r="B179" s="170"/>
      <c r="C179" s="146"/>
      <c r="D179" s="16" t="s">
        <v>14</v>
      </c>
      <c r="E179" s="23">
        <f t="shared" si="12"/>
        <v>0.32500000000000001</v>
      </c>
      <c r="F179" s="16">
        <v>0.5</v>
      </c>
      <c r="G179" s="9">
        <f t="shared" si="13"/>
        <v>0</v>
      </c>
      <c r="H179" s="9">
        <f t="shared" si="14"/>
        <v>0</v>
      </c>
      <c r="I179" s="123"/>
      <c r="J179" s="124"/>
      <c r="K179" s="124"/>
      <c r="L179" s="124"/>
      <c r="M179" s="125"/>
    </row>
    <row r="180" spans="2:13" ht="18" customHeight="1" x14ac:dyDescent="0.4">
      <c r="B180" s="170"/>
      <c r="C180" s="146"/>
      <c r="D180" s="16" t="s">
        <v>13</v>
      </c>
      <c r="E180" s="23">
        <f t="shared" si="12"/>
        <v>0.13</v>
      </c>
      <c r="F180" s="16">
        <v>0.2</v>
      </c>
      <c r="G180" s="9">
        <f t="shared" si="13"/>
        <v>0</v>
      </c>
      <c r="H180" s="9">
        <f t="shared" si="14"/>
        <v>0</v>
      </c>
      <c r="I180" s="173"/>
      <c r="J180" s="174"/>
      <c r="K180" s="174"/>
      <c r="L180" s="174"/>
      <c r="M180" s="175"/>
    </row>
    <row r="181" spans="2:13" ht="18" customHeight="1" x14ac:dyDescent="0.4">
      <c r="B181" s="198"/>
      <c r="C181" s="24" t="s">
        <v>135</v>
      </c>
      <c r="D181" s="25" t="s">
        <v>136</v>
      </c>
      <c r="E181" s="9">
        <f t="shared" si="12"/>
        <v>13</v>
      </c>
      <c r="F181" s="37">
        <v>20</v>
      </c>
      <c r="G181" s="10">
        <f t="shared" si="13"/>
        <v>0</v>
      </c>
      <c r="H181" s="10">
        <f t="shared" si="14"/>
        <v>0</v>
      </c>
      <c r="I181" s="208" t="s">
        <v>115</v>
      </c>
      <c r="J181" s="209"/>
      <c r="K181" s="209"/>
      <c r="L181" s="209"/>
      <c r="M181" s="210"/>
    </row>
    <row r="182" spans="2:13" ht="32.25" customHeight="1" x14ac:dyDescent="0.4">
      <c r="B182" s="235" t="s">
        <v>138</v>
      </c>
      <c r="C182" s="9" t="s">
        <v>302</v>
      </c>
      <c r="D182" s="9" t="s">
        <v>60</v>
      </c>
      <c r="E182" s="11">
        <v>56</v>
      </c>
      <c r="F182" s="12">
        <v>80</v>
      </c>
      <c r="G182" s="9">
        <f t="shared" si="13"/>
        <v>0</v>
      </c>
      <c r="H182" s="9">
        <f t="shared" si="14"/>
        <v>0</v>
      </c>
      <c r="I182" s="96" t="s">
        <v>303</v>
      </c>
      <c r="J182" s="164"/>
      <c r="K182" s="164"/>
      <c r="L182" s="164"/>
      <c r="M182" s="165"/>
    </row>
    <row r="183" spans="2:13" ht="32.25" customHeight="1" x14ac:dyDescent="0.4">
      <c r="B183" s="153"/>
      <c r="C183" s="45" t="s">
        <v>304</v>
      </c>
      <c r="D183" s="16" t="s">
        <v>86</v>
      </c>
      <c r="E183" s="9">
        <f>F183*0.7</f>
        <v>56</v>
      </c>
      <c r="F183" s="15">
        <v>80</v>
      </c>
      <c r="G183" s="9">
        <f t="shared" si="13"/>
        <v>0</v>
      </c>
      <c r="H183" s="9">
        <f t="shared" si="14"/>
        <v>0</v>
      </c>
      <c r="I183" s="237" t="s">
        <v>305</v>
      </c>
      <c r="J183" s="237"/>
      <c r="K183" s="237"/>
      <c r="L183" s="237"/>
      <c r="M183" s="238"/>
    </row>
    <row r="184" spans="2:13" ht="18" customHeight="1" thickBot="1" x14ac:dyDescent="0.45">
      <c r="B184" s="236"/>
      <c r="C184" s="59" t="s">
        <v>306</v>
      </c>
      <c r="D184" s="27" t="s">
        <v>307</v>
      </c>
      <c r="E184" s="62">
        <f>F184*0.65</f>
        <v>65</v>
      </c>
      <c r="F184" s="27">
        <v>100</v>
      </c>
      <c r="G184" s="29">
        <f t="shared" si="13"/>
        <v>0</v>
      </c>
      <c r="H184" s="29">
        <f t="shared" si="14"/>
        <v>0</v>
      </c>
      <c r="I184" s="239"/>
      <c r="J184" s="240"/>
      <c r="K184" s="240"/>
      <c r="L184" s="240"/>
      <c r="M184" s="241"/>
    </row>
    <row r="185" spans="2:13" ht="80.099999999999994" customHeight="1" thickTop="1" x14ac:dyDescent="0.4">
      <c r="B185" s="152"/>
      <c r="C185" s="152"/>
      <c r="D185" s="152"/>
      <c r="E185" s="152"/>
      <c r="F185" s="152"/>
      <c r="G185" s="152"/>
      <c r="H185" s="152"/>
      <c r="I185" s="152"/>
      <c r="J185" s="152"/>
      <c r="K185" s="152"/>
      <c r="L185" s="152"/>
      <c r="M185" s="152"/>
    </row>
    <row r="186" spans="2:13" ht="18" thickBot="1" x14ac:dyDescent="0.45"/>
    <row r="187" spans="2:13" ht="21" customHeight="1" thickTop="1" x14ac:dyDescent="0.4">
      <c r="B187" s="183" t="s">
        <v>308</v>
      </c>
      <c r="C187" s="184"/>
      <c r="D187" s="184"/>
      <c r="E187" s="184"/>
      <c r="F187" s="184"/>
      <c r="G187" s="184"/>
      <c r="H187" s="184"/>
      <c r="I187" s="184"/>
      <c r="J187" s="184"/>
      <c r="K187" s="184"/>
      <c r="L187" s="184"/>
      <c r="M187" s="185"/>
    </row>
    <row r="188" spans="2:13" ht="18" customHeight="1" x14ac:dyDescent="0.4">
      <c r="B188" s="222" t="s">
        <v>3</v>
      </c>
      <c r="C188" s="224" t="s">
        <v>4</v>
      </c>
      <c r="D188" s="224" t="s">
        <v>5</v>
      </c>
      <c r="E188" s="211" t="s">
        <v>6</v>
      </c>
      <c r="F188" s="212"/>
      <c r="G188" s="211" t="s">
        <v>7</v>
      </c>
      <c r="H188" s="212"/>
      <c r="I188" s="213" t="s">
        <v>8</v>
      </c>
      <c r="J188" s="214"/>
      <c r="K188" s="214"/>
      <c r="L188" s="214"/>
      <c r="M188" s="215"/>
    </row>
    <row r="189" spans="2:13" ht="18" customHeight="1" x14ac:dyDescent="0.4">
      <c r="B189" s="223"/>
      <c r="C189" s="225"/>
      <c r="D189" s="225"/>
      <c r="E189" s="5" t="s">
        <v>1</v>
      </c>
      <c r="F189" s="46" t="s">
        <v>2</v>
      </c>
      <c r="G189" s="55" t="s">
        <v>1</v>
      </c>
      <c r="H189" s="56" t="s">
        <v>2</v>
      </c>
      <c r="I189" s="216"/>
      <c r="J189" s="217"/>
      <c r="K189" s="217"/>
      <c r="L189" s="217"/>
      <c r="M189" s="218"/>
    </row>
    <row r="190" spans="2:13" ht="18" customHeight="1" x14ac:dyDescent="0.4">
      <c r="B190" s="8" t="s">
        <v>9</v>
      </c>
      <c r="C190" s="18" t="s">
        <v>149</v>
      </c>
      <c r="D190" s="75" t="s">
        <v>189</v>
      </c>
      <c r="E190" s="11">
        <v>200</v>
      </c>
      <c r="F190" s="75">
        <v>200</v>
      </c>
      <c r="G190" s="9">
        <f t="shared" ref="G190:G208" si="15">E190*E$2</f>
        <v>0</v>
      </c>
      <c r="H190" s="9">
        <f t="shared" ref="H190:H208" si="16">F190*E$3</f>
        <v>0</v>
      </c>
      <c r="I190" s="99"/>
      <c r="J190" s="100"/>
      <c r="K190" s="100"/>
      <c r="L190" s="100"/>
      <c r="M190" s="101"/>
    </row>
    <row r="191" spans="2:13" ht="18" customHeight="1" x14ac:dyDescent="0.4">
      <c r="B191" s="104" t="s">
        <v>10</v>
      </c>
      <c r="C191" s="219" t="s">
        <v>309</v>
      </c>
      <c r="D191" s="16" t="s">
        <v>43</v>
      </c>
      <c r="E191" s="22">
        <f t="shared" ref="E191:E208" si="17">F191*0.65</f>
        <v>32.5</v>
      </c>
      <c r="F191" s="15">
        <v>50</v>
      </c>
      <c r="G191" s="9">
        <f t="shared" si="15"/>
        <v>0</v>
      </c>
      <c r="H191" s="9">
        <f t="shared" si="16"/>
        <v>0</v>
      </c>
      <c r="I191" s="266" t="s">
        <v>310</v>
      </c>
      <c r="J191" s="267"/>
      <c r="K191" s="267"/>
      <c r="L191" s="267"/>
      <c r="M191" s="268"/>
    </row>
    <row r="192" spans="2:13" ht="18" customHeight="1" x14ac:dyDescent="0.4">
      <c r="B192" s="104"/>
      <c r="C192" s="219"/>
      <c r="D192" s="16" t="s">
        <v>129</v>
      </c>
      <c r="E192" s="11">
        <f t="shared" si="17"/>
        <v>13</v>
      </c>
      <c r="F192" s="15">
        <v>20</v>
      </c>
      <c r="G192" s="9">
        <f t="shared" si="15"/>
        <v>0</v>
      </c>
      <c r="H192" s="9">
        <f t="shared" si="16"/>
        <v>0</v>
      </c>
      <c r="I192" s="269"/>
      <c r="J192" s="270"/>
      <c r="K192" s="270"/>
      <c r="L192" s="270"/>
      <c r="M192" s="271"/>
    </row>
    <row r="193" spans="2:13" ht="18" customHeight="1" x14ac:dyDescent="0.4">
      <c r="B193" s="104"/>
      <c r="C193" s="219"/>
      <c r="D193" s="16" t="s">
        <v>311</v>
      </c>
      <c r="E193" s="22">
        <f t="shared" si="17"/>
        <v>3.25</v>
      </c>
      <c r="F193" s="15">
        <v>5</v>
      </c>
      <c r="G193" s="9">
        <f t="shared" si="15"/>
        <v>0</v>
      </c>
      <c r="H193" s="9">
        <f t="shared" si="16"/>
        <v>0</v>
      </c>
      <c r="I193" s="269"/>
      <c r="J193" s="270"/>
      <c r="K193" s="270"/>
      <c r="L193" s="270"/>
      <c r="M193" s="271"/>
    </row>
    <row r="194" spans="2:13" ht="18" customHeight="1" x14ac:dyDescent="0.4">
      <c r="B194" s="104"/>
      <c r="C194" s="219"/>
      <c r="D194" s="16" t="s">
        <v>157</v>
      </c>
      <c r="E194" s="22">
        <f t="shared" si="17"/>
        <v>3.25</v>
      </c>
      <c r="F194" s="15">
        <v>5</v>
      </c>
      <c r="G194" s="9">
        <f t="shared" si="15"/>
        <v>0</v>
      </c>
      <c r="H194" s="9">
        <f t="shared" si="16"/>
        <v>0</v>
      </c>
      <c r="I194" s="269"/>
      <c r="J194" s="270"/>
      <c r="K194" s="270"/>
      <c r="L194" s="270"/>
      <c r="M194" s="271"/>
    </row>
    <row r="195" spans="2:13" ht="18" customHeight="1" x14ac:dyDescent="0.4">
      <c r="B195" s="104"/>
      <c r="C195" s="219"/>
      <c r="D195" s="16" t="s">
        <v>133</v>
      </c>
      <c r="E195" s="22">
        <f t="shared" si="17"/>
        <v>3.25</v>
      </c>
      <c r="F195" s="15">
        <v>5</v>
      </c>
      <c r="G195" s="9">
        <f t="shared" si="15"/>
        <v>0</v>
      </c>
      <c r="H195" s="9">
        <f t="shared" si="16"/>
        <v>0</v>
      </c>
      <c r="I195" s="269"/>
      <c r="J195" s="270"/>
      <c r="K195" s="270"/>
      <c r="L195" s="270"/>
      <c r="M195" s="271"/>
    </row>
    <row r="196" spans="2:13" ht="18" customHeight="1" x14ac:dyDescent="0.4">
      <c r="B196" s="104"/>
      <c r="C196" s="219"/>
      <c r="D196" s="16" t="s">
        <v>127</v>
      </c>
      <c r="E196" s="22">
        <f t="shared" si="17"/>
        <v>0.65</v>
      </c>
      <c r="F196" s="15">
        <v>1</v>
      </c>
      <c r="G196" s="9">
        <f t="shared" si="15"/>
        <v>0</v>
      </c>
      <c r="H196" s="9">
        <f t="shared" si="16"/>
        <v>0</v>
      </c>
      <c r="I196" s="269"/>
      <c r="J196" s="270"/>
      <c r="K196" s="270"/>
      <c r="L196" s="270"/>
      <c r="M196" s="271"/>
    </row>
    <row r="197" spans="2:13" ht="18" customHeight="1" x14ac:dyDescent="0.4">
      <c r="B197" s="104"/>
      <c r="C197" s="219"/>
      <c r="D197" s="16" t="s">
        <v>166</v>
      </c>
      <c r="E197" s="22">
        <f t="shared" si="17"/>
        <v>1.3</v>
      </c>
      <c r="F197" s="15">
        <v>2</v>
      </c>
      <c r="G197" s="9">
        <f t="shared" si="15"/>
        <v>0</v>
      </c>
      <c r="H197" s="9">
        <f t="shared" si="16"/>
        <v>0</v>
      </c>
      <c r="I197" s="269"/>
      <c r="J197" s="270"/>
      <c r="K197" s="270"/>
      <c r="L197" s="270"/>
      <c r="M197" s="271"/>
    </row>
    <row r="198" spans="2:13" ht="18" customHeight="1" x14ac:dyDescent="0.4">
      <c r="B198" s="104"/>
      <c r="C198" s="219"/>
      <c r="D198" s="16" t="s">
        <v>186</v>
      </c>
      <c r="E198" s="22">
        <f t="shared" si="17"/>
        <v>0.65</v>
      </c>
      <c r="F198" s="15">
        <v>1</v>
      </c>
      <c r="G198" s="9">
        <f t="shared" si="15"/>
        <v>0</v>
      </c>
      <c r="H198" s="9">
        <f t="shared" si="16"/>
        <v>0</v>
      </c>
      <c r="I198" s="269"/>
      <c r="J198" s="270"/>
      <c r="K198" s="270"/>
      <c r="L198" s="270"/>
      <c r="M198" s="271"/>
    </row>
    <row r="199" spans="2:13" ht="18" customHeight="1" x14ac:dyDescent="0.4">
      <c r="B199" s="104"/>
      <c r="C199" s="176" t="s">
        <v>312</v>
      </c>
      <c r="D199" s="78" t="s">
        <v>53</v>
      </c>
      <c r="E199" s="23">
        <f t="shared" si="17"/>
        <v>3.25</v>
      </c>
      <c r="F199" s="79">
        <v>5</v>
      </c>
      <c r="G199" s="9">
        <f t="shared" si="15"/>
        <v>0</v>
      </c>
      <c r="H199" s="9">
        <f t="shared" si="16"/>
        <v>0</v>
      </c>
      <c r="I199" s="178" t="s">
        <v>114</v>
      </c>
      <c r="J199" s="178"/>
      <c r="K199" s="178"/>
      <c r="L199" s="178"/>
      <c r="M199" s="179"/>
    </row>
    <row r="200" spans="2:13" ht="18" customHeight="1" x14ac:dyDescent="0.4">
      <c r="B200" s="104"/>
      <c r="C200" s="107"/>
      <c r="D200" s="78" t="s">
        <v>62</v>
      </c>
      <c r="E200" s="26">
        <f t="shared" si="17"/>
        <v>1.9500000000000002</v>
      </c>
      <c r="F200" s="79">
        <v>3</v>
      </c>
      <c r="G200" s="9">
        <f t="shared" si="15"/>
        <v>0</v>
      </c>
      <c r="H200" s="9">
        <f t="shared" si="16"/>
        <v>0</v>
      </c>
      <c r="I200" s="178"/>
      <c r="J200" s="178"/>
      <c r="K200" s="178"/>
      <c r="L200" s="178"/>
      <c r="M200" s="179"/>
    </row>
    <row r="201" spans="2:13" x14ac:dyDescent="0.4">
      <c r="B201" s="104"/>
      <c r="C201" s="107"/>
      <c r="D201" s="78" t="s">
        <v>68</v>
      </c>
      <c r="E201" s="23">
        <f t="shared" si="17"/>
        <v>0.32500000000000001</v>
      </c>
      <c r="F201" s="79">
        <v>0.5</v>
      </c>
      <c r="G201" s="9">
        <f t="shared" si="15"/>
        <v>0</v>
      </c>
      <c r="H201" s="9">
        <f t="shared" si="16"/>
        <v>0</v>
      </c>
      <c r="I201" s="178"/>
      <c r="J201" s="178"/>
      <c r="K201" s="178"/>
      <c r="L201" s="178"/>
      <c r="M201" s="179"/>
    </row>
    <row r="202" spans="2:13" x14ac:dyDescent="0.4">
      <c r="B202" s="104"/>
      <c r="C202" s="107"/>
      <c r="D202" s="78" t="s">
        <v>27</v>
      </c>
      <c r="E202" s="23">
        <f t="shared" si="17"/>
        <v>0.65</v>
      </c>
      <c r="F202" s="79">
        <v>1</v>
      </c>
      <c r="G202" s="9">
        <f t="shared" si="15"/>
        <v>0</v>
      </c>
      <c r="H202" s="9">
        <f t="shared" si="16"/>
        <v>0</v>
      </c>
      <c r="I202" s="178"/>
      <c r="J202" s="178"/>
      <c r="K202" s="178"/>
      <c r="L202" s="178"/>
      <c r="M202" s="179"/>
    </row>
    <row r="203" spans="2:13" x14ac:dyDescent="0.4">
      <c r="B203" s="104"/>
      <c r="C203" s="108"/>
      <c r="D203" s="78" t="s">
        <v>28</v>
      </c>
      <c r="E203" s="23">
        <f t="shared" si="17"/>
        <v>0.65</v>
      </c>
      <c r="F203" s="79">
        <v>1</v>
      </c>
      <c r="G203" s="9">
        <f t="shared" si="15"/>
        <v>0</v>
      </c>
      <c r="H203" s="9">
        <f t="shared" si="16"/>
        <v>0</v>
      </c>
      <c r="I203" s="178"/>
      <c r="J203" s="178"/>
      <c r="K203" s="178"/>
      <c r="L203" s="178"/>
      <c r="M203" s="179"/>
    </row>
    <row r="204" spans="2:13" x14ac:dyDescent="0.4">
      <c r="B204" s="104"/>
      <c r="C204" s="106" t="s">
        <v>313</v>
      </c>
      <c r="D204" s="16" t="s">
        <v>52</v>
      </c>
      <c r="E204" s="23">
        <f t="shared" si="17"/>
        <v>22.75</v>
      </c>
      <c r="F204" s="15">
        <v>35</v>
      </c>
      <c r="G204" s="9">
        <f t="shared" si="15"/>
        <v>0</v>
      </c>
      <c r="H204" s="9">
        <f t="shared" si="16"/>
        <v>0</v>
      </c>
      <c r="I204" s="109" t="s">
        <v>314</v>
      </c>
      <c r="J204" s="110"/>
      <c r="K204" s="110"/>
      <c r="L204" s="110"/>
      <c r="M204" s="111"/>
    </row>
    <row r="205" spans="2:13" x14ac:dyDescent="0.4">
      <c r="B205" s="104"/>
      <c r="C205" s="146"/>
      <c r="D205" s="16" t="s">
        <v>18</v>
      </c>
      <c r="E205" s="23">
        <f t="shared" si="17"/>
        <v>3.25</v>
      </c>
      <c r="F205" s="15">
        <v>5</v>
      </c>
      <c r="G205" s="9">
        <f t="shared" si="15"/>
        <v>0</v>
      </c>
      <c r="H205" s="9">
        <f t="shared" si="16"/>
        <v>0</v>
      </c>
      <c r="I205" s="112"/>
      <c r="J205" s="113"/>
      <c r="K205" s="113"/>
      <c r="L205" s="113"/>
      <c r="M205" s="114"/>
    </row>
    <row r="206" spans="2:13" x14ac:dyDescent="0.4">
      <c r="B206" s="104"/>
      <c r="C206" s="146"/>
      <c r="D206" s="16" t="s">
        <v>127</v>
      </c>
      <c r="E206" s="23">
        <f t="shared" si="17"/>
        <v>0.65</v>
      </c>
      <c r="F206" s="15">
        <v>1</v>
      </c>
      <c r="G206" s="9">
        <f t="shared" si="15"/>
        <v>0</v>
      </c>
      <c r="H206" s="9">
        <f t="shared" si="16"/>
        <v>0</v>
      </c>
      <c r="I206" s="112"/>
      <c r="J206" s="113"/>
      <c r="K206" s="113"/>
      <c r="L206" s="113"/>
      <c r="M206" s="114"/>
    </row>
    <row r="207" spans="2:13" x14ac:dyDescent="0.4">
      <c r="B207" s="104"/>
      <c r="C207" s="146"/>
      <c r="D207" s="75" t="s">
        <v>20</v>
      </c>
      <c r="E207" s="26">
        <f t="shared" si="17"/>
        <v>1.9500000000000002</v>
      </c>
      <c r="F207" s="76">
        <v>3</v>
      </c>
      <c r="G207" s="10">
        <f t="shared" si="15"/>
        <v>0</v>
      </c>
      <c r="H207" s="10">
        <f t="shared" si="16"/>
        <v>0</v>
      </c>
      <c r="I207" s="112"/>
      <c r="J207" s="113"/>
      <c r="K207" s="113"/>
      <c r="L207" s="113"/>
      <c r="M207" s="114"/>
    </row>
    <row r="208" spans="2:13" ht="18" thickBot="1" x14ac:dyDescent="0.45">
      <c r="B208" s="229"/>
      <c r="C208" s="61" t="s">
        <v>135</v>
      </c>
      <c r="D208" s="61" t="s">
        <v>136</v>
      </c>
      <c r="E208" s="29">
        <f t="shared" si="17"/>
        <v>13</v>
      </c>
      <c r="F208" s="77">
        <v>20</v>
      </c>
      <c r="G208" s="29">
        <f t="shared" si="15"/>
        <v>0</v>
      </c>
      <c r="H208" s="29">
        <f t="shared" si="16"/>
        <v>0</v>
      </c>
      <c r="I208" s="272" t="s">
        <v>137</v>
      </c>
      <c r="J208" s="273"/>
      <c r="K208" s="273"/>
      <c r="L208" s="273"/>
      <c r="M208" s="274"/>
    </row>
    <row r="209" spans="2:13" ht="18" thickTop="1" x14ac:dyDescent="0.4">
      <c r="B209" s="152"/>
      <c r="C209" s="152"/>
      <c r="D209" s="152"/>
      <c r="E209" s="152"/>
      <c r="F209" s="152"/>
      <c r="G209" s="152"/>
      <c r="H209" s="152"/>
      <c r="I209" s="152"/>
      <c r="J209" s="152"/>
      <c r="K209" s="152"/>
      <c r="L209" s="152"/>
      <c r="M209" s="152"/>
    </row>
  </sheetData>
  <mergeCells count="131">
    <mergeCell ref="B209:M209"/>
    <mergeCell ref="D85:D86"/>
    <mergeCell ref="E85:F85"/>
    <mergeCell ref="G85:H85"/>
    <mergeCell ref="I85:M86"/>
    <mergeCell ref="I87:M87"/>
    <mergeCell ref="B88:B105"/>
    <mergeCell ref="C88:C95"/>
    <mergeCell ref="I88:M95"/>
    <mergeCell ref="C96:C100"/>
    <mergeCell ref="I96:M100"/>
    <mergeCell ref="C101:C104"/>
    <mergeCell ref="I101:M104"/>
    <mergeCell ref="I105:M105"/>
    <mergeCell ref="B115:M115"/>
    <mergeCell ref="B117:M117"/>
    <mergeCell ref="B118:B119"/>
    <mergeCell ref="C2:C3"/>
    <mergeCell ref="F2:M3"/>
    <mergeCell ref="B4:M6"/>
    <mergeCell ref="B7:M7"/>
    <mergeCell ref="B8:B9"/>
    <mergeCell ref="C8:C9"/>
    <mergeCell ref="D8:D9"/>
    <mergeCell ref="E8:F8"/>
    <mergeCell ref="G8:H8"/>
    <mergeCell ref="I8:M9"/>
    <mergeCell ref="I10:M10"/>
    <mergeCell ref="I11:M11"/>
    <mergeCell ref="C12:C17"/>
    <mergeCell ref="I12:M17"/>
    <mergeCell ref="C18:C26"/>
    <mergeCell ref="I18:M26"/>
    <mergeCell ref="B11:B34"/>
    <mergeCell ref="C27:C33"/>
    <mergeCell ref="I27:M33"/>
    <mergeCell ref="I34:M34"/>
    <mergeCell ref="B35:B39"/>
    <mergeCell ref="C35:C38"/>
    <mergeCell ref="I35:M38"/>
    <mergeCell ref="I39:M39"/>
    <mergeCell ref="B40:M40"/>
    <mergeCell ref="B42:M42"/>
    <mergeCell ref="B43:B44"/>
    <mergeCell ref="C43:C44"/>
    <mergeCell ref="D43:D44"/>
    <mergeCell ref="E43:F43"/>
    <mergeCell ref="G43:H43"/>
    <mergeCell ref="I43:M44"/>
    <mergeCell ref="B45:B52"/>
    <mergeCell ref="C45:C52"/>
    <mergeCell ref="I45:M52"/>
    <mergeCell ref="B53:B79"/>
    <mergeCell ref="C53:C54"/>
    <mergeCell ref="I53:M54"/>
    <mergeCell ref="C55:C62"/>
    <mergeCell ref="I55:M62"/>
    <mergeCell ref="C63:C72"/>
    <mergeCell ref="I63:M72"/>
    <mergeCell ref="C73:C78"/>
    <mergeCell ref="I73:M78"/>
    <mergeCell ref="I79:M79"/>
    <mergeCell ref="B80:B81"/>
    <mergeCell ref="I80:M80"/>
    <mergeCell ref="I81:M81"/>
    <mergeCell ref="B82:M82"/>
    <mergeCell ref="B84:M84"/>
    <mergeCell ref="B85:B86"/>
    <mergeCell ref="C85:C86"/>
    <mergeCell ref="B106:B114"/>
    <mergeCell ref="C106:C114"/>
    <mergeCell ref="I106:M114"/>
    <mergeCell ref="C118:C119"/>
    <mergeCell ref="D118:D119"/>
    <mergeCell ref="E118:F118"/>
    <mergeCell ref="G118:H118"/>
    <mergeCell ref="I118:M119"/>
    <mergeCell ref="I120:M120"/>
    <mergeCell ref="B121:B139"/>
    <mergeCell ref="C121:C122"/>
    <mergeCell ref="I121:M122"/>
    <mergeCell ref="C123:C130"/>
    <mergeCell ref="I123:M130"/>
    <mergeCell ref="C131:C133"/>
    <mergeCell ref="I131:M133"/>
    <mergeCell ref="C134:C138"/>
    <mergeCell ref="I134:M138"/>
    <mergeCell ref="I139:M139"/>
    <mergeCell ref="B140:B150"/>
    <mergeCell ref="C140:C150"/>
    <mergeCell ref="I140:M150"/>
    <mergeCell ref="B151:M151"/>
    <mergeCell ref="B153:M153"/>
    <mergeCell ref="B154:B155"/>
    <mergeCell ref="C154:C155"/>
    <mergeCell ref="D154:D155"/>
    <mergeCell ref="E154:F154"/>
    <mergeCell ref="G154:H154"/>
    <mergeCell ref="I154:M155"/>
    <mergeCell ref="I156:M156"/>
    <mergeCell ref="B157:B181"/>
    <mergeCell ref="C157:C158"/>
    <mergeCell ref="I157:M158"/>
    <mergeCell ref="C159:C166"/>
    <mergeCell ref="I159:M166"/>
    <mergeCell ref="C167:C174"/>
    <mergeCell ref="I167:M174"/>
    <mergeCell ref="C175:C180"/>
    <mergeCell ref="I175:M180"/>
    <mergeCell ref="I181:M181"/>
    <mergeCell ref="I190:M190"/>
    <mergeCell ref="B191:B208"/>
    <mergeCell ref="B182:B184"/>
    <mergeCell ref="I182:M182"/>
    <mergeCell ref="I183:M183"/>
    <mergeCell ref="I184:M184"/>
    <mergeCell ref="B185:M185"/>
    <mergeCell ref="B187:M187"/>
    <mergeCell ref="B188:B189"/>
    <mergeCell ref="C188:C189"/>
    <mergeCell ref="D188:D189"/>
    <mergeCell ref="E188:F188"/>
    <mergeCell ref="G188:H188"/>
    <mergeCell ref="I188:M189"/>
    <mergeCell ref="C191:C198"/>
    <mergeCell ref="I191:M198"/>
    <mergeCell ref="C199:C203"/>
    <mergeCell ref="I199:M203"/>
    <mergeCell ref="C204:C207"/>
    <mergeCell ref="I204:M207"/>
    <mergeCell ref="I208:M208"/>
  </mergeCells>
  <phoneticPr fontId="2" type="noConversion"/>
  <pageMargins left="0.25" right="0.25" top="0.75" bottom="0.75" header="0.3" footer="0.3"/>
  <rowBreaks count="5" manualBreakCount="5">
    <brk id="41" min="1" max="12" man="1"/>
    <brk id="83" min="1" max="12" man="1"/>
    <brk id="116" min="1" max="12" man="1"/>
    <brk id="152" min="1" max="12" man="1"/>
    <brk id="186" min="1" max="12" man="1"/>
  </row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7FD85-4498-4A9E-9308-5473BA39C43E}">
  <sheetPr>
    <pageSetUpPr fitToPage="1"/>
  </sheetPr>
  <dimension ref="B1:M195"/>
  <sheetViews>
    <sheetView zoomScaleNormal="100" zoomScaleSheetLayoutView="70" workbookViewId="0">
      <selection activeCell="O196" sqref="O196"/>
    </sheetView>
  </sheetViews>
  <sheetFormatPr defaultColWidth="9" defaultRowHeight="17.399999999999999" x14ac:dyDescent="0.4"/>
  <cols>
    <col min="1" max="1" width="4.8984375" customWidth="1"/>
    <col min="2" max="2" width="9" style="1"/>
    <col min="3" max="3" width="18.59765625" style="1" customWidth="1"/>
    <col min="4" max="4" width="11.59765625" style="1" customWidth="1"/>
    <col min="5" max="12" width="9" style="1"/>
    <col min="13" max="13" width="9" style="1" customWidth="1"/>
  </cols>
  <sheetData>
    <row r="1" spans="2:13" ht="18" thickBot="1" x14ac:dyDescent="0.45"/>
    <row r="2" spans="2:13" ht="18" customHeight="1" thickTop="1" thickBot="1" x14ac:dyDescent="0.45">
      <c r="C2" s="128" t="s">
        <v>0</v>
      </c>
      <c r="D2" s="3" t="s">
        <v>1</v>
      </c>
      <c r="E2" s="4"/>
      <c r="F2" s="130" t="s">
        <v>109</v>
      </c>
      <c r="G2" s="131"/>
      <c r="H2" s="131"/>
      <c r="I2" s="131"/>
      <c r="J2" s="131"/>
      <c r="K2" s="131"/>
      <c r="L2" s="131"/>
      <c r="M2" s="131"/>
    </row>
    <row r="3" spans="2:13" ht="18" customHeight="1" thickTop="1" thickBot="1" x14ac:dyDescent="0.45">
      <c r="C3" s="129"/>
      <c r="D3" s="3" t="s">
        <v>2</v>
      </c>
      <c r="E3" s="2"/>
      <c r="F3" s="130"/>
      <c r="G3" s="131"/>
      <c r="H3" s="131"/>
      <c r="I3" s="131"/>
      <c r="J3" s="131"/>
      <c r="K3" s="131"/>
      <c r="L3" s="131"/>
      <c r="M3" s="131"/>
    </row>
    <row r="4" spans="2:13" ht="34.5" customHeight="1" thickTop="1" x14ac:dyDescent="0.4">
      <c r="B4" s="132" t="s">
        <v>98</v>
      </c>
      <c r="C4" s="132"/>
      <c r="D4" s="132"/>
      <c r="E4" s="132"/>
      <c r="F4" s="132"/>
      <c r="G4" s="132"/>
      <c r="H4" s="132"/>
      <c r="I4" s="132"/>
      <c r="J4" s="132"/>
      <c r="K4" s="132"/>
      <c r="L4" s="132"/>
      <c r="M4" s="132"/>
    </row>
    <row r="5" spans="2:13" ht="16.5" customHeight="1" x14ac:dyDescent="0.4"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</row>
    <row r="6" spans="2:13" ht="16.5" customHeight="1" thickBot="1" x14ac:dyDescent="0.45">
      <c r="B6" s="133"/>
      <c r="C6" s="133"/>
      <c r="D6" s="133"/>
      <c r="E6" s="133"/>
      <c r="F6" s="133"/>
      <c r="G6" s="133"/>
      <c r="H6" s="133"/>
      <c r="I6" s="133"/>
      <c r="J6" s="133"/>
      <c r="K6" s="133"/>
      <c r="L6" s="133"/>
      <c r="M6" s="133"/>
    </row>
    <row r="7" spans="2:13" ht="21" customHeight="1" thickTop="1" x14ac:dyDescent="0.4">
      <c r="B7" s="134" t="s">
        <v>315</v>
      </c>
      <c r="C7" s="135"/>
      <c r="D7" s="135"/>
      <c r="E7" s="135"/>
      <c r="F7" s="135"/>
      <c r="G7" s="135"/>
      <c r="H7" s="135"/>
      <c r="I7" s="135"/>
      <c r="J7" s="135"/>
      <c r="K7" s="135"/>
      <c r="L7" s="135"/>
      <c r="M7" s="136"/>
    </row>
    <row r="8" spans="2:13" ht="18" customHeight="1" x14ac:dyDescent="0.4">
      <c r="B8" s="137" t="s">
        <v>3</v>
      </c>
      <c r="C8" s="138" t="s">
        <v>4</v>
      </c>
      <c r="D8" s="138" t="s">
        <v>5</v>
      </c>
      <c r="E8" s="138" t="s">
        <v>6</v>
      </c>
      <c r="F8" s="138"/>
      <c r="G8" s="138" t="s">
        <v>7</v>
      </c>
      <c r="H8" s="138"/>
      <c r="I8" s="138" t="s">
        <v>8</v>
      </c>
      <c r="J8" s="138"/>
      <c r="K8" s="138"/>
      <c r="L8" s="138"/>
      <c r="M8" s="139"/>
    </row>
    <row r="9" spans="2:13" ht="18" customHeight="1" x14ac:dyDescent="0.4">
      <c r="B9" s="137"/>
      <c r="C9" s="138"/>
      <c r="D9" s="138"/>
      <c r="E9" s="5" t="s">
        <v>1</v>
      </c>
      <c r="F9" s="5" t="s">
        <v>2</v>
      </c>
      <c r="G9" s="6" t="s">
        <v>1</v>
      </c>
      <c r="H9" s="7" t="s">
        <v>2</v>
      </c>
      <c r="I9" s="138"/>
      <c r="J9" s="138"/>
      <c r="K9" s="138"/>
      <c r="L9" s="138"/>
      <c r="M9" s="139"/>
    </row>
    <row r="10" spans="2:13" ht="18" customHeight="1" x14ac:dyDescent="0.4">
      <c r="B10" s="8" t="s">
        <v>9</v>
      </c>
      <c r="C10" s="58" t="s">
        <v>203</v>
      </c>
      <c r="D10" s="58" t="s">
        <v>203</v>
      </c>
      <c r="E10" s="17">
        <f>F10*0.65</f>
        <v>32.5</v>
      </c>
      <c r="F10" s="36">
        <v>50</v>
      </c>
      <c r="G10" s="9">
        <f t="shared" ref="G10:G39" si="0">E10*E$2</f>
        <v>0</v>
      </c>
      <c r="H10" s="9">
        <f>E10*E$3</f>
        <v>0</v>
      </c>
      <c r="I10" s="163" t="s">
        <v>204</v>
      </c>
      <c r="J10" s="164"/>
      <c r="K10" s="164"/>
      <c r="L10" s="164"/>
      <c r="M10" s="165"/>
    </row>
    <row r="11" spans="2:13" ht="18" customHeight="1" x14ac:dyDescent="0.4">
      <c r="B11" s="169" t="s">
        <v>12</v>
      </c>
      <c r="C11" s="219" t="s">
        <v>58</v>
      </c>
      <c r="D11" s="80" t="s">
        <v>43</v>
      </c>
      <c r="E11" s="9">
        <f>F11*0.7</f>
        <v>35</v>
      </c>
      <c r="F11" s="15">
        <v>50</v>
      </c>
      <c r="G11" s="9">
        <f t="shared" si="0"/>
        <v>0</v>
      </c>
      <c r="H11" s="9">
        <f t="shared" ref="H11:H39" si="1">F11*E$3</f>
        <v>0</v>
      </c>
      <c r="I11" s="120" t="s">
        <v>107</v>
      </c>
      <c r="J11" s="121"/>
      <c r="K11" s="121"/>
      <c r="L11" s="121"/>
      <c r="M11" s="122"/>
    </row>
    <row r="12" spans="2:13" ht="18" customHeight="1" x14ac:dyDescent="0.4">
      <c r="B12" s="170"/>
      <c r="C12" s="219"/>
      <c r="D12" s="80" t="s">
        <v>57</v>
      </c>
      <c r="E12" s="9">
        <f>F12*0.7</f>
        <v>3.5</v>
      </c>
      <c r="F12" s="15">
        <v>5</v>
      </c>
      <c r="G12" s="9">
        <f t="shared" si="0"/>
        <v>0</v>
      </c>
      <c r="H12" s="9">
        <f t="shared" si="1"/>
        <v>0</v>
      </c>
      <c r="I12" s="173"/>
      <c r="J12" s="174"/>
      <c r="K12" s="174"/>
      <c r="L12" s="174"/>
      <c r="M12" s="175"/>
    </row>
    <row r="13" spans="2:13" ht="18" customHeight="1" x14ac:dyDescent="0.4">
      <c r="B13" s="170"/>
      <c r="C13" s="189" t="s">
        <v>316</v>
      </c>
      <c r="D13" s="16" t="s">
        <v>65</v>
      </c>
      <c r="E13" s="9">
        <f>F13*0.65</f>
        <v>1.3</v>
      </c>
      <c r="F13" s="15">
        <v>2</v>
      </c>
      <c r="G13" s="9">
        <f t="shared" si="0"/>
        <v>0</v>
      </c>
      <c r="H13" s="9">
        <f t="shared" si="1"/>
        <v>0</v>
      </c>
      <c r="I13" s="120" t="s">
        <v>317</v>
      </c>
      <c r="J13" s="121"/>
      <c r="K13" s="121"/>
      <c r="L13" s="121"/>
      <c r="M13" s="122"/>
    </row>
    <row r="14" spans="2:13" ht="18" customHeight="1" x14ac:dyDescent="0.4">
      <c r="B14" s="170"/>
      <c r="C14" s="189"/>
      <c r="D14" s="16" t="s">
        <v>127</v>
      </c>
      <c r="E14" s="23">
        <f>F14*0.65</f>
        <v>0.32500000000000001</v>
      </c>
      <c r="F14" s="15">
        <v>0.5</v>
      </c>
      <c r="G14" s="9">
        <f t="shared" si="0"/>
        <v>0</v>
      </c>
      <c r="H14" s="9">
        <f t="shared" si="1"/>
        <v>0</v>
      </c>
      <c r="I14" s="123"/>
      <c r="J14" s="124"/>
      <c r="K14" s="124"/>
      <c r="L14" s="124"/>
      <c r="M14" s="125"/>
    </row>
    <row r="15" spans="2:13" ht="18" customHeight="1" x14ac:dyDescent="0.4">
      <c r="B15" s="170"/>
      <c r="C15" s="189"/>
      <c r="D15" s="16" t="s">
        <v>18</v>
      </c>
      <c r="E15" s="23">
        <f>F15*0.65</f>
        <v>0.65</v>
      </c>
      <c r="F15" s="15">
        <v>1</v>
      </c>
      <c r="G15" s="9">
        <f t="shared" si="0"/>
        <v>0</v>
      </c>
      <c r="H15" s="9">
        <f t="shared" si="1"/>
        <v>0</v>
      </c>
      <c r="I15" s="123"/>
      <c r="J15" s="124"/>
      <c r="K15" s="124"/>
      <c r="L15" s="124"/>
      <c r="M15" s="125"/>
    </row>
    <row r="16" spans="2:13" ht="18" customHeight="1" x14ac:dyDescent="0.4">
      <c r="B16" s="170"/>
      <c r="C16" s="189"/>
      <c r="D16" s="16" t="s">
        <v>15</v>
      </c>
      <c r="E16" s="23">
        <f>F16*0.65</f>
        <v>0.32500000000000001</v>
      </c>
      <c r="F16" s="15">
        <v>0.5</v>
      </c>
      <c r="G16" s="9">
        <f t="shared" si="0"/>
        <v>0</v>
      </c>
      <c r="H16" s="9">
        <f t="shared" si="1"/>
        <v>0</v>
      </c>
      <c r="I16" s="123"/>
      <c r="J16" s="124"/>
      <c r="K16" s="124"/>
      <c r="L16" s="124"/>
      <c r="M16" s="125"/>
    </row>
    <row r="17" spans="2:13" ht="18" customHeight="1" x14ac:dyDescent="0.4">
      <c r="B17" s="170"/>
      <c r="C17" s="189"/>
      <c r="D17" s="16" t="s">
        <v>14</v>
      </c>
      <c r="E17" s="23">
        <f>F17*0.65</f>
        <v>0.65</v>
      </c>
      <c r="F17" s="15">
        <v>1</v>
      </c>
      <c r="G17" s="9">
        <f t="shared" si="0"/>
        <v>0</v>
      </c>
      <c r="H17" s="9">
        <f t="shared" si="1"/>
        <v>0</v>
      </c>
      <c r="I17" s="173"/>
      <c r="J17" s="174"/>
      <c r="K17" s="174"/>
      <c r="L17" s="174"/>
      <c r="M17" s="175"/>
    </row>
    <row r="18" spans="2:13" ht="18" customHeight="1" x14ac:dyDescent="0.4">
      <c r="B18" s="170"/>
      <c r="C18" s="106" t="s">
        <v>318</v>
      </c>
      <c r="D18" s="16" t="s">
        <v>90</v>
      </c>
      <c r="E18" s="9">
        <v>26</v>
      </c>
      <c r="F18" s="16">
        <v>40</v>
      </c>
      <c r="G18" s="9">
        <f t="shared" si="0"/>
        <v>0</v>
      </c>
      <c r="H18" s="9">
        <f t="shared" si="1"/>
        <v>0</v>
      </c>
      <c r="I18" s="109" t="s">
        <v>319</v>
      </c>
      <c r="J18" s="110"/>
      <c r="K18" s="110"/>
      <c r="L18" s="110"/>
      <c r="M18" s="111"/>
    </row>
    <row r="19" spans="2:13" ht="18" customHeight="1" x14ac:dyDescent="0.4">
      <c r="B19" s="170"/>
      <c r="C19" s="146"/>
      <c r="D19" s="16" t="s">
        <v>22</v>
      </c>
      <c r="E19" s="9">
        <v>6.5</v>
      </c>
      <c r="F19" s="16">
        <v>10</v>
      </c>
      <c r="G19" s="9">
        <f t="shared" si="0"/>
        <v>0</v>
      </c>
      <c r="H19" s="9">
        <f t="shared" si="1"/>
        <v>0</v>
      </c>
      <c r="I19" s="112"/>
      <c r="J19" s="113"/>
      <c r="K19" s="113"/>
      <c r="L19" s="113"/>
      <c r="M19" s="114"/>
    </row>
    <row r="20" spans="2:13" ht="18" customHeight="1" x14ac:dyDescent="0.4">
      <c r="B20" s="170"/>
      <c r="C20" s="146"/>
      <c r="D20" s="16" t="s">
        <v>21</v>
      </c>
      <c r="E20" s="22">
        <v>3.25</v>
      </c>
      <c r="F20" s="16">
        <v>5</v>
      </c>
      <c r="G20" s="9">
        <f t="shared" si="0"/>
        <v>0</v>
      </c>
      <c r="H20" s="9">
        <f t="shared" si="1"/>
        <v>0</v>
      </c>
      <c r="I20" s="112"/>
      <c r="J20" s="113"/>
      <c r="K20" s="113"/>
      <c r="L20" s="113"/>
      <c r="M20" s="114"/>
    </row>
    <row r="21" spans="2:13" ht="18" customHeight="1" x14ac:dyDescent="0.4">
      <c r="B21" s="170"/>
      <c r="C21" s="146"/>
      <c r="D21" s="16" t="s">
        <v>24</v>
      </c>
      <c r="E21" s="11">
        <v>1.9500000000000002</v>
      </c>
      <c r="F21" s="16">
        <v>3</v>
      </c>
      <c r="G21" s="9">
        <f t="shared" si="0"/>
        <v>0</v>
      </c>
      <c r="H21" s="9">
        <f t="shared" si="1"/>
        <v>0</v>
      </c>
      <c r="I21" s="112"/>
      <c r="J21" s="113"/>
      <c r="K21" s="113"/>
      <c r="L21" s="113"/>
      <c r="M21" s="114"/>
    </row>
    <row r="22" spans="2:13" ht="18" customHeight="1" x14ac:dyDescent="0.4">
      <c r="B22" s="170"/>
      <c r="C22" s="146"/>
      <c r="D22" s="16" t="s">
        <v>127</v>
      </c>
      <c r="E22" s="22">
        <v>0.32500000000000001</v>
      </c>
      <c r="F22" s="16">
        <v>0.5</v>
      </c>
      <c r="G22" s="9">
        <f t="shared" si="0"/>
        <v>0</v>
      </c>
      <c r="H22" s="9">
        <f t="shared" si="1"/>
        <v>0</v>
      </c>
      <c r="I22" s="112"/>
      <c r="J22" s="113"/>
      <c r="K22" s="113"/>
      <c r="L22" s="113"/>
      <c r="M22" s="114"/>
    </row>
    <row r="23" spans="2:13" ht="18" customHeight="1" x14ac:dyDescent="0.4">
      <c r="B23" s="170"/>
      <c r="C23" s="146"/>
      <c r="D23" s="16" t="s">
        <v>18</v>
      </c>
      <c r="E23" s="22">
        <v>3.25</v>
      </c>
      <c r="F23" s="16">
        <v>5</v>
      </c>
      <c r="G23" s="9">
        <f t="shared" si="0"/>
        <v>0</v>
      </c>
      <c r="H23" s="9">
        <f t="shared" si="1"/>
        <v>0</v>
      </c>
      <c r="I23" s="112"/>
      <c r="J23" s="113"/>
      <c r="K23" s="113"/>
      <c r="L23" s="113"/>
      <c r="M23" s="114"/>
    </row>
    <row r="24" spans="2:13" ht="18" customHeight="1" x14ac:dyDescent="0.4">
      <c r="B24" s="170"/>
      <c r="C24" s="146"/>
      <c r="D24" s="16" t="s">
        <v>20</v>
      </c>
      <c r="E24" s="9">
        <v>1.3</v>
      </c>
      <c r="F24" s="16">
        <v>2</v>
      </c>
      <c r="G24" s="9">
        <f t="shared" si="0"/>
        <v>0</v>
      </c>
      <c r="H24" s="9">
        <f t="shared" si="1"/>
        <v>0</v>
      </c>
      <c r="I24" s="112"/>
      <c r="J24" s="113"/>
      <c r="K24" s="113"/>
      <c r="L24" s="113"/>
      <c r="M24" s="114"/>
    </row>
    <row r="25" spans="2:13" ht="18" customHeight="1" x14ac:dyDescent="0.4">
      <c r="B25" s="170"/>
      <c r="C25" s="146"/>
      <c r="D25" s="16" t="s">
        <v>14</v>
      </c>
      <c r="E25" s="22">
        <v>0.65</v>
      </c>
      <c r="F25" s="16">
        <v>1</v>
      </c>
      <c r="G25" s="9">
        <f t="shared" si="0"/>
        <v>0</v>
      </c>
      <c r="H25" s="9">
        <f t="shared" si="1"/>
        <v>0</v>
      </c>
      <c r="I25" s="112"/>
      <c r="J25" s="113"/>
      <c r="K25" s="113"/>
      <c r="L25" s="113"/>
      <c r="M25" s="114"/>
    </row>
    <row r="26" spans="2:13" ht="18" customHeight="1" x14ac:dyDescent="0.4">
      <c r="B26" s="170"/>
      <c r="C26" s="146"/>
      <c r="D26" s="16" t="s">
        <v>13</v>
      </c>
      <c r="E26" s="22">
        <v>0.13</v>
      </c>
      <c r="F26" s="16">
        <v>0.2</v>
      </c>
      <c r="G26" s="9">
        <f t="shared" si="0"/>
        <v>0</v>
      </c>
      <c r="H26" s="9">
        <f t="shared" si="1"/>
        <v>0</v>
      </c>
      <c r="I26" s="115"/>
      <c r="J26" s="116"/>
      <c r="K26" s="116"/>
      <c r="L26" s="116"/>
      <c r="M26" s="117"/>
    </row>
    <row r="27" spans="2:13" ht="18" customHeight="1" x14ac:dyDescent="0.4">
      <c r="B27" s="170"/>
      <c r="C27" s="126" t="s">
        <v>320</v>
      </c>
      <c r="D27" s="16" t="s">
        <v>59</v>
      </c>
      <c r="E27" s="9">
        <f t="shared" ref="E27:E39" si="2">F27*0.65</f>
        <v>19.5</v>
      </c>
      <c r="F27" s="15">
        <v>30</v>
      </c>
      <c r="G27" s="9">
        <f t="shared" si="0"/>
        <v>0</v>
      </c>
      <c r="H27" s="9">
        <f t="shared" si="1"/>
        <v>0</v>
      </c>
      <c r="I27" s="109" t="s">
        <v>321</v>
      </c>
      <c r="J27" s="110"/>
      <c r="K27" s="110"/>
      <c r="L27" s="110"/>
      <c r="M27" s="111"/>
    </row>
    <row r="28" spans="2:13" ht="18" customHeight="1" x14ac:dyDescent="0.4">
      <c r="B28" s="170"/>
      <c r="C28" s="127"/>
      <c r="D28" s="16" t="s">
        <v>127</v>
      </c>
      <c r="E28" s="23">
        <f t="shared" si="2"/>
        <v>0.32500000000000001</v>
      </c>
      <c r="F28" s="15">
        <v>0.5</v>
      </c>
      <c r="G28" s="9">
        <f t="shared" si="0"/>
        <v>0</v>
      </c>
      <c r="H28" s="9">
        <f t="shared" si="1"/>
        <v>0</v>
      </c>
      <c r="I28" s="112"/>
      <c r="J28" s="113"/>
      <c r="K28" s="113"/>
      <c r="L28" s="113"/>
      <c r="M28" s="114"/>
    </row>
    <row r="29" spans="2:13" ht="18" customHeight="1" x14ac:dyDescent="0.4">
      <c r="B29" s="170"/>
      <c r="C29" s="221"/>
      <c r="D29" s="16" t="s">
        <v>15</v>
      </c>
      <c r="E29" s="23">
        <f t="shared" si="2"/>
        <v>0.32500000000000001</v>
      </c>
      <c r="F29" s="15">
        <v>0.5</v>
      </c>
      <c r="G29" s="9">
        <f t="shared" si="0"/>
        <v>0</v>
      </c>
      <c r="H29" s="9">
        <f t="shared" si="1"/>
        <v>0</v>
      </c>
      <c r="I29" s="112"/>
      <c r="J29" s="113"/>
      <c r="K29" s="113"/>
      <c r="L29" s="113"/>
      <c r="M29" s="114"/>
    </row>
    <row r="30" spans="2:13" ht="18" customHeight="1" x14ac:dyDescent="0.4">
      <c r="B30" s="170"/>
      <c r="C30" s="221"/>
      <c r="D30" s="16" t="s">
        <v>19</v>
      </c>
      <c r="E30" s="23">
        <f t="shared" si="2"/>
        <v>0.65</v>
      </c>
      <c r="F30" s="15">
        <v>1</v>
      </c>
      <c r="G30" s="9">
        <f t="shared" si="0"/>
        <v>0</v>
      </c>
      <c r="H30" s="9">
        <f t="shared" si="1"/>
        <v>0</v>
      </c>
      <c r="I30" s="112"/>
      <c r="J30" s="113"/>
      <c r="K30" s="113"/>
      <c r="L30" s="113"/>
      <c r="M30" s="114"/>
    </row>
    <row r="31" spans="2:13" ht="18" customHeight="1" x14ac:dyDescent="0.4">
      <c r="B31" s="170"/>
      <c r="C31" s="221"/>
      <c r="D31" s="16" t="s">
        <v>13</v>
      </c>
      <c r="E31" s="23">
        <f t="shared" si="2"/>
        <v>0.13</v>
      </c>
      <c r="F31" s="15">
        <v>0.2</v>
      </c>
      <c r="G31" s="9">
        <f t="shared" si="0"/>
        <v>0</v>
      </c>
      <c r="H31" s="9">
        <f t="shared" si="1"/>
        <v>0</v>
      </c>
      <c r="I31" s="115"/>
      <c r="J31" s="116"/>
      <c r="K31" s="116"/>
      <c r="L31" s="116"/>
      <c r="M31" s="117"/>
    </row>
    <row r="32" spans="2:13" ht="18" customHeight="1" x14ac:dyDescent="0.4">
      <c r="B32" s="170"/>
      <c r="C32" s="19" t="s">
        <v>135</v>
      </c>
      <c r="D32" s="45" t="s">
        <v>136</v>
      </c>
      <c r="E32" s="21">
        <f t="shared" si="2"/>
        <v>13</v>
      </c>
      <c r="F32" s="16">
        <v>20</v>
      </c>
      <c r="G32" s="9">
        <f t="shared" si="0"/>
        <v>0</v>
      </c>
      <c r="H32" s="9">
        <f t="shared" si="1"/>
        <v>0</v>
      </c>
      <c r="I32" s="208" t="s">
        <v>115</v>
      </c>
      <c r="J32" s="209"/>
      <c r="K32" s="209"/>
      <c r="L32" s="209"/>
      <c r="M32" s="210"/>
    </row>
    <row r="33" spans="2:13" ht="18" customHeight="1" x14ac:dyDescent="0.4">
      <c r="B33" s="153" t="s">
        <v>11</v>
      </c>
      <c r="C33" s="307" t="s">
        <v>322</v>
      </c>
      <c r="D33" s="16" t="s">
        <v>323</v>
      </c>
      <c r="E33" s="17">
        <f t="shared" si="2"/>
        <v>6.5</v>
      </c>
      <c r="F33" s="16">
        <v>10</v>
      </c>
      <c r="G33" s="9">
        <f t="shared" si="0"/>
        <v>0</v>
      </c>
      <c r="H33" s="9">
        <f t="shared" si="1"/>
        <v>0</v>
      </c>
      <c r="I33" s="148" t="s">
        <v>324</v>
      </c>
      <c r="J33" s="148"/>
      <c r="K33" s="148"/>
      <c r="L33" s="148"/>
      <c r="M33" s="149"/>
    </row>
    <row r="34" spans="2:13" ht="18" customHeight="1" x14ac:dyDescent="0.4">
      <c r="B34" s="154"/>
      <c r="C34" s="307"/>
      <c r="D34" s="16" t="s">
        <v>142</v>
      </c>
      <c r="E34" s="17">
        <f t="shared" si="2"/>
        <v>6.5</v>
      </c>
      <c r="F34" s="16">
        <v>10</v>
      </c>
      <c r="G34" s="9">
        <f t="shared" si="0"/>
        <v>0</v>
      </c>
      <c r="H34" s="9">
        <f t="shared" si="1"/>
        <v>0</v>
      </c>
      <c r="I34" s="148"/>
      <c r="J34" s="148"/>
      <c r="K34" s="148"/>
      <c r="L34" s="148"/>
      <c r="M34" s="149"/>
    </row>
    <row r="35" spans="2:13" ht="18" customHeight="1" x14ac:dyDescent="0.4">
      <c r="B35" s="154"/>
      <c r="C35" s="307"/>
      <c r="D35" s="16" t="s">
        <v>21</v>
      </c>
      <c r="E35" s="17">
        <f t="shared" si="2"/>
        <v>3.25</v>
      </c>
      <c r="F35" s="16">
        <v>5</v>
      </c>
      <c r="G35" s="9">
        <f t="shared" si="0"/>
        <v>0</v>
      </c>
      <c r="H35" s="9">
        <f t="shared" si="1"/>
        <v>0</v>
      </c>
      <c r="I35" s="148"/>
      <c r="J35" s="148"/>
      <c r="K35" s="148"/>
      <c r="L35" s="148"/>
      <c r="M35" s="149"/>
    </row>
    <row r="36" spans="2:13" ht="18" customHeight="1" x14ac:dyDescent="0.4">
      <c r="B36" s="154"/>
      <c r="C36" s="307"/>
      <c r="D36" s="16" t="s">
        <v>22</v>
      </c>
      <c r="E36" s="17">
        <f t="shared" si="2"/>
        <v>3.25</v>
      </c>
      <c r="F36" s="16">
        <v>5</v>
      </c>
      <c r="G36" s="9">
        <f t="shared" si="0"/>
        <v>0</v>
      </c>
      <c r="H36" s="9">
        <f t="shared" si="1"/>
        <v>0</v>
      </c>
      <c r="I36" s="148"/>
      <c r="J36" s="148"/>
      <c r="K36" s="148"/>
      <c r="L36" s="148"/>
      <c r="M36" s="149"/>
    </row>
    <row r="37" spans="2:13" ht="18" customHeight="1" x14ac:dyDescent="0.4">
      <c r="B37" s="154"/>
      <c r="C37" s="307"/>
      <c r="D37" s="16" t="s">
        <v>325</v>
      </c>
      <c r="E37" s="17">
        <f t="shared" si="2"/>
        <v>6.5</v>
      </c>
      <c r="F37" s="16">
        <v>10</v>
      </c>
      <c r="G37" s="9">
        <f t="shared" si="0"/>
        <v>0</v>
      </c>
      <c r="H37" s="9">
        <f t="shared" si="1"/>
        <v>0</v>
      </c>
      <c r="I37" s="148"/>
      <c r="J37" s="148"/>
      <c r="K37" s="148"/>
      <c r="L37" s="148"/>
      <c r="M37" s="149"/>
    </row>
    <row r="38" spans="2:13" ht="18" customHeight="1" x14ac:dyDescent="0.4">
      <c r="B38" s="154"/>
      <c r="C38" s="307"/>
      <c r="D38" s="16" t="s">
        <v>15</v>
      </c>
      <c r="E38" s="17">
        <f t="shared" si="2"/>
        <v>0.32500000000000001</v>
      </c>
      <c r="F38" s="16">
        <v>0.5</v>
      </c>
      <c r="G38" s="9">
        <f t="shared" si="0"/>
        <v>0</v>
      </c>
      <c r="H38" s="9">
        <f t="shared" si="1"/>
        <v>0</v>
      </c>
      <c r="I38" s="148"/>
      <c r="J38" s="148"/>
      <c r="K38" s="148"/>
      <c r="L38" s="148"/>
      <c r="M38" s="149"/>
    </row>
    <row r="39" spans="2:13" ht="18" customHeight="1" thickBot="1" x14ac:dyDescent="0.45">
      <c r="B39" s="155"/>
      <c r="C39" s="308"/>
      <c r="D39" s="27" t="s">
        <v>19</v>
      </c>
      <c r="E39" s="62">
        <f t="shared" si="2"/>
        <v>1.9500000000000002</v>
      </c>
      <c r="F39" s="27">
        <v>3</v>
      </c>
      <c r="G39" s="29">
        <f t="shared" si="0"/>
        <v>0</v>
      </c>
      <c r="H39" s="29">
        <f t="shared" si="1"/>
        <v>0</v>
      </c>
      <c r="I39" s="150"/>
      <c r="J39" s="150"/>
      <c r="K39" s="150"/>
      <c r="L39" s="150"/>
      <c r="M39" s="151"/>
    </row>
    <row r="40" spans="2:13" ht="80.099999999999994" customHeight="1" thickTop="1" x14ac:dyDescent="0.4">
      <c r="B40" s="152"/>
      <c r="C40" s="152"/>
      <c r="D40" s="152"/>
      <c r="E40" s="152"/>
      <c r="F40" s="152"/>
      <c r="G40" s="152"/>
      <c r="H40" s="152"/>
      <c r="I40" s="152"/>
      <c r="J40" s="152"/>
      <c r="K40" s="152"/>
      <c r="L40" s="152"/>
      <c r="M40" s="152"/>
    </row>
    <row r="41" spans="2:13" ht="18" thickBot="1" x14ac:dyDescent="0.45"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</row>
    <row r="42" spans="2:13" ht="21" customHeight="1" thickTop="1" x14ac:dyDescent="0.4">
      <c r="B42" s="134" t="s">
        <v>326</v>
      </c>
      <c r="C42" s="135"/>
      <c r="D42" s="135"/>
      <c r="E42" s="135"/>
      <c r="F42" s="135"/>
      <c r="G42" s="135"/>
      <c r="H42" s="135"/>
      <c r="I42" s="135"/>
      <c r="J42" s="135"/>
      <c r="K42" s="135"/>
      <c r="L42" s="135"/>
      <c r="M42" s="136"/>
    </row>
    <row r="43" spans="2:13" ht="18" customHeight="1" x14ac:dyDescent="0.4">
      <c r="B43" s="137" t="s">
        <v>3</v>
      </c>
      <c r="C43" s="138" t="s">
        <v>4</v>
      </c>
      <c r="D43" s="138" t="s">
        <v>5</v>
      </c>
      <c r="E43" s="138" t="s">
        <v>6</v>
      </c>
      <c r="F43" s="138"/>
      <c r="G43" s="138" t="s">
        <v>7</v>
      </c>
      <c r="H43" s="138"/>
      <c r="I43" s="138" t="s">
        <v>8</v>
      </c>
      <c r="J43" s="138"/>
      <c r="K43" s="138"/>
      <c r="L43" s="138"/>
      <c r="M43" s="139"/>
    </row>
    <row r="44" spans="2:13" ht="18" customHeight="1" x14ac:dyDescent="0.4">
      <c r="B44" s="137"/>
      <c r="C44" s="138"/>
      <c r="D44" s="138"/>
      <c r="E44" s="5" t="s">
        <v>1</v>
      </c>
      <c r="F44" s="5" t="s">
        <v>2</v>
      </c>
      <c r="G44" s="6" t="s">
        <v>1</v>
      </c>
      <c r="H44" s="7" t="s">
        <v>2</v>
      </c>
      <c r="I44" s="138"/>
      <c r="J44" s="138"/>
      <c r="K44" s="138"/>
      <c r="L44" s="138"/>
      <c r="M44" s="139"/>
    </row>
    <row r="45" spans="2:13" ht="18" customHeight="1" x14ac:dyDescent="0.4">
      <c r="B45" s="304" t="s">
        <v>9</v>
      </c>
      <c r="C45" s="16" t="s">
        <v>327</v>
      </c>
      <c r="D45" s="16" t="s">
        <v>328</v>
      </c>
      <c r="E45" s="9">
        <f>F45*0.65</f>
        <v>39</v>
      </c>
      <c r="F45" s="16">
        <v>60</v>
      </c>
      <c r="G45" s="9">
        <f t="shared" ref="G45:G73" si="3">E45*E$2</f>
        <v>0</v>
      </c>
      <c r="H45" s="9">
        <f t="shared" ref="H45:H73" si="4">F45*E$3</f>
        <v>0</v>
      </c>
      <c r="I45" s="148" t="s">
        <v>329</v>
      </c>
      <c r="J45" s="148"/>
      <c r="K45" s="148"/>
      <c r="L45" s="148"/>
      <c r="M45" s="149"/>
    </row>
    <row r="46" spans="2:13" ht="18" customHeight="1" x14ac:dyDescent="0.4">
      <c r="B46" s="304"/>
      <c r="C46" s="9" t="s">
        <v>149</v>
      </c>
      <c r="D46" s="44" t="s">
        <v>33</v>
      </c>
      <c r="E46" s="11">
        <v>100</v>
      </c>
      <c r="F46" s="12">
        <v>100</v>
      </c>
      <c r="G46" s="9">
        <f t="shared" si="3"/>
        <v>0</v>
      </c>
      <c r="H46" s="9">
        <f t="shared" si="4"/>
        <v>0</v>
      </c>
      <c r="I46" s="99"/>
      <c r="J46" s="100"/>
      <c r="K46" s="100"/>
      <c r="L46" s="100"/>
      <c r="M46" s="101"/>
    </row>
    <row r="47" spans="2:13" ht="18" customHeight="1" x14ac:dyDescent="0.4">
      <c r="B47" s="104" t="s">
        <v>12</v>
      </c>
      <c r="C47" s="171" t="s">
        <v>205</v>
      </c>
      <c r="D47" s="39" t="s">
        <v>43</v>
      </c>
      <c r="E47" s="48">
        <f t="shared" ref="E47:E73" si="5">F47*0.65</f>
        <v>32.5</v>
      </c>
      <c r="F47" s="39">
        <v>50</v>
      </c>
      <c r="G47" s="35">
        <f t="shared" si="3"/>
        <v>0</v>
      </c>
      <c r="H47" s="35">
        <f t="shared" si="4"/>
        <v>0</v>
      </c>
      <c r="I47" s="105" t="s">
        <v>101</v>
      </c>
      <c r="J47" s="105"/>
      <c r="K47" s="105"/>
      <c r="L47" s="105"/>
      <c r="M47" s="220"/>
    </row>
    <row r="48" spans="2:13" ht="18" customHeight="1" x14ac:dyDescent="0.4">
      <c r="B48" s="104"/>
      <c r="C48" s="172"/>
      <c r="D48" s="16" t="s">
        <v>82</v>
      </c>
      <c r="E48" s="17">
        <f t="shared" si="5"/>
        <v>1.625</v>
      </c>
      <c r="F48" s="16">
        <v>2.5</v>
      </c>
      <c r="G48" s="9">
        <f t="shared" si="3"/>
        <v>0</v>
      </c>
      <c r="H48" s="9">
        <f t="shared" si="4"/>
        <v>0</v>
      </c>
      <c r="I48" s="178"/>
      <c r="J48" s="178"/>
      <c r="K48" s="178"/>
      <c r="L48" s="178"/>
      <c r="M48" s="179"/>
    </row>
    <row r="49" spans="2:13" ht="18" customHeight="1" x14ac:dyDescent="0.4">
      <c r="B49" s="104"/>
      <c r="C49" s="189" t="s">
        <v>330</v>
      </c>
      <c r="D49" s="19" t="s">
        <v>331</v>
      </c>
      <c r="E49" s="22">
        <f t="shared" si="5"/>
        <v>9.75</v>
      </c>
      <c r="F49" s="16">
        <v>15</v>
      </c>
      <c r="G49" s="9">
        <f t="shared" si="3"/>
        <v>0</v>
      </c>
      <c r="H49" s="9">
        <f t="shared" si="4"/>
        <v>0</v>
      </c>
      <c r="I49" s="148" t="s">
        <v>332</v>
      </c>
      <c r="J49" s="148"/>
      <c r="K49" s="148"/>
      <c r="L49" s="148"/>
      <c r="M49" s="149"/>
    </row>
    <row r="50" spans="2:13" ht="18" customHeight="1" x14ac:dyDescent="0.4">
      <c r="B50" s="104"/>
      <c r="C50" s="189"/>
      <c r="D50" s="19" t="s">
        <v>28</v>
      </c>
      <c r="E50" s="22">
        <f t="shared" si="5"/>
        <v>1.3</v>
      </c>
      <c r="F50" s="16">
        <v>2</v>
      </c>
      <c r="G50" s="9">
        <f t="shared" si="3"/>
        <v>0</v>
      </c>
      <c r="H50" s="9">
        <f t="shared" si="4"/>
        <v>0</v>
      </c>
      <c r="I50" s="148"/>
      <c r="J50" s="148"/>
      <c r="K50" s="148"/>
      <c r="L50" s="148"/>
      <c r="M50" s="149"/>
    </row>
    <row r="51" spans="2:13" ht="18" customHeight="1" x14ac:dyDescent="0.4">
      <c r="B51" s="104"/>
      <c r="C51" s="189"/>
      <c r="D51" s="19" t="s">
        <v>179</v>
      </c>
      <c r="E51" s="22">
        <f t="shared" si="5"/>
        <v>1.3</v>
      </c>
      <c r="F51" s="16">
        <v>2</v>
      </c>
      <c r="G51" s="9">
        <f t="shared" si="3"/>
        <v>0</v>
      </c>
      <c r="H51" s="9">
        <f t="shared" si="4"/>
        <v>0</v>
      </c>
      <c r="I51" s="148"/>
      <c r="J51" s="148"/>
      <c r="K51" s="148"/>
      <c r="L51" s="148"/>
      <c r="M51" s="149"/>
    </row>
    <row r="52" spans="2:13" ht="18" customHeight="1" x14ac:dyDescent="0.4">
      <c r="B52" s="104"/>
      <c r="C52" s="189"/>
      <c r="D52" s="19" t="s">
        <v>71</v>
      </c>
      <c r="E52" s="22">
        <f t="shared" si="5"/>
        <v>3.25</v>
      </c>
      <c r="F52" s="16">
        <v>5</v>
      </c>
      <c r="G52" s="9">
        <f t="shared" si="3"/>
        <v>0</v>
      </c>
      <c r="H52" s="9">
        <f t="shared" si="4"/>
        <v>0</v>
      </c>
      <c r="I52" s="148"/>
      <c r="J52" s="148"/>
      <c r="K52" s="148"/>
      <c r="L52" s="148"/>
      <c r="M52" s="149"/>
    </row>
    <row r="53" spans="2:13" ht="18" customHeight="1" x14ac:dyDescent="0.4">
      <c r="B53" s="104"/>
      <c r="C53" s="189"/>
      <c r="D53" s="19" t="s">
        <v>127</v>
      </c>
      <c r="E53" s="22">
        <f t="shared" si="5"/>
        <v>0.19500000000000001</v>
      </c>
      <c r="F53" s="16">
        <v>0.3</v>
      </c>
      <c r="G53" s="9">
        <f t="shared" si="3"/>
        <v>0</v>
      </c>
      <c r="H53" s="9">
        <f t="shared" si="4"/>
        <v>0</v>
      </c>
      <c r="I53" s="148"/>
      <c r="J53" s="148"/>
      <c r="K53" s="148"/>
      <c r="L53" s="148"/>
      <c r="M53" s="149"/>
    </row>
    <row r="54" spans="2:13" ht="18" customHeight="1" x14ac:dyDescent="0.4">
      <c r="B54" s="104"/>
      <c r="C54" s="189"/>
      <c r="D54" s="19" t="s">
        <v>24</v>
      </c>
      <c r="E54" s="22">
        <f t="shared" si="5"/>
        <v>1.3</v>
      </c>
      <c r="F54" s="16">
        <v>2</v>
      </c>
      <c r="G54" s="9">
        <f t="shared" si="3"/>
        <v>0</v>
      </c>
      <c r="H54" s="9">
        <f t="shared" si="4"/>
        <v>0</v>
      </c>
      <c r="I54" s="148"/>
      <c r="J54" s="148"/>
      <c r="K54" s="148"/>
      <c r="L54" s="148"/>
      <c r="M54" s="149"/>
    </row>
    <row r="55" spans="2:13" ht="18" customHeight="1" x14ac:dyDescent="0.4">
      <c r="B55" s="104"/>
      <c r="C55" s="126" t="s">
        <v>333</v>
      </c>
      <c r="D55" s="16" t="s">
        <v>42</v>
      </c>
      <c r="E55" s="11">
        <f t="shared" si="5"/>
        <v>26</v>
      </c>
      <c r="F55" s="15">
        <v>40</v>
      </c>
      <c r="G55" s="9">
        <f t="shared" si="3"/>
        <v>0</v>
      </c>
      <c r="H55" s="9">
        <f t="shared" si="4"/>
        <v>0</v>
      </c>
      <c r="I55" s="109" t="s">
        <v>334</v>
      </c>
      <c r="J55" s="110"/>
      <c r="K55" s="110"/>
      <c r="L55" s="110"/>
      <c r="M55" s="111"/>
    </row>
    <row r="56" spans="2:13" ht="18" customHeight="1" x14ac:dyDescent="0.4">
      <c r="B56" s="104"/>
      <c r="C56" s="127"/>
      <c r="D56" s="16" t="s">
        <v>229</v>
      </c>
      <c r="E56" s="22">
        <f t="shared" si="5"/>
        <v>6.5</v>
      </c>
      <c r="F56" s="15">
        <v>10</v>
      </c>
      <c r="G56" s="9">
        <f t="shared" si="3"/>
        <v>0</v>
      </c>
      <c r="H56" s="9">
        <f t="shared" si="4"/>
        <v>0</v>
      </c>
      <c r="I56" s="112"/>
      <c r="J56" s="113"/>
      <c r="K56" s="113"/>
      <c r="L56" s="113"/>
      <c r="M56" s="114"/>
    </row>
    <row r="57" spans="2:13" ht="18" customHeight="1" x14ac:dyDescent="0.4">
      <c r="B57" s="104"/>
      <c r="C57" s="127"/>
      <c r="D57" s="16" t="s">
        <v>15</v>
      </c>
      <c r="E57" s="22">
        <f t="shared" si="5"/>
        <v>0.32500000000000001</v>
      </c>
      <c r="F57" s="15">
        <v>0.5</v>
      </c>
      <c r="G57" s="9">
        <f t="shared" si="3"/>
        <v>0</v>
      </c>
      <c r="H57" s="9">
        <f t="shared" si="4"/>
        <v>0</v>
      </c>
      <c r="I57" s="112"/>
      <c r="J57" s="113"/>
      <c r="K57" s="113"/>
      <c r="L57" s="113"/>
      <c r="M57" s="114"/>
    </row>
    <row r="58" spans="2:13" ht="18" customHeight="1" x14ac:dyDescent="0.4">
      <c r="B58" s="104"/>
      <c r="C58" s="127"/>
      <c r="D58" s="16" t="s">
        <v>19</v>
      </c>
      <c r="E58" s="22">
        <f t="shared" si="5"/>
        <v>0.32500000000000001</v>
      </c>
      <c r="F58" s="15">
        <v>0.5</v>
      </c>
      <c r="G58" s="9">
        <f t="shared" si="3"/>
        <v>0</v>
      </c>
      <c r="H58" s="9">
        <f t="shared" si="4"/>
        <v>0</v>
      </c>
      <c r="I58" s="112"/>
      <c r="J58" s="113"/>
      <c r="K58" s="113"/>
      <c r="L58" s="113"/>
      <c r="M58" s="114"/>
    </row>
    <row r="59" spans="2:13" ht="18" customHeight="1" x14ac:dyDescent="0.4">
      <c r="B59" s="104"/>
      <c r="C59" s="176" t="s">
        <v>335</v>
      </c>
      <c r="D59" s="16" t="s">
        <v>49</v>
      </c>
      <c r="E59" s="22">
        <f t="shared" si="5"/>
        <v>19.5</v>
      </c>
      <c r="F59" s="16">
        <v>30</v>
      </c>
      <c r="G59" s="9">
        <f t="shared" si="3"/>
        <v>0</v>
      </c>
      <c r="H59" s="9">
        <f t="shared" si="4"/>
        <v>0</v>
      </c>
      <c r="I59" s="109" t="s">
        <v>336</v>
      </c>
      <c r="J59" s="110"/>
      <c r="K59" s="110"/>
      <c r="L59" s="110"/>
      <c r="M59" s="111"/>
    </row>
    <row r="60" spans="2:13" ht="18" customHeight="1" x14ac:dyDescent="0.4">
      <c r="B60" s="104"/>
      <c r="C60" s="107"/>
      <c r="D60" s="16" t="s">
        <v>127</v>
      </c>
      <c r="E60" s="22">
        <f t="shared" si="5"/>
        <v>0.19500000000000001</v>
      </c>
      <c r="F60" s="16">
        <v>0.3</v>
      </c>
      <c r="G60" s="9">
        <f t="shared" si="3"/>
        <v>0</v>
      </c>
      <c r="H60" s="9">
        <f t="shared" si="4"/>
        <v>0</v>
      </c>
      <c r="I60" s="112"/>
      <c r="J60" s="113"/>
      <c r="K60" s="113"/>
      <c r="L60" s="113"/>
      <c r="M60" s="114"/>
    </row>
    <row r="61" spans="2:13" ht="18" customHeight="1" x14ac:dyDescent="0.4">
      <c r="B61" s="104"/>
      <c r="C61" s="107"/>
      <c r="D61" s="16" t="s">
        <v>24</v>
      </c>
      <c r="E61" s="22">
        <f t="shared" si="5"/>
        <v>0.13</v>
      </c>
      <c r="F61" s="16">
        <v>0.2</v>
      </c>
      <c r="G61" s="9">
        <f t="shared" si="3"/>
        <v>0</v>
      </c>
      <c r="H61" s="9">
        <f t="shared" si="4"/>
        <v>0</v>
      </c>
      <c r="I61" s="112"/>
      <c r="J61" s="113"/>
      <c r="K61" s="113"/>
      <c r="L61" s="113"/>
      <c r="M61" s="114"/>
    </row>
    <row r="62" spans="2:13" ht="18" customHeight="1" x14ac:dyDescent="0.4">
      <c r="B62" s="104"/>
      <c r="C62" s="107"/>
      <c r="D62" s="16" t="s">
        <v>15</v>
      </c>
      <c r="E62" s="22">
        <f t="shared" si="5"/>
        <v>6.5000000000000002E-2</v>
      </c>
      <c r="F62" s="16">
        <v>0.1</v>
      </c>
      <c r="G62" s="9">
        <f t="shared" si="3"/>
        <v>0</v>
      </c>
      <c r="H62" s="9">
        <f t="shared" si="4"/>
        <v>0</v>
      </c>
      <c r="I62" s="112"/>
      <c r="J62" s="113"/>
      <c r="K62" s="113"/>
      <c r="L62" s="113"/>
      <c r="M62" s="114"/>
    </row>
    <row r="63" spans="2:13" ht="18" customHeight="1" x14ac:dyDescent="0.4">
      <c r="B63" s="104"/>
      <c r="C63" s="107"/>
      <c r="D63" s="16" t="s">
        <v>14</v>
      </c>
      <c r="E63" s="22">
        <f t="shared" si="5"/>
        <v>0.13</v>
      </c>
      <c r="F63" s="16">
        <v>0.2</v>
      </c>
      <c r="G63" s="9">
        <f t="shared" si="3"/>
        <v>0</v>
      </c>
      <c r="H63" s="9">
        <f t="shared" si="4"/>
        <v>0</v>
      </c>
      <c r="I63" s="112"/>
      <c r="J63" s="113"/>
      <c r="K63" s="113"/>
      <c r="L63" s="113"/>
      <c r="M63" s="114"/>
    </row>
    <row r="64" spans="2:13" ht="18" customHeight="1" x14ac:dyDescent="0.4">
      <c r="B64" s="104"/>
      <c r="C64" s="108"/>
      <c r="D64" s="16" t="s">
        <v>13</v>
      </c>
      <c r="E64" s="22">
        <f t="shared" si="5"/>
        <v>0.13</v>
      </c>
      <c r="F64" s="16">
        <v>0.2</v>
      </c>
      <c r="G64" s="9">
        <f t="shared" si="3"/>
        <v>0</v>
      </c>
      <c r="H64" s="9">
        <f t="shared" si="4"/>
        <v>0</v>
      </c>
      <c r="I64" s="115"/>
      <c r="J64" s="116"/>
      <c r="K64" s="116"/>
      <c r="L64" s="116"/>
      <c r="M64" s="117"/>
    </row>
    <row r="65" spans="2:13" ht="18" customHeight="1" x14ac:dyDescent="0.4">
      <c r="B65" s="104"/>
      <c r="C65" s="19" t="s">
        <v>337</v>
      </c>
      <c r="D65" s="19" t="s">
        <v>338</v>
      </c>
      <c r="E65" s="11">
        <f t="shared" si="5"/>
        <v>13</v>
      </c>
      <c r="F65" s="15">
        <v>20</v>
      </c>
      <c r="G65" s="9">
        <f t="shared" si="3"/>
        <v>0</v>
      </c>
      <c r="H65" s="9">
        <f t="shared" si="4"/>
        <v>0</v>
      </c>
      <c r="I65" s="305" t="s">
        <v>113</v>
      </c>
      <c r="J65" s="305"/>
      <c r="K65" s="305"/>
      <c r="L65" s="305"/>
      <c r="M65" s="306"/>
    </row>
    <row r="66" spans="2:13" ht="18" customHeight="1" x14ac:dyDescent="0.4">
      <c r="B66" s="143" t="s">
        <v>138</v>
      </c>
      <c r="C66" s="146" t="s">
        <v>139</v>
      </c>
      <c r="D66" s="39" t="s">
        <v>140</v>
      </c>
      <c r="E66" s="35">
        <f t="shared" si="5"/>
        <v>26</v>
      </c>
      <c r="F66" s="39">
        <v>40</v>
      </c>
      <c r="G66" s="35">
        <f t="shared" si="3"/>
        <v>0</v>
      </c>
      <c r="H66" s="35">
        <f t="shared" si="4"/>
        <v>0</v>
      </c>
      <c r="I66" s="302" t="s">
        <v>141</v>
      </c>
      <c r="J66" s="302"/>
      <c r="K66" s="302"/>
      <c r="L66" s="302"/>
      <c r="M66" s="303"/>
    </row>
    <row r="67" spans="2:13" ht="18" customHeight="1" x14ac:dyDescent="0.4">
      <c r="B67" s="144"/>
      <c r="C67" s="146"/>
      <c r="D67" s="16" t="s">
        <v>22</v>
      </c>
      <c r="E67" s="23">
        <f t="shared" si="5"/>
        <v>3.25</v>
      </c>
      <c r="F67" s="16">
        <v>5</v>
      </c>
      <c r="G67" s="9">
        <f t="shared" si="3"/>
        <v>0</v>
      </c>
      <c r="H67" s="9">
        <f t="shared" si="4"/>
        <v>0</v>
      </c>
      <c r="I67" s="148"/>
      <c r="J67" s="148"/>
      <c r="K67" s="148"/>
      <c r="L67" s="148"/>
      <c r="M67" s="149"/>
    </row>
    <row r="68" spans="2:13" ht="18" customHeight="1" x14ac:dyDescent="0.4">
      <c r="B68" s="144"/>
      <c r="C68" s="146"/>
      <c r="D68" s="16" t="s">
        <v>21</v>
      </c>
      <c r="E68" s="23">
        <f t="shared" si="5"/>
        <v>3.25</v>
      </c>
      <c r="F68" s="16">
        <v>5</v>
      </c>
      <c r="G68" s="9">
        <f t="shared" si="3"/>
        <v>0</v>
      </c>
      <c r="H68" s="9">
        <f t="shared" si="4"/>
        <v>0</v>
      </c>
      <c r="I68" s="148"/>
      <c r="J68" s="148"/>
      <c r="K68" s="148"/>
      <c r="L68" s="148"/>
      <c r="M68" s="149"/>
    </row>
    <row r="69" spans="2:13" ht="18" customHeight="1" x14ac:dyDescent="0.4">
      <c r="B69" s="144"/>
      <c r="C69" s="146"/>
      <c r="D69" s="16" t="s">
        <v>142</v>
      </c>
      <c r="E69" s="23">
        <f t="shared" si="5"/>
        <v>3.25</v>
      </c>
      <c r="F69" s="16">
        <v>5</v>
      </c>
      <c r="G69" s="9">
        <f t="shared" si="3"/>
        <v>0</v>
      </c>
      <c r="H69" s="9">
        <f t="shared" si="4"/>
        <v>0</v>
      </c>
      <c r="I69" s="148"/>
      <c r="J69" s="148"/>
      <c r="K69" s="148"/>
      <c r="L69" s="148"/>
      <c r="M69" s="149"/>
    </row>
    <row r="70" spans="2:13" ht="18" customHeight="1" x14ac:dyDescent="0.4">
      <c r="B70" s="144"/>
      <c r="C70" s="146"/>
      <c r="D70" s="16" t="s">
        <v>28</v>
      </c>
      <c r="E70" s="9">
        <f t="shared" si="5"/>
        <v>1.3</v>
      </c>
      <c r="F70" s="16">
        <v>2</v>
      </c>
      <c r="G70" s="9">
        <f t="shared" si="3"/>
        <v>0</v>
      </c>
      <c r="H70" s="9">
        <f t="shared" si="4"/>
        <v>0</v>
      </c>
      <c r="I70" s="148"/>
      <c r="J70" s="148"/>
      <c r="K70" s="148"/>
      <c r="L70" s="148"/>
      <c r="M70" s="149"/>
    </row>
    <row r="71" spans="2:13" ht="18" customHeight="1" x14ac:dyDescent="0.4">
      <c r="B71" s="144"/>
      <c r="C71" s="146"/>
      <c r="D71" s="16" t="s">
        <v>27</v>
      </c>
      <c r="E71" s="9">
        <f t="shared" si="5"/>
        <v>1.3</v>
      </c>
      <c r="F71" s="16">
        <v>2</v>
      </c>
      <c r="G71" s="9">
        <f t="shared" si="3"/>
        <v>0</v>
      </c>
      <c r="H71" s="9">
        <f t="shared" si="4"/>
        <v>0</v>
      </c>
      <c r="I71" s="148"/>
      <c r="J71" s="148"/>
      <c r="K71" s="148"/>
      <c r="L71" s="148"/>
      <c r="M71" s="149"/>
    </row>
    <row r="72" spans="2:13" ht="18" customHeight="1" x14ac:dyDescent="0.4">
      <c r="B72" s="144"/>
      <c r="C72" s="146"/>
      <c r="D72" s="16" t="s">
        <v>18</v>
      </c>
      <c r="E72" s="26">
        <f t="shared" si="5"/>
        <v>0.97500000000000009</v>
      </c>
      <c r="F72" s="16">
        <v>1.5</v>
      </c>
      <c r="G72" s="9">
        <f t="shared" si="3"/>
        <v>0</v>
      </c>
      <c r="H72" s="9">
        <f t="shared" si="4"/>
        <v>0</v>
      </c>
      <c r="I72" s="148"/>
      <c r="J72" s="148"/>
      <c r="K72" s="148"/>
      <c r="L72" s="148"/>
      <c r="M72" s="149"/>
    </row>
    <row r="73" spans="2:13" ht="18" customHeight="1" thickBot="1" x14ac:dyDescent="0.45">
      <c r="B73" s="145"/>
      <c r="C73" s="147"/>
      <c r="D73" s="27" t="s">
        <v>19</v>
      </c>
      <c r="E73" s="28">
        <f t="shared" si="5"/>
        <v>0.65</v>
      </c>
      <c r="F73" s="27">
        <v>1</v>
      </c>
      <c r="G73" s="60">
        <f t="shared" si="3"/>
        <v>0</v>
      </c>
      <c r="H73" s="29">
        <f t="shared" si="4"/>
        <v>0</v>
      </c>
      <c r="I73" s="150"/>
      <c r="J73" s="150"/>
      <c r="K73" s="150"/>
      <c r="L73" s="150"/>
      <c r="M73" s="151"/>
    </row>
    <row r="74" spans="2:13" ht="79.5" customHeight="1" thickTop="1" x14ac:dyDescent="0.4">
      <c r="B74" s="161"/>
      <c r="C74" s="161"/>
      <c r="D74" s="161"/>
      <c r="E74" s="161"/>
      <c r="F74" s="161"/>
      <c r="G74" s="161"/>
      <c r="H74" s="161"/>
      <c r="I74" s="161"/>
      <c r="J74" s="161"/>
      <c r="K74" s="161"/>
      <c r="L74" s="161"/>
      <c r="M74" s="161"/>
    </row>
    <row r="75" spans="2:13" ht="18" thickBot="1" x14ac:dyDescent="0.45">
      <c r="B75" s="31"/>
      <c r="C75" s="32"/>
      <c r="D75" s="32"/>
      <c r="E75" s="33"/>
      <c r="F75" s="32"/>
      <c r="G75" s="33"/>
      <c r="H75" s="33"/>
      <c r="I75" s="34"/>
      <c r="J75" s="34"/>
      <c r="K75" s="34"/>
      <c r="L75" s="34"/>
      <c r="M75" s="34"/>
    </row>
    <row r="76" spans="2:13" ht="21" customHeight="1" thickTop="1" x14ac:dyDescent="0.4">
      <c r="B76" s="183" t="s">
        <v>339</v>
      </c>
      <c r="C76" s="184"/>
      <c r="D76" s="184"/>
      <c r="E76" s="184"/>
      <c r="F76" s="184"/>
      <c r="G76" s="184"/>
      <c r="H76" s="184"/>
      <c r="I76" s="184"/>
      <c r="J76" s="184"/>
      <c r="K76" s="184"/>
      <c r="L76" s="184"/>
      <c r="M76" s="185"/>
    </row>
    <row r="77" spans="2:13" ht="18" customHeight="1" x14ac:dyDescent="0.4">
      <c r="B77" s="137" t="s">
        <v>3</v>
      </c>
      <c r="C77" s="138" t="s">
        <v>4</v>
      </c>
      <c r="D77" s="138" t="s">
        <v>5</v>
      </c>
      <c r="E77" s="138" t="s">
        <v>6</v>
      </c>
      <c r="F77" s="138"/>
      <c r="G77" s="138" t="s">
        <v>7</v>
      </c>
      <c r="H77" s="138"/>
      <c r="I77" s="213" t="s">
        <v>8</v>
      </c>
      <c r="J77" s="214"/>
      <c r="K77" s="214"/>
      <c r="L77" s="214"/>
      <c r="M77" s="215"/>
    </row>
    <row r="78" spans="2:13" ht="18" customHeight="1" x14ac:dyDescent="0.4">
      <c r="B78" s="137"/>
      <c r="C78" s="138"/>
      <c r="D78" s="138"/>
      <c r="E78" s="5" t="s">
        <v>1</v>
      </c>
      <c r="F78" s="5" t="s">
        <v>2</v>
      </c>
      <c r="G78" s="6" t="s">
        <v>1</v>
      </c>
      <c r="H78" s="7" t="s">
        <v>2</v>
      </c>
      <c r="I78" s="216"/>
      <c r="J78" s="217"/>
      <c r="K78" s="217"/>
      <c r="L78" s="217"/>
      <c r="M78" s="218"/>
    </row>
    <row r="79" spans="2:13" ht="18" customHeight="1" x14ac:dyDescent="0.4">
      <c r="B79" s="57" t="s">
        <v>9</v>
      </c>
      <c r="C79" s="9" t="s">
        <v>340</v>
      </c>
      <c r="D79" s="9" t="s">
        <v>340</v>
      </c>
      <c r="E79" s="9">
        <f t="shared" ref="E79:E101" si="6">F79*0.65</f>
        <v>32.5</v>
      </c>
      <c r="F79" s="36">
        <v>50</v>
      </c>
      <c r="G79" s="9">
        <f t="shared" ref="G79:G106" si="7">E79*E$2</f>
        <v>0</v>
      </c>
      <c r="H79" s="9">
        <f t="shared" ref="H79:H106" si="8">F79*E$3</f>
        <v>0</v>
      </c>
      <c r="I79" s="163" t="s">
        <v>341</v>
      </c>
      <c r="J79" s="164"/>
      <c r="K79" s="164"/>
      <c r="L79" s="164"/>
      <c r="M79" s="165"/>
    </row>
    <row r="80" spans="2:13" ht="18" customHeight="1" x14ac:dyDescent="0.4">
      <c r="B80" s="169" t="s">
        <v>10</v>
      </c>
      <c r="C80" s="230" t="s">
        <v>342</v>
      </c>
      <c r="D80" s="50" t="s">
        <v>123</v>
      </c>
      <c r="E80" s="17">
        <f t="shared" si="6"/>
        <v>32.5</v>
      </c>
      <c r="F80" s="50">
        <v>50</v>
      </c>
      <c r="G80" s="9">
        <f t="shared" si="7"/>
        <v>0</v>
      </c>
      <c r="H80" s="9">
        <f t="shared" si="8"/>
        <v>0</v>
      </c>
      <c r="I80" s="281" t="s">
        <v>343</v>
      </c>
      <c r="J80" s="282"/>
      <c r="K80" s="282"/>
      <c r="L80" s="282"/>
      <c r="M80" s="283"/>
    </row>
    <row r="81" spans="2:13" ht="18" customHeight="1" x14ac:dyDescent="0.4">
      <c r="B81" s="170"/>
      <c r="C81" s="187"/>
      <c r="D81" s="50" t="s">
        <v>344</v>
      </c>
      <c r="E81" s="21">
        <f t="shared" si="6"/>
        <v>13</v>
      </c>
      <c r="F81" s="50">
        <v>20</v>
      </c>
      <c r="G81" s="9">
        <f t="shared" si="7"/>
        <v>0</v>
      </c>
      <c r="H81" s="9">
        <f t="shared" si="8"/>
        <v>0</v>
      </c>
      <c r="I81" s="284"/>
      <c r="J81" s="285"/>
      <c r="K81" s="285"/>
      <c r="L81" s="285"/>
      <c r="M81" s="286"/>
    </row>
    <row r="82" spans="2:13" ht="18" customHeight="1" x14ac:dyDescent="0.4">
      <c r="B82" s="170"/>
      <c r="C82" s="187"/>
      <c r="D82" s="50" t="s">
        <v>163</v>
      </c>
      <c r="E82" s="17">
        <f t="shared" si="6"/>
        <v>6.5</v>
      </c>
      <c r="F82" s="50">
        <v>10</v>
      </c>
      <c r="G82" s="9">
        <f t="shared" si="7"/>
        <v>0</v>
      </c>
      <c r="H82" s="9">
        <f t="shared" si="8"/>
        <v>0</v>
      </c>
      <c r="I82" s="284"/>
      <c r="J82" s="285"/>
      <c r="K82" s="285"/>
      <c r="L82" s="285"/>
      <c r="M82" s="286"/>
    </row>
    <row r="83" spans="2:13" ht="18" customHeight="1" x14ac:dyDescent="0.4">
      <c r="B83" s="170"/>
      <c r="C83" s="187"/>
      <c r="D83" s="50" t="s">
        <v>345</v>
      </c>
      <c r="E83" s="17">
        <f t="shared" si="6"/>
        <v>6.5</v>
      </c>
      <c r="F83" s="50">
        <v>10</v>
      </c>
      <c r="G83" s="9">
        <f t="shared" si="7"/>
        <v>0</v>
      </c>
      <c r="H83" s="9">
        <f t="shared" si="8"/>
        <v>0</v>
      </c>
      <c r="I83" s="284"/>
      <c r="J83" s="285"/>
      <c r="K83" s="285"/>
      <c r="L83" s="285"/>
      <c r="M83" s="286"/>
    </row>
    <row r="84" spans="2:13" ht="18" customHeight="1" x14ac:dyDescent="0.4">
      <c r="B84" s="170"/>
      <c r="C84" s="187"/>
      <c r="D84" s="50" t="s">
        <v>142</v>
      </c>
      <c r="E84" s="17">
        <f t="shared" si="6"/>
        <v>6.5</v>
      </c>
      <c r="F84" s="50">
        <v>10</v>
      </c>
      <c r="G84" s="9">
        <f t="shared" si="7"/>
        <v>0</v>
      </c>
      <c r="H84" s="9">
        <f t="shared" si="8"/>
        <v>0</v>
      </c>
      <c r="I84" s="284"/>
      <c r="J84" s="285"/>
      <c r="K84" s="285"/>
      <c r="L84" s="285"/>
      <c r="M84" s="286"/>
    </row>
    <row r="85" spans="2:13" ht="18" customHeight="1" x14ac:dyDescent="0.4">
      <c r="B85" s="170"/>
      <c r="C85" s="187"/>
      <c r="D85" s="50" t="s">
        <v>133</v>
      </c>
      <c r="E85" s="17">
        <f t="shared" si="6"/>
        <v>3.25</v>
      </c>
      <c r="F85" s="50">
        <v>5</v>
      </c>
      <c r="G85" s="9">
        <f t="shared" si="7"/>
        <v>0</v>
      </c>
      <c r="H85" s="9">
        <f t="shared" si="8"/>
        <v>0</v>
      </c>
      <c r="I85" s="284"/>
      <c r="J85" s="285"/>
      <c r="K85" s="285"/>
      <c r="L85" s="285"/>
      <c r="M85" s="286"/>
    </row>
    <row r="86" spans="2:13" ht="18" customHeight="1" x14ac:dyDescent="0.4">
      <c r="B86" s="170"/>
      <c r="C86" s="187"/>
      <c r="D86" s="50" t="s">
        <v>186</v>
      </c>
      <c r="E86" s="21">
        <f t="shared" si="6"/>
        <v>1.9500000000000002</v>
      </c>
      <c r="F86" s="50">
        <v>3</v>
      </c>
      <c r="G86" s="9">
        <f t="shared" si="7"/>
        <v>0</v>
      </c>
      <c r="H86" s="9">
        <f t="shared" si="8"/>
        <v>0</v>
      </c>
      <c r="I86" s="284"/>
      <c r="J86" s="285"/>
      <c r="K86" s="285"/>
      <c r="L86" s="285"/>
      <c r="M86" s="286"/>
    </row>
    <row r="87" spans="2:13" ht="18" customHeight="1" x14ac:dyDescent="0.4">
      <c r="B87" s="170"/>
      <c r="C87" s="187"/>
      <c r="D87" s="50" t="s">
        <v>159</v>
      </c>
      <c r="E87" s="17">
        <f t="shared" si="6"/>
        <v>0.65</v>
      </c>
      <c r="F87" s="50">
        <v>1</v>
      </c>
      <c r="G87" s="9">
        <f t="shared" si="7"/>
        <v>0</v>
      </c>
      <c r="H87" s="9">
        <f t="shared" si="8"/>
        <v>0</v>
      </c>
      <c r="I87" s="284"/>
      <c r="J87" s="285"/>
      <c r="K87" s="285"/>
      <c r="L87" s="285"/>
      <c r="M87" s="286"/>
    </row>
    <row r="88" spans="2:13" ht="18" customHeight="1" x14ac:dyDescent="0.4">
      <c r="B88" s="170"/>
      <c r="C88" s="187"/>
      <c r="D88" s="50" t="s">
        <v>134</v>
      </c>
      <c r="E88" s="17">
        <f t="shared" si="6"/>
        <v>0.13</v>
      </c>
      <c r="F88" s="50">
        <v>0.2</v>
      </c>
      <c r="G88" s="9">
        <f t="shared" si="7"/>
        <v>0</v>
      </c>
      <c r="H88" s="9">
        <f t="shared" si="8"/>
        <v>0</v>
      </c>
      <c r="I88" s="284"/>
      <c r="J88" s="285"/>
      <c r="K88" s="285"/>
      <c r="L88" s="285"/>
      <c r="M88" s="286"/>
    </row>
    <row r="89" spans="2:13" ht="18" customHeight="1" x14ac:dyDescent="0.4">
      <c r="B89" s="170"/>
      <c r="C89" s="188"/>
      <c r="D89" s="50" t="s">
        <v>160</v>
      </c>
      <c r="E89" s="17">
        <f t="shared" si="6"/>
        <v>0.13</v>
      </c>
      <c r="F89" s="50">
        <v>0.2</v>
      </c>
      <c r="G89" s="9">
        <f t="shared" si="7"/>
        <v>0</v>
      </c>
      <c r="H89" s="9">
        <f t="shared" si="8"/>
        <v>0</v>
      </c>
      <c r="I89" s="287"/>
      <c r="J89" s="288"/>
      <c r="K89" s="288"/>
      <c r="L89" s="288"/>
      <c r="M89" s="289"/>
    </row>
    <row r="90" spans="2:13" ht="18" customHeight="1" x14ac:dyDescent="0.4">
      <c r="B90" s="170"/>
      <c r="C90" s="176" t="s">
        <v>346</v>
      </c>
      <c r="D90" s="19" t="s">
        <v>347</v>
      </c>
      <c r="E90" s="11">
        <f t="shared" si="6"/>
        <v>13</v>
      </c>
      <c r="F90" s="15">
        <v>20</v>
      </c>
      <c r="G90" s="9">
        <f t="shared" si="7"/>
        <v>0</v>
      </c>
      <c r="H90" s="9">
        <f t="shared" si="8"/>
        <v>0</v>
      </c>
      <c r="I90" s="109" t="s">
        <v>348</v>
      </c>
      <c r="J90" s="110"/>
      <c r="K90" s="110"/>
      <c r="L90" s="110"/>
      <c r="M90" s="111"/>
    </row>
    <row r="91" spans="2:13" ht="18" customHeight="1" x14ac:dyDescent="0.4">
      <c r="B91" s="170"/>
      <c r="C91" s="107"/>
      <c r="D91" s="19" t="s">
        <v>157</v>
      </c>
      <c r="E91" s="22">
        <f t="shared" si="6"/>
        <v>6.5</v>
      </c>
      <c r="F91" s="15">
        <v>10</v>
      </c>
      <c r="G91" s="9">
        <f t="shared" si="7"/>
        <v>0</v>
      </c>
      <c r="H91" s="9">
        <f t="shared" si="8"/>
        <v>0</v>
      </c>
      <c r="I91" s="112"/>
      <c r="J91" s="113"/>
      <c r="K91" s="113"/>
      <c r="L91" s="113"/>
      <c r="M91" s="114"/>
    </row>
    <row r="92" spans="2:13" ht="18" customHeight="1" x14ac:dyDescent="0.4">
      <c r="B92" s="170"/>
      <c r="C92" s="107"/>
      <c r="D92" s="19" t="s">
        <v>158</v>
      </c>
      <c r="E92" s="22">
        <f t="shared" si="6"/>
        <v>3.25</v>
      </c>
      <c r="F92" s="15">
        <v>5</v>
      </c>
      <c r="G92" s="9">
        <f t="shared" si="7"/>
        <v>0</v>
      </c>
      <c r="H92" s="9">
        <f t="shared" si="8"/>
        <v>0</v>
      </c>
      <c r="I92" s="112"/>
      <c r="J92" s="113"/>
      <c r="K92" s="113"/>
      <c r="L92" s="113"/>
      <c r="M92" s="114"/>
    </row>
    <row r="93" spans="2:13" ht="18" customHeight="1" x14ac:dyDescent="0.4">
      <c r="B93" s="170"/>
      <c r="C93" s="107"/>
      <c r="D93" s="19" t="s">
        <v>127</v>
      </c>
      <c r="E93" s="22">
        <f t="shared" si="6"/>
        <v>0.32500000000000001</v>
      </c>
      <c r="F93" s="15">
        <v>0.5</v>
      </c>
      <c r="G93" s="9">
        <f t="shared" si="7"/>
        <v>0</v>
      </c>
      <c r="H93" s="9">
        <f t="shared" si="8"/>
        <v>0</v>
      </c>
      <c r="I93" s="112"/>
      <c r="J93" s="113"/>
      <c r="K93" s="113"/>
      <c r="L93" s="113"/>
      <c r="M93" s="114"/>
    </row>
    <row r="94" spans="2:13" ht="18" customHeight="1" x14ac:dyDescent="0.4">
      <c r="B94" s="170"/>
      <c r="C94" s="107"/>
      <c r="D94" s="19" t="s">
        <v>133</v>
      </c>
      <c r="E94" s="22">
        <f t="shared" si="6"/>
        <v>1.3</v>
      </c>
      <c r="F94" s="15">
        <v>2</v>
      </c>
      <c r="G94" s="9">
        <f t="shared" si="7"/>
        <v>0</v>
      </c>
      <c r="H94" s="9">
        <f t="shared" si="8"/>
        <v>0</v>
      </c>
      <c r="I94" s="112"/>
      <c r="J94" s="113"/>
      <c r="K94" s="113"/>
      <c r="L94" s="113"/>
      <c r="M94" s="114"/>
    </row>
    <row r="95" spans="2:13" ht="18" customHeight="1" x14ac:dyDescent="0.4">
      <c r="B95" s="170"/>
      <c r="C95" s="107"/>
      <c r="D95" s="19" t="s">
        <v>179</v>
      </c>
      <c r="E95" s="22">
        <f t="shared" si="6"/>
        <v>1.3</v>
      </c>
      <c r="F95" s="15">
        <v>2</v>
      </c>
      <c r="G95" s="9">
        <f t="shared" si="7"/>
        <v>0</v>
      </c>
      <c r="H95" s="9">
        <f t="shared" si="8"/>
        <v>0</v>
      </c>
      <c r="I95" s="112"/>
      <c r="J95" s="113"/>
      <c r="K95" s="113"/>
      <c r="L95" s="113"/>
      <c r="M95" s="114"/>
    </row>
    <row r="96" spans="2:13" ht="18" customHeight="1" x14ac:dyDescent="0.4">
      <c r="B96" s="170"/>
      <c r="C96" s="108"/>
      <c r="D96" s="19" t="s">
        <v>178</v>
      </c>
      <c r="E96" s="22">
        <f t="shared" si="6"/>
        <v>1.3</v>
      </c>
      <c r="F96" s="15">
        <v>2</v>
      </c>
      <c r="G96" s="9">
        <f t="shared" si="7"/>
        <v>0</v>
      </c>
      <c r="H96" s="9">
        <f t="shared" si="8"/>
        <v>0</v>
      </c>
      <c r="I96" s="112"/>
      <c r="J96" s="113"/>
      <c r="K96" s="113"/>
      <c r="L96" s="113"/>
      <c r="M96" s="114"/>
    </row>
    <row r="97" spans="2:13" ht="18" customHeight="1" x14ac:dyDescent="0.4">
      <c r="B97" s="170"/>
      <c r="C97" s="186" t="s">
        <v>349</v>
      </c>
      <c r="D97" s="16" t="s">
        <v>63</v>
      </c>
      <c r="E97" s="21">
        <f t="shared" si="6"/>
        <v>13</v>
      </c>
      <c r="F97" s="16">
        <v>20</v>
      </c>
      <c r="G97" s="9">
        <f t="shared" si="7"/>
        <v>0</v>
      </c>
      <c r="H97" s="9">
        <f t="shared" si="8"/>
        <v>0</v>
      </c>
      <c r="I97" s="109" t="s">
        <v>350</v>
      </c>
      <c r="J97" s="110"/>
      <c r="K97" s="110"/>
      <c r="L97" s="110"/>
      <c r="M97" s="111"/>
    </row>
    <row r="98" spans="2:13" ht="18" customHeight="1" x14ac:dyDescent="0.4">
      <c r="B98" s="170"/>
      <c r="C98" s="261"/>
      <c r="D98" s="16" t="s">
        <v>18</v>
      </c>
      <c r="E98" s="21">
        <f t="shared" si="6"/>
        <v>1.9500000000000002</v>
      </c>
      <c r="F98" s="16">
        <v>3</v>
      </c>
      <c r="G98" s="9">
        <f t="shared" si="7"/>
        <v>0</v>
      </c>
      <c r="H98" s="9">
        <f t="shared" si="8"/>
        <v>0</v>
      </c>
      <c r="I98" s="112"/>
      <c r="J98" s="113"/>
      <c r="K98" s="113"/>
      <c r="L98" s="113"/>
      <c r="M98" s="114"/>
    </row>
    <row r="99" spans="2:13" ht="18" customHeight="1" x14ac:dyDescent="0.4">
      <c r="B99" s="170"/>
      <c r="C99" s="261"/>
      <c r="D99" s="16" t="s">
        <v>50</v>
      </c>
      <c r="E99" s="21">
        <f t="shared" si="6"/>
        <v>1.9500000000000002</v>
      </c>
      <c r="F99" s="16">
        <v>3</v>
      </c>
      <c r="G99" s="9">
        <f t="shared" si="7"/>
        <v>0</v>
      </c>
      <c r="H99" s="9">
        <f t="shared" si="8"/>
        <v>0</v>
      </c>
      <c r="I99" s="112"/>
      <c r="J99" s="113"/>
      <c r="K99" s="113"/>
      <c r="L99" s="113"/>
      <c r="M99" s="114"/>
    </row>
    <row r="100" spans="2:13" ht="18" customHeight="1" x14ac:dyDescent="0.4">
      <c r="B100" s="170"/>
      <c r="C100" s="265"/>
      <c r="D100" s="16" t="s">
        <v>127</v>
      </c>
      <c r="E100" s="17">
        <f t="shared" si="6"/>
        <v>0.32500000000000001</v>
      </c>
      <c r="F100" s="16">
        <v>0.5</v>
      </c>
      <c r="G100" s="9">
        <f t="shared" si="7"/>
        <v>0</v>
      </c>
      <c r="H100" s="9">
        <f t="shared" si="8"/>
        <v>0</v>
      </c>
      <c r="I100" s="115"/>
      <c r="J100" s="116"/>
      <c r="K100" s="116"/>
      <c r="L100" s="116"/>
      <c r="M100" s="117"/>
    </row>
    <row r="101" spans="2:13" ht="18" customHeight="1" x14ac:dyDescent="0.4">
      <c r="B101" s="170"/>
      <c r="C101" s="19" t="s">
        <v>135</v>
      </c>
      <c r="D101" s="45" t="s">
        <v>136</v>
      </c>
      <c r="E101" s="21">
        <f t="shared" si="6"/>
        <v>13</v>
      </c>
      <c r="F101" s="16">
        <v>20</v>
      </c>
      <c r="G101" s="9">
        <f t="shared" si="7"/>
        <v>0</v>
      </c>
      <c r="H101" s="9">
        <f t="shared" si="8"/>
        <v>0</v>
      </c>
      <c r="I101" s="208" t="s">
        <v>115</v>
      </c>
      <c r="J101" s="209"/>
      <c r="K101" s="209"/>
      <c r="L101" s="209"/>
      <c r="M101" s="210"/>
    </row>
    <row r="102" spans="2:13" ht="18" customHeight="1" x14ac:dyDescent="0.4">
      <c r="B102" s="153" t="s">
        <v>138</v>
      </c>
      <c r="C102" s="299" t="s">
        <v>351</v>
      </c>
      <c r="D102" s="16" t="s">
        <v>43</v>
      </c>
      <c r="E102" s="11">
        <v>26</v>
      </c>
      <c r="F102" s="16">
        <v>40</v>
      </c>
      <c r="G102" s="9">
        <f t="shared" si="7"/>
        <v>0</v>
      </c>
      <c r="H102" s="9">
        <f t="shared" si="8"/>
        <v>0</v>
      </c>
      <c r="I102" s="148" t="s">
        <v>352</v>
      </c>
      <c r="J102" s="148"/>
      <c r="K102" s="148"/>
      <c r="L102" s="148"/>
      <c r="M102" s="149"/>
    </row>
    <row r="103" spans="2:13" ht="18" customHeight="1" x14ac:dyDescent="0.4">
      <c r="B103" s="153"/>
      <c r="C103" s="300"/>
      <c r="D103" s="16" t="s">
        <v>21</v>
      </c>
      <c r="E103" s="22">
        <v>6.5</v>
      </c>
      <c r="F103" s="16">
        <v>10</v>
      </c>
      <c r="G103" s="9">
        <f t="shared" si="7"/>
        <v>0</v>
      </c>
      <c r="H103" s="9">
        <f t="shared" si="8"/>
        <v>0</v>
      </c>
      <c r="I103" s="148"/>
      <c r="J103" s="148"/>
      <c r="K103" s="148"/>
      <c r="L103" s="148"/>
      <c r="M103" s="149"/>
    </row>
    <row r="104" spans="2:13" ht="18" customHeight="1" x14ac:dyDescent="0.4">
      <c r="B104" s="153"/>
      <c r="C104" s="300"/>
      <c r="D104" s="16" t="s">
        <v>13</v>
      </c>
      <c r="E104" s="22">
        <v>0.32500000000000001</v>
      </c>
      <c r="F104" s="16">
        <v>0.5</v>
      </c>
      <c r="G104" s="9">
        <f t="shared" si="7"/>
        <v>0</v>
      </c>
      <c r="H104" s="9">
        <f t="shared" si="8"/>
        <v>0</v>
      </c>
      <c r="I104" s="148"/>
      <c r="J104" s="148"/>
      <c r="K104" s="148"/>
      <c r="L104" s="148"/>
      <c r="M104" s="149"/>
    </row>
    <row r="105" spans="2:13" ht="18" customHeight="1" x14ac:dyDescent="0.4">
      <c r="B105" s="153"/>
      <c r="C105" s="300"/>
      <c r="D105" s="16" t="s">
        <v>15</v>
      </c>
      <c r="E105" s="22">
        <v>0.13</v>
      </c>
      <c r="F105" s="16">
        <v>0.2</v>
      </c>
      <c r="G105" s="9">
        <f t="shared" si="7"/>
        <v>0</v>
      </c>
      <c r="H105" s="9">
        <f t="shared" si="8"/>
        <v>0</v>
      </c>
      <c r="I105" s="148"/>
      <c r="J105" s="148"/>
      <c r="K105" s="148"/>
      <c r="L105" s="148"/>
      <c r="M105" s="149"/>
    </row>
    <row r="106" spans="2:13" ht="18" customHeight="1" thickBot="1" x14ac:dyDescent="0.45">
      <c r="B106" s="153"/>
      <c r="C106" s="301"/>
      <c r="D106" s="27" t="s">
        <v>19</v>
      </c>
      <c r="E106" s="43">
        <v>1.3</v>
      </c>
      <c r="F106" s="27">
        <v>2</v>
      </c>
      <c r="G106" s="29">
        <f t="shared" si="7"/>
        <v>0</v>
      </c>
      <c r="H106" s="29">
        <f t="shared" si="8"/>
        <v>0</v>
      </c>
      <c r="I106" s="150"/>
      <c r="J106" s="150"/>
      <c r="K106" s="150"/>
      <c r="L106" s="150"/>
      <c r="M106" s="151"/>
    </row>
    <row r="107" spans="2:13" ht="80.099999999999994" customHeight="1" thickTop="1" x14ac:dyDescent="0.4">
      <c r="B107" s="161"/>
      <c r="C107" s="161"/>
      <c r="D107" s="161"/>
      <c r="E107" s="161"/>
      <c r="F107" s="161"/>
      <c r="G107" s="161"/>
      <c r="H107" s="161"/>
      <c r="I107" s="161"/>
      <c r="J107" s="161"/>
      <c r="K107" s="161"/>
      <c r="L107" s="161"/>
      <c r="M107" s="161"/>
    </row>
    <row r="108" spans="2:13" ht="18" thickBot="1" x14ac:dyDescent="0.45"/>
    <row r="109" spans="2:13" ht="21" customHeight="1" thickTop="1" x14ac:dyDescent="0.4">
      <c r="B109" s="183" t="s">
        <v>353</v>
      </c>
      <c r="C109" s="184"/>
      <c r="D109" s="184"/>
      <c r="E109" s="184"/>
      <c r="F109" s="184"/>
      <c r="G109" s="184"/>
      <c r="H109" s="184"/>
      <c r="I109" s="184"/>
      <c r="J109" s="184"/>
      <c r="K109" s="184"/>
      <c r="L109" s="184"/>
      <c r="M109" s="185"/>
    </row>
    <row r="110" spans="2:13" ht="18" customHeight="1" x14ac:dyDescent="0.4">
      <c r="B110" s="137" t="s">
        <v>3</v>
      </c>
      <c r="C110" s="138" t="s">
        <v>4</v>
      </c>
      <c r="D110" s="138" t="s">
        <v>5</v>
      </c>
      <c r="E110" s="138" t="s">
        <v>6</v>
      </c>
      <c r="F110" s="138"/>
      <c r="G110" s="138" t="s">
        <v>7</v>
      </c>
      <c r="H110" s="138"/>
      <c r="I110" s="213" t="s">
        <v>8</v>
      </c>
      <c r="J110" s="214"/>
      <c r="K110" s="214"/>
      <c r="L110" s="214"/>
      <c r="M110" s="215"/>
    </row>
    <row r="111" spans="2:13" ht="18" customHeight="1" x14ac:dyDescent="0.4">
      <c r="B111" s="137"/>
      <c r="C111" s="138"/>
      <c r="D111" s="138"/>
      <c r="E111" s="5" t="s">
        <v>1</v>
      </c>
      <c r="F111" s="5" t="s">
        <v>2</v>
      </c>
      <c r="G111" s="6" t="s">
        <v>1</v>
      </c>
      <c r="H111" s="7" t="s">
        <v>2</v>
      </c>
      <c r="I111" s="216"/>
      <c r="J111" s="217"/>
      <c r="K111" s="217"/>
      <c r="L111" s="217"/>
      <c r="M111" s="218"/>
    </row>
    <row r="112" spans="2:13" ht="18" customHeight="1" x14ac:dyDescent="0.4">
      <c r="B112" s="8" t="s">
        <v>9</v>
      </c>
      <c r="C112" s="9" t="s">
        <v>354</v>
      </c>
      <c r="D112" s="81" t="s">
        <v>355</v>
      </c>
      <c r="E112" s="21">
        <f>F112*0.65</f>
        <v>26</v>
      </c>
      <c r="F112" s="15">
        <v>40</v>
      </c>
      <c r="G112" s="9">
        <f t="shared" ref="G112:G134" si="9">E112*E$2</f>
        <v>0</v>
      </c>
      <c r="H112" s="9">
        <f t="shared" ref="H112:H134" si="10">F112*E$3</f>
        <v>0</v>
      </c>
      <c r="I112" s="163" t="s">
        <v>99</v>
      </c>
      <c r="J112" s="164"/>
      <c r="K112" s="164"/>
      <c r="L112" s="164"/>
      <c r="M112" s="165"/>
    </row>
    <row r="113" spans="2:13" ht="18" customHeight="1" x14ac:dyDescent="0.4">
      <c r="B113" s="104" t="s">
        <v>10</v>
      </c>
      <c r="C113" s="219" t="s">
        <v>58</v>
      </c>
      <c r="D113" s="80" t="s">
        <v>43</v>
      </c>
      <c r="E113" s="9">
        <f>F113*0.7</f>
        <v>35</v>
      </c>
      <c r="F113" s="15">
        <v>50</v>
      </c>
      <c r="G113" s="9">
        <f t="shared" si="9"/>
        <v>0</v>
      </c>
      <c r="H113" s="9">
        <f t="shared" si="10"/>
        <v>0</v>
      </c>
      <c r="I113" s="120" t="s">
        <v>107</v>
      </c>
      <c r="J113" s="121"/>
      <c r="K113" s="121"/>
      <c r="L113" s="121"/>
      <c r="M113" s="122"/>
    </row>
    <row r="114" spans="2:13" ht="18" customHeight="1" x14ac:dyDescent="0.4">
      <c r="B114" s="104"/>
      <c r="C114" s="219"/>
      <c r="D114" s="80" t="s">
        <v>57</v>
      </c>
      <c r="E114" s="9">
        <f>F114*0.7</f>
        <v>3.5</v>
      </c>
      <c r="F114" s="15">
        <v>5</v>
      </c>
      <c r="G114" s="9">
        <f t="shared" si="9"/>
        <v>0</v>
      </c>
      <c r="H114" s="9">
        <f t="shared" si="10"/>
        <v>0</v>
      </c>
      <c r="I114" s="173"/>
      <c r="J114" s="174"/>
      <c r="K114" s="174"/>
      <c r="L114" s="174"/>
      <c r="M114" s="175"/>
    </row>
    <row r="115" spans="2:13" ht="18" customHeight="1" x14ac:dyDescent="0.4">
      <c r="B115" s="104"/>
      <c r="C115" s="244" t="s">
        <v>356</v>
      </c>
      <c r="D115" s="16" t="s">
        <v>89</v>
      </c>
      <c r="E115" s="11">
        <f t="shared" ref="E115:E132" si="11">F115*0.65</f>
        <v>26</v>
      </c>
      <c r="F115" s="15">
        <v>40</v>
      </c>
      <c r="G115" s="9">
        <f t="shared" si="9"/>
        <v>0</v>
      </c>
      <c r="H115" s="9">
        <f t="shared" si="10"/>
        <v>0</v>
      </c>
      <c r="I115" s="120" t="s">
        <v>357</v>
      </c>
      <c r="J115" s="121"/>
      <c r="K115" s="121"/>
      <c r="L115" s="121"/>
      <c r="M115" s="122"/>
    </row>
    <row r="116" spans="2:13" ht="18" customHeight="1" x14ac:dyDescent="0.4">
      <c r="B116" s="104"/>
      <c r="C116" s="296"/>
      <c r="D116" s="16" t="s">
        <v>22</v>
      </c>
      <c r="E116" s="22">
        <f t="shared" si="11"/>
        <v>6.5</v>
      </c>
      <c r="F116" s="15">
        <v>10</v>
      </c>
      <c r="G116" s="9">
        <f t="shared" si="9"/>
        <v>0</v>
      </c>
      <c r="H116" s="9">
        <f t="shared" si="10"/>
        <v>0</v>
      </c>
      <c r="I116" s="123"/>
      <c r="J116" s="124"/>
      <c r="K116" s="124"/>
      <c r="L116" s="124"/>
      <c r="M116" s="125"/>
    </row>
    <row r="117" spans="2:13" ht="18" customHeight="1" x14ac:dyDescent="0.4">
      <c r="B117" s="104"/>
      <c r="C117" s="296"/>
      <c r="D117" s="16" t="s">
        <v>28</v>
      </c>
      <c r="E117" s="22">
        <f t="shared" si="11"/>
        <v>1.3</v>
      </c>
      <c r="F117" s="15">
        <v>2</v>
      </c>
      <c r="G117" s="9">
        <f t="shared" si="9"/>
        <v>0</v>
      </c>
      <c r="H117" s="9">
        <f t="shared" si="10"/>
        <v>0</v>
      </c>
      <c r="I117" s="123"/>
      <c r="J117" s="124"/>
      <c r="K117" s="124"/>
      <c r="L117" s="124"/>
      <c r="M117" s="125"/>
    </row>
    <row r="118" spans="2:13" ht="18" customHeight="1" x14ac:dyDescent="0.4">
      <c r="B118" s="104"/>
      <c r="C118" s="296"/>
      <c r="D118" s="16" t="s">
        <v>127</v>
      </c>
      <c r="E118" s="22">
        <f t="shared" si="11"/>
        <v>0.32500000000000001</v>
      </c>
      <c r="F118" s="15">
        <v>0.5</v>
      </c>
      <c r="G118" s="9">
        <f t="shared" si="9"/>
        <v>0</v>
      </c>
      <c r="H118" s="9">
        <f t="shared" si="10"/>
        <v>0</v>
      </c>
      <c r="I118" s="123"/>
      <c r="J118" s="124"/>
      <c r="K118" s="124"/>
      <c r="L118" s="124"/>
      <c r="M118" s="125"/>
    </row>
    <row r="119" spans="2:13" ht="18" customHeight="1" x14ac:dyDescent="0.4">
      <c r="B119" s="104"/>
      <c r="C119" s="296"/>
      <c r="D119" s="16" t="s">
        <v>27</v>
      </c>
      <c r="E119" s="22">
        <f t="shared" si="11"/>
        <v>1.3</v>
      </c>
      <c r="F119" s="15">
        <v>2</v>
      </c>
      <c r="G119" s="9">
        <f t="shared" si="9"/>
        <v>0</v>
      </c>
      <c r="H119" s="9">
        <f t="shared" si="10"/>
        <v>0</v>
      </c>
      <c r="I119" s="123"/>
      <c r="J119" s="124"/>
      <c r="K119" s="124"/>
      <c r="L119" s="124"/>
      <c r="M119" s="125"/>
    </row>
    <row r="120" spans="2:13" ht="18" customHeight="1" x14ac:dyDescent="0.4">
      <c r="B120" s="104"/>
      <c r="C120" s="296"/>
      <c r="D120" s="16" t="s">
        <v>18</v>
      </c>
      <c r="E120" s="22">
        <f t="shared" si="11"/>
        <v>0.32500000000000001</v>
      </c>
      <c r="F120" s="15">
        <v>0.5</v>
      </c>
      <c r="G120" s="9">
        <f t="shared" si="9"/>
        <v>0</v>
      </c>
      <c r="H120" s="9">
        <f t="shared" si="10"/>
        <v>0</v>
      </c>
      <c r="I120" s="123"/>
      <c r="J120" s="124"/>
      <c r="K120" s="124"/>
      <c r="L120" s="124"/>
      <c r="M120" s="125"/>
    </row>
    <row r="121" spans="2:13" ht="18" customHeight="1" x14ac:dyDescent="0.4">
      <c r="B121" s="104"/>
      <c r="C121" s="296"/>
      <c r="D121" s="16" t="s">
        <v>14</v>
      </c>
      <c r="E121" s="22">
        <f t="shared" si="11"/>
        <v>0.13</v>
      </c>
      <c r="F121" s="15">
        <v>0.2</v>
      </c>
      <c r="G121" s="9">
        <f t="shared" si="9"/>
        <v>0</v>
      </c>
      <c r="H121" s="9">
        <f t="shared" si="10"/>
        <v>0</v>
      </c>
      <c r="I121" s="123"/>
      <c r="J121" s="124"/>
      <c r="K121" s="124"/>
      <c r="L121" s="124"/>
      <c r="M121" s="125"/>
    </row>
    <row r="122" spans="2:13" ht="18" customHeight="1" x14ac:dyDescent="0.4">
      <c r="B122" s="104"/>
      <c r="C122" s="297"/>
      <c r="D122" s="16" t="s">
        <v>24</v>
      </c>
      <c r="E122" s="22">
        <f t="shared" si="11"/>
        <v>0.65</v>
      </c>
      <c r="F122" s="15">
        <v>1</v>
      </c>
      <c r="G122" s="9">
        <f t="shared" si="9"/>
        <v>0</v>
      </c>
      <c r="H122" s="9">
        <f t="shared" si="10"/>
        <v>0</v>
      </c>
      <c r="I122" s="173"/>
      <c r="J122" s="174"/>
      <c r="K122" s="174"/>
      <c r="L122" s="174"/>
      <c r="M122" s="175"/>
    </row>
    <row r="123" spans="2:13" ht="18" customHeight="1" x14ac:dyDescent="0.4">
      <c r="B123" s="104"/>
      <c r="C123" s="126" t="s">
        <v>358</v>
      </c>
      <c r="D123" s="16" t="s">
        <v>86</v>
      </c>
      <c r="E123" s="9">
        <f t="shared" si="11"/>
        <v>26</v>
      </c>
      <c r="F123" s="15">
        <v>40</v>
      </c>
      <c r="G123" s="9">
        <f t="shared" si="9"/>
        <v>0</v>
      </c>
      <c r="H123" s="9">
        <f t="shared" si="10"/>
        <v>0</v>
      </c>
      <c r="I123" s="109" t="s">
        <v>359</v>
      </c>
      <c r="J123" s="110"/>
      <c r="K123" s="110"/>
      <c r="L123" s="110"/>
      <c r="M123" s="111"/>
    </row>
    <row r="124" spans="2:13" ht="18" customHeight="1" x14ac:dyDescent="0.4">
      <c r="B124" s="104"/>
      <c r="C124" s="298"/>
      <c r="D124" s="16" t="s">
        <v>191</v>
      </c>
      <c r="E124" s="26">
        <f t="shared" si="11"/>
        <v>13</v>
      </c>
      <c r="F124" s="15">
        <v>20</v>
      </c>
      <c r="G124" s="9">
        <f t="shared" si="9"/>
        <v>0</v>
      </c>
      <c r="H124" s="9">
        <f t="shared" si="10"/>
        <v>0</v>
      </c>
      <c r="I124" s="112"/>
      <c r="J124" s="113"/>
      <c r="K124" s="113"/>
      <c r="L124" s="113"/>
      <c r="M124" s="114"/>
    </row>
    <row r="125" spans="2:13" ht="18" customHeight="1" x14ac:dyDescent="0.4">
      <c r="B125" s="104"/>
      <c r="C125" s="127"/>
      <c r="D125" s="16" t="s">
        <v>15</v>
      </c>
      <c r="E125" s="23">
        <f t="shared" si="11"/>
        <v>0.32500000000000001</v>
      </c>
      <c r="F125" s="15">
        <v>0.5</v>
      </c>
      <c r="G125" s="9">
        <f t="shared" si="9"/>
        <v>0</v>
      </c>
      <c r="H125" s="9">
        <f t="shared" si="10"/>
        <v>0</v>
      </c>
      <c r="I125" s="112"/>
      <c r="J125" s="113"/>
      <c r="K125" s="113"/>
      <c r="L125" s="113"/>
      <c r="M125" s="114"/>
    </row>
    <row r="126" spans="2:13" ht="18" customHeight="1" x14ac:dyDescent="0.4">
      <c r="B126" s="104"/>
      <c r="C126" s="127"/>
      <c r="D126" s="16" t="s">
        <v>19</v>
      </c>
      <c r="E126" s="23">
        <f t="shared" si="11"/>
        <v>0.13</v>
      </c>
      <c r="F126" s="15">
        <v>0.2</v>
      </c>
      <c r="G126" s="9">
        <f t="shared" si="9"/>
        <v>0</v>
      </c>
      <c r="H126" s="9">
        <f t="shared" si="10"/>
        <v>0</v>
      </c>
      <c r="I126" s="115"/>
      <c r="J126" s="116"/>
      <c r="K126" s="116"/>
      <c r="L126" s="116"/>
      <c r="M126" s="117"/>
    </row>
    <row r="127" spans="2:13" ht="18" customHeight="1" x14ac:dyDescent="0.4">
      <c r="B127" s="104"/>
      <c r="C127" s="250" t="s">
        <v>360</v>
      </c>
      <c r="D127" s="16" t="s">
        <v>55</v>
      </c>
      <c r="E127" s="22">
        <f t="shared" si="11"/>
        <v>3.25</v>
      </c>
      <c r="F127" s="16">
        <v>5</v>
      </c>
      <c r="G127" s="9">
        <f t="shared" si="9"/>
        <v>0</v>
      </c>
      <c r="H127" s="9">
        <f t="shared" si="10"/>
        <v>0</v>
      </c>
      <c r="I127" s="109" t="s">
        <v>361</v>
      </c>
      <c r="J127" s="110"/>
      <c r="K127" s="110"/>
      <c r="L127" s="110"/>
      <c r="M127" s="111"/>
    </row>
    <row r="128" spans="2:13" ht="18" customHeight="1" x14ac:dyDescent="0.4">
      <c r="B128" s="104"/>
      <c r="C128" s="221"/>
      <c r="D128" s="16" t="s">
        <v>15</v>
      </c>
      <c r="E128" s="22">
        <f t="shared" si="11"/>
        <v>0.13</v>
      </c>
      <c r="F128" s="16">
        <v>0.2</v>
      </c>
      <c r="G128" s="9">
        <f t="shared" si="9"/>
        <v>0</v>
      </c>
      <c r="H128" s="9">
        <f t="shared" si="10"/>
        <v>0</v>
      </c>
      <c r="I128" s="112"/>
      <c r="J128" s="113"/>
      <c r="K128" s="113"/>
      <c r="L128" s="113"/>
      <c r="M128" s="114"/>
    </row>
    <row r="129" spans="2:13" ht="18" customHeight="1" x14ac:dyDescent="0.4">
      <c r="B129" s="104"/>
      <c r="C129" s="221"/>
      <c r="D129" s="16" t="s">
        <v>20</v>
      </c>
      <c r="E129" s="22">
        <f t="shared" si="11"/>
        <v>0.13</v>
      </c>
      <c r="F129" s="16">
        <v>0.2</v>
      </c>
      <c r="G129" s="9">
        <f t="shared" si="9"/>
        <v>0</v>
      </c>
      <c r="H129" s="9">
        <f t="shared" si="10"/>
        <v>0</v>
      </c>
      <c r="I129" s="112"/>
      <c r="J129" s="113"/>
      <c r="K129" s="113"/>
      <c r="L129" s="113"/>
      <c r="M129" s="114"/>
    </row>
    <row r="130" spans="2:13" ht="18" customHeight="1" x14ac:dyDescent="0.4">
      <c r="B130" s="104"/>
      <c r="C130" s="221"/>
      <c r="D130" s="16" t="s">
        <v>14</v>
      </c>
      <c r="E130" s="22">
        <f t="shared" si="11"/>
        <v>0.65</v>
      </c>
      <c r="F130" s="16">
        <v>1</v>
      </c>
      <c r="G130" s="9">
        <f t="shared" si="9"/>
        <v>0</v>
      </c>
      <c r="H130" s="9">
        <f t="shared" si="10"/>
        <v>0</v>
      </c>
      <c r="I130" s="112"/>
      <c r="J130" s="113"/>
      <c r="K130" s="113"/>
      <c r="L130" s="113"/>
      <c r="M130" s="114"/>
    </row>
    <row r="131" spans="2:13" ht="18" customHeight="1" x14ac:dyDescent="0.4">
      <c r="B131" s="104"/>
      <c r="C131" s="221"/>
      <c r="D131" s="16" t="s">
        <v>13</v>
      </c>
      <c r="E131" s="22">
        <f t="shared" si="11"/>
        <v>0.13</v>
      </c>
      <c r="F131" s="16">
        <v>0.2</v>
      </c>
      <c r="G131" s="9">
        <f t="shared" si="9"/>
        <v>0</v>
      </c>
      <c r="H131" s="9">
        <f t="shared" si="10"/>
        <v>0</v>
      </c>
      <c r="I131" s="115"/>
      <c r="J131" s="116"/>
      <c r="K131" s="116"/>
      <c r="L131" s="116"/>
      <c r="M131" s="117"/>
    </row>
    <row r="132" spans="2:13" ht="18" customHeight="1" x14ac:dyDescent="0.4">
      <c r="B132" s="104"/>
      <c r="C132" s="24" t="s">
        <v>135</v>
      </c>
      <c r="D132" s="24" t="s">
        <v>41</v>
      </c>
      <c r="E132" s="21">
        <f t="shared" si="11"/>
        <v>13</v>
      </c>
      <c r="F132" s="75">
        <v>20</v>
      </c>
      <c r="G132" s="10">
        <f t="shared" si="9"/>
        <v>0</v>
      </c>
      <c r="H132" s="10">
        <f t="shared" si="10"/>
        <v>0</v>
      </c>
      <c r="I132" s="140" t="s">
        <v>137</v>
      </c>
      <c r="J132" s="141"/>
      <c r="K132" s="141"/>
      <c r="L132" s="141"/>
      <c r="M132" s="142"/>
    </row>
    <row r="133" spans="2:13" ht="18" customHeight="1" x14ac:dyDescent="0.4">
      <c r="B133" s="153" t="s">
        <v>138</v>
      </c>
      <c r="C133" s="47" t="s">
        <v>362</v>
      </c>
      <c r="D133" s="16" t="s">
        <v>111</v>
      </c>
      <c r="E133" s="26">
        <v>26</v>
      </c>
      <c r="F133" s="15">
        <v>40</v>
      </c>
      <c r="G133" s="9">
        <f t="shared" si="9"/>
        <v>0</v>
      </c>
      <c r="H133" s="9">
        <f t="shared" si="10"/>
        <v>0</v>
      </c>
      <c r="I133" s="140" t="s">
        <v>112</v>
      </c>
      <c r="J133" s="141"/>
      <c r="K133" s="141"/>
      <c r="L133" s="141"/>
      <c r="M133" s="142"/>
    </row>
    <row r="134" spans="2:13" ht="18" customHeight="1" thickBot="1" x14ac:dyDescent="0.45">
      <c r="B134" s="155"/>
      <c r="C134" s="82" t="s">
        <v>149</v>
      </c>
      <c r="D134" s="27" t="s">
        <v>189</v>
      </c>
      <c r="E134" s="66">
        <v>100</v>
      </c>
      <c r="F134" s="27">
        <v>100</v>
      </c>
      <c r="G134" s="29">
        <f t="shared" si="9"/>
        <v>0</v>
      </c>
      <c r="H134" s="29">
        <f t="shared" si="10"/>
        <v>0</v>
      </c>
      <c r="I134" s="291"/>
      <c r="J134" s="292"/>
      <c r="K134" s="292"/>
      <c r="L134" s="292"/>
      <c r="M134" s="293"/>
    </row>
    <row r="135" spans="2:13" ht="80.099999999999994" customHeight="1" thickTop="1" x14ac:dyDescent="0.4">
      <c r="B135" s="161"/>
      <c r="C135" s="161"/>
      <c r="D135" s="161"/>
      <c r="E135" s="161"/>
      <c r="F135" s="161"/>
      <c r="G135" s="161"/>
      <c r="H135" s="161"/>
      <c r="I135" s="161"/>
      <c r="J135" s="161"/>
      <c r="K135" s="161"/>
      <c r="L135" s="161"/>
      <c r="M135" s="161"/>
    </row>
    <row r="136" spans="2:13" ht="17.25" customHeight="1" thickBot="1" x14ac:dyDescent="0.45"/>
    <row r="137" spans="2:13" ht="21" customHeight="1" thickTop="1" x14ac:dyDescent="0.4">
      <c r="B137" s="183" t="s">
        <v>363</v>
      </c>
      <c r="C137" s="184"/>
      <c r="D137" s="184"/>
      <c r="E137" s="184"/>
      <c r="F137" s="184"/>
      <c r="G137" s="184"/>
      <c r="H137" s="184"/>
      <c r="I137" s="184"/>
      <c r="J137" s="184"/>
      <c r="K137" s="184"/>
      <c r="L137" s="184"/>
      <c r="M137" s="185"/>
    </row>
    <row r="138" spans="2:13" ht="18" customHeight="1" x14ac:dyDescent="0.4">
      <c r="B138" s="137" t="s">
        <v>3</v>
      </c>
      <c r="C138" s="138" t="s">
        <v>4</v>
      </c>
      <c r="D138" s="138" t="s">
        <v>5</v>
      </c>
      <c r="E138" s="138" t="s">
        <v>6</v>
      </c>
      <c r="F138" s="138"/>
      <c r="G138" s="138" t="s">
        <v>7</v>
      </c>
      <c r="H138" s="138"/>
      <c r="I138" s="213" t="s">
        <v>8</v>
      </c>
      <c r="J138" s="214"/>
      <c r="K138" s="214"/>
      <c r="L138" s="214"/>
      <c r="M138" s="215"/>
    </row>
    <row r="139" spans="2:13" ht="18" customHeight="1" x14ac:dyDescent="0.4">
      <c r="B139" s="137"/>
      <c r="C139" s="138"/>
      <c r="D139" s="138"/>
      <c r="E139" s="5" t="s">
        <v>1</v>
      </c>
      <c r="F139" s="5" t="s">
        <v>2</v>
      </c>
      <c r="G139" s="6" t="s">
        <v>1</v>
      </c>
      <c r="H139" s="7" t="s">
        <v>2</v>
      </c>
      <c r="I139" s="216"/>
      <c r="J139" s="217"/>
      <c r="K139" s="217"/>
      <c r="L139" s="217"/>
      <c r="M139" s="218"/>
    </row>
    <row r="140" spans="2:13" ht="18" customHeight="1" x14ac:dyDescent="0.4">
      <c r="B140" s="8" t="s">
        <v>9</v>
      </c>
      <c r="C140" s="9" t="s">
        <v>364</v>
      </c>
      <c r="D140" s="10" t="s">
        <v>364</v>
      </c>
      <c r="E140" s="17">
        <f t="shared" ref="E140:E164" si="12">F140*0.65</f>
        <v>32.5</v>
      </c>
      <c r="F140" s="36">
        <v>50</v>
      </c>
      <c r="G140" s="9">
        <f t="shared" ref="G140:G164" si="13">E140*E$2</f>
        <v>0</v>
      </c>
      <c r="H140" s="9">
        <f t="shared" ref="H140:H164" si="14">F140*E$3</f>
        <v>0</v>
      </c>
      <c r="I140" s="163" t="s">
        <v>365</v>
      </c>
      <c r="J140" s="164"/>
      <c r="K140" s="164"/>
      <c r="L140" s="164"/>
      <c r="M140" s="165"/>
    </row>
    <row r="141" spans="2:13" ht="18" customHeight="1" x14ac:dyDescent="0.4">
      <c r="B141" s="104" t="s">
        <v>10</v>
      </c>
      <c r="C141" s="171" t="s">
        <v>150</v>
      </c>
      <c r="D141" s="16" t="s">
        <v>123</v>
      </c>
      <c r="E141" s="22">
        <f t="shared" si="12"/>
        <v>32.5</v>
      </c>
      <c r="F141" s="15">
        <v>50</v>
      </c>
      <c r="G141" s="35">
        <f t="shared" si="13"/>
        <v>0</v>
      </c>
      <c r="H141" s="35">
        <f t="shared" si="14"/>
        <v>0</v>
      </c>
      <c r="I141" s="120" t="s">
        <v>102</v>
      </c>
      <c r="J141" s="121"/>
      <c r="K141" s="121"/>
      <c r="L141" s="121"/>
      <c r="M141" s="122"/>
    </row>
    <row r="142" spans="2:13" ht="18" customHeight="1" x14ac:dyDescent="0.4">
      <c r="B142" s="104"/>
      <c r="C142" s="172"/>
      <c r="D142" s="16" t="s">
        <v>151</v>
      </c>
      <c r="E142" s="22">
        <f t="shared" si="12"/>
        <v>1.625</v>
      </c>
      <c r="F142" s="15">
        <v>2.5</v>
      </c>
      <c r="G142" s="9">
        <f t="shared" si="13"/>
        <v>0</v>
      </c>
      <c r="H142" s="9">
        <f t="shared" si="14"/>
        <v>0</v>
      </c>
      <c r="I142" s="173"/>
      <c r="J142" s="174"/>
      <c r="K142" s="174"/>
      <c r="L142" s="174"/>
      <c r="M142" s="175"/>
    </row>
    <row r="143" spans="2:13" ht="18" customHeight="1" x14ac:dyDescent="0.4">
      <c r="B143" s="104"/>
      <c r="C143" s="106" t="s">
        <v>366</v>
      </c>
      <c r="D143" s="19" t="s">
        <v>367</v>
      </c>
      <c r="E143" s="9">
        <f t="shared" si="12"/>
        <v>13</v>
      </c>
      <c r="F143" s="16">
        <v>20</v>
      </c>
      <c r="G143" s="9">
        <f t="shared" si="13"/>
        <v>0</v>
      </c>
      <c r="H143" s="9">
        <f t="shared" si="14"/>
        <v>0</v>
      </c>
      <c r="I143" s="109" t="s">
        <v>368</v>
      </c>
      <c r="J143" s="110"/>
      <c r="K143" s="110"/>
      <c r="L143" s="110"/>
      <c r="M143" s="111"/>
    </row>
    <row r="144" spans="2:13" ht="18" customHeight="1" x14ac:dyDescent="0.4">
      <c r="B144" s="104"/>
      <c r="C144" s="146"/>
      <c r="D144" s="19" t="s">
        <v>71</v>
      </c>
      <c r="E144" s="23">
        <f t="shared" si="12"/>
        <v>3.25</v>
      </c>
      <c r="F144" s="16">
        <v>5</v>
      </c>
      <c r="G144" s="9">
        <f t="shared" si="13"/>
        <v>0</v>
      </c>
      <c r="H144" s="9">
        <f t="shared" si="14"/>
        <v>0</v>
      </c>
      <c r="I144" s="112"/>
      <c r="J144" s="113"/>
      <c r="K144" s="113"/>
      <c r="L144" s="113"/>
      <c r="M144" s="114"/>
    </row>
    <row r="145" spans="2:13" ht="18" customHeight="1" x14ac:dyDescent="0.4">
      <c r="B145" s="104"/>
      <c r="C145" s="146"/>
      <c r="D145" s="19" t="s">
        <v>28</v>
      </c>
      <c r="E145" s="9">
        <f t="shared" si="12"/>
        <v>1.3</v>
      </c>
      <c r="F145" s="16">
        <v>2</v>
      </c>
      <c r="G145" s="9">
        <f t="shared" si="13"/>
        <v>0</v>
      </c>
      <c r="H145" s="9">
        <f t="shared" si="14"/>
        <v>0</v>
      </c>
      <c r="I145" s="112"/>
      <c r="J145" s="113"/>
      <c r="K145" s="113"/>
      <c r="L145" s="113"/>
      <c r="M145" s="114"/>
    </row>
    <row r="146" spans="2:13" ht="18" customHeight="1" x14ac:dyDescent="0.4">
      <c r="B146" s="104"/>
      <c r="C146" s="146"/>
      <c r="D146" s="19" t="s">
        <v>27</v>
      </c>
      <c r="E146" s="9">
        <f t="shared" si="12"/>
        <v>1.3</v>
      </c>
      <c r="F146" s="16">
        <v>2</v>
      </c>
      <c r="G146" s="9">
        <f t="shared" si="13"/>
        <v>0</v>
      </c>
      <c r="H146" s="9">
        <f t="shared" si="14"/>
        <v>0</v>
      </c>
      <c r="I146" s="112"/>
      <c r="J146" s="113"/>
      <c r="K146" s="113"/>
      <c r="L146" s="113"/>
      <c r="M146" s="114"/>
    </row>
    <row r="147" spans="2:13" ht="18" customHeight="1" x14ac:dyDescent="0.4">
      <c r="B147" s="104"/>
      <c r="C147" s="146"/>
      <c r="D147" s="19" t="s">
        <v>127</v>
      </c>
      <c r="E147" s="23">
        <f t="shared" si="12"/>
        <v>0.32500000000000001</v>
      </c>
      <c r="F147" s="16">
        <v>0.5</v>
      </c>
      <c r="G147" s="9">
        <f t="shared" si="13"/>
        <v>0</v>
      </c>
      <c r="H147" s="9">
        <f t="shared" si="14"/>
        <v>0</v>
      </c>
      <c r="I147" s="112"/>
      <c r="J147" s="113"/>
      <c r="K147" s="113"/>
      <c r="L147" s="113"/>
      <c r="M147" s="114"/>
    </row>
    <row r="148" spans="2:13" ht="18" customHeight="1" x14ac:dyDescent="0.4">
      <c r="B148" s="104"/>
      <c r="C148" s="146"/>
      <c r="D148" s="19" t="s">
        <v>24</v>
      </c>
      <c r="E148" s="9">
        <f t="shared" si="12"/>
        <v>1.3</v>
      </c>
      <c r="F148" s="16">
        <v>2</v>
      </c>
      <c r="G148" s="9">
        <f t="shared" si="13"/>
        <v>0</v>
      </c>
      <c r="H148" s="9">
        <f t="shared" si="14"/>
        <v>0</v>
      </c>
      <c r="I148" s="112"/>
      <c r="J148" s="113"/>
      <c r="K148" s="113"/>
      <c r="L148" s="113"/>
      <c r="M148" s="114"/>
    </row>
    <row r="149" spans="2:13" ht="18" customHeight="1" x14ac:dyDescent="0.4">
      <c r="B149" s="104"/>
      <c r="C149" s="106" t="s">
        <v>369</v>
      </c>
      <c r="D149" s="16" t="s">
        <v>227</v>
      </c>
      <c r="E149" s="21">
        <f t="shared" si="12"/>
        <v>26</v>
      </c>
      <c r="F149" s="16">
        <v>40</v>
      </c>
      <c r="G149" s="9">
        <f t="shared" si="13"/>
        <v>0</v>
      </c>
      <c r="H149" s="9">
        <f t="shared" si="14"/>
        <v>0</v>
      </c>
      <c r="I149" s="109" t="s">
        <v>370</v>
      </c>
      <c r="J149" s="110"/>
      <c r="K149" s="110"/>
      <c r="L149" s="110"/>
      <c r="M149" s="111"/>
    </row>
    <row r="150" spans="2:13" ht="18" customHeight="1" x14ac:dyDescent="0.4">
      <c r="B150" s="104"/>
      <c r="C150" s="146"/>
      <c r="D150" s="16" t="s">
        <v>22</v>
      </c>
      <c r="E150" s="22">
        <f t="shared" si="12"/>
        <v>6.5</v>
      </c>
      <c r="F150" s="16">
        <v>10</v>
      </c>
      <c r="G150" s="9">
        <f t="shared" si="13"/>
        <v>0</v>
      </c>
      <c r="H150" s="9">
        <f t="shared" si="14"/>
        <v>0</v>
      </c>
      <c r="I150" s="112"/>
      <c r="J150" s="113"/>
      <c r="K150" s="113"/>
      <c r="L150" s="113"/>
      <c r="M150" s="114"/>
    </row>
    <row r="151" spans="2:13" ht="18" customHeight="1" x14ac:dyDescent="0.4">
      <c r="B151" s="104"/>
      <c r="C151" s="146"/>
      <c r="D151" s="16" t="s">
        <v>19</v>
      </c>
      <c r="E151" s="22">
        <f t="shared" si="12"/>
        <v>1.3</v>
      </c>
      <c r="F151" s="16">
        <v>2</v>
      </c>
      <c r="G151" s="9">
        <f t="shared" si="13"/>
        <v>0</v>
      </c>
      <c r="H151" s="9">
        <f t="shared" si="14"/>
        <v>0</v>
      </c>
      <c r="I151" s="112"/>
      <c r="J151" s="113"/>
      <c r="K151" s="113"/>
      <c r="L151" s="113"/>
      <c r="M151" s="114"/>
    </row>
    <row r="152" spans="2:13" ht="18" customHeight="1" x14ac:dyDescent="0.4">
      <c r="B152" s="104"/>
      <c r="C152" s="146"/>
      <c r="D152" s="75" t="s">
        <v>371</v>
      </c>
      <c r="E152" s="22">
        <f t="shared" si="12"/>
        <v>3.25</v>
      </c>
      <c r="F152" s="76">
        <v>5</v>
      </c>
      <c r="G152" s="9">
        <f t="shared" si="13"/>
        <v>0</v>
      </c>
      <c r="H152" s="9">
        <f t="shared" si="14"/>
        <v>0</v>
      </c>
      <c r="I152" s="112"/>
      <c r="J152" s="113"/>
      <c r="K152" s="113"/>
      <c r="L152" s="113"/>
      <c r="M152" s="114"/>
    </row>
    <row r="153" spans="2:13" ht="18" customHeight="1" x14ac:dyDescent="0.4">
      <c r="B153" s="104"/>
      <c r="C153" s="146"/>
      <c r="D153" s="75" t="s">
        <v>372</v>
      </c>
      <c r="E153" s="22">
        <f t="shared" si="12"/>
        <v>0.32500000000000001</v>
      </c>
      <c r="F153" s="76">
        <v>0.5</v>
      </c>
      <c r="G153" s="9">
        <f t="shared" si="13"/>
        <v>0</v>
      </c>
      <c r="H153" s="9">
        <f t="shared" si="14"/>
        <v>0</v>
      </c>
      <c r="I153" s="112"/>
      <c r="J153" s="113"/>
      <c r="K153" s="113"/>
      <c r="L153" s="113"/>
      <c r="M153" s="114"/>
    </row>
    <row r="154" spans="2:13" ht="18" customHeight="1" x14ac:dyDescent="0.4">
      <c r="B154" s="104"/>
      <c r="C154" s="177"/>
      <c r="D154" s="16" t="s">
        <v>160</v>
      </c>
      <c r="E154" s="22">
        <f t="shared" si="12"/>
        <v>0.19500000000000001</v>
      </c>
      <c r="F154" s="15">
        <v>0.3</v>
      </c>
      <c r="G154" s="9">
        <f t="shared" si="13"/>
        <v>0</v>
      </c>
      <c r="H154" s="9">
        <f t="shared" si="14"/>
        <v>0</v>
      </c>
      <c r="I154" s="115"/>
      <c r="J154" s="116"/>
      <c r="K154" s="116"/>
      <c r="L154" s="116"/>
      <c r="M154" s="117"/>
    </row>
    <row r="155" spans="2:13" s="1" customFormat="1" ht="18" customHeight="1" x14ac:dyDescent="0.4">
      <c r="B155" s="104"/>
      <c r="C155" s="106" t="s">
        <v>373</v>
      </c>
      <c r="D155" s="39" t="s">
        <v>80</v>
      </c>
      <c r="E155" s="22">
        <f t="shared" si="12"/>
        <v>19.5</v>
      </c>
      <c r="F155" s="49">
        <v>30</v>
      </c>
      <c r="G155" s="9">
        <f t="shared" si="13"/>
        <v>0</v>
      </c>
      <c r="H155" s="9">
        <f t="shared" si="14"/>
        <v>0</v>
      </c>
      <c r="I155" s="309" t="s">
        <v>374</v>
      </c>
      <c r="J155" s="310"/>
      <c r="K155" s="310"/>
      <c r="L155" s="310"/>
      <c r="M155" s="311"/>
    </row>
    <row r="156" spans="2:13" s="1" customFormat="1" ht="18" customHeight="1" x14ac:dyDescent="0.4">
      <c r="B156" s="104"/>
      <c r="C156" s="146"/>
      <c r="D156" s="16" t="s">
        <v>24</v>
      </c>
      <c r="E156" s="22">
        <f t="shared" si="12"/>
        <v>0.65</v>
      </c>
      <c r="F156" s="15">
        <v>1</v>
      </c>
      <c r="G156" s="9">
        <f t="shared" si="13"/>
        <v>0</v>
      </c>
      <c r="H156" s="9">
        <f t="shared" si="14"/>
        <v>0</v>
      </c>
      <c r="I156" s="312"/>
      <c r="J156" s="313"/>
      <c r="K156" s="313"/>
      <c r="L156" s="313"/>
      <c r="M156" s="314"/>
    </row>
    <row r="157" spans="2:13" s="1" customFormat="1" ht="18" customHeight="1" x14ac:dyDescent="0.4">
      <c r="B157" s="104"/>
      <c r="C157" s="146"/>
      <c r="D157" s="16" t="s">
        <v>127</v>
      </c>
      <c r="E157" s="22">
        <f t="shared" si="12"/>
        <v>0.13</v>
      </c>
      <c r="F157" s="15">
        <v>0.2</v>
      </c>
      <c r="G157" s="9">
        <f t="shared" si="13"/>
        <v>0</v>
      </c>
      <c r="H157" s="9">
        <f t="shared" si="14"/>
        <v>0</v>
      </c>
      <c r="I157" s="312"/>
      <c r="J157" s="313"/>
      <c r="K157" s="313"/>
      <c r="L157" s="313"/>
      <c r="M157" s="314"/>
    </row>
    <row r="158" spans="2:13" s="1" customFormat="1" ht="18" customHeight="1" x14ac:dyDescent="0.4">
      <c r="B158" s="104"/>
      <c r="C158" s="146"/>
      <c r="D158" s="16" t="s">
        <v>133</v>
      </c>
      <c r="E158" s="22">
        <f t="shared" si="12"/>
        <v>0.32500000000000001</v>
      </c>
      <c r="F158" s="15">
        <v>0.5</v>
      </c>
      <c r="G158" s="9">
        <f t="shared" si="13"/>
        <v>0</v>
      </c>
      <c r="H158" s="9">
        <f t="shared" si="14"/>
        <v>0</v>
      </c>
      <c r="I158" s="312"/>
      <c r="J158" s="313"/>
      <c r="K158" s="313"/>
      <c r="L158" s="313"/>
      <c r="M158" s="314"/>
    </row>
    <row r="159" spans="2:13" s="1" customFormat="1" ht="18" customHeight="1" x14ac:dyDescent="0.4">
      <c r="B159" s="104"/>
      <c r="C159" s="146"/>
      <c r="D159" s="16" t="s">
        <v>375</v>
      </c>
      <c r="E159" s="22">
        <f t="shared" si="12"/>
        <v>1.3</v>
      </c>
      <c r="F159" s="15">
        <v>2</v>
      </c>
      <c r="G159" s="9">
        <f t="shared" si="13"/>
        <v>0</v>
      </c>
      <c r="H159" s="9">
        <f t="shared" si="14"/>
        <v>0</v>
      </c>
      <c r="I159" s="312"/>
      <c r="J159" s="313"/>
      <c r="K159" s="313"/>
      <c r="L159" s="313"/>
      <c r="M159" s="314"/>
    </row>
    <row r="160" spans="2:13" s="1" customFormat="1" ht="18" customHeight="1" x14ac:dyDescent="0.4">
      <c r="B160" s="104"/>
      <c r="C160" s="146"/>
      <c r="D160" s="16" t="s">
        <v>14</v>
      </c>
      <c r="E160" s="22">
        <f t="shared" si="12"/>
        <v>0.65</v>
      </c>
      <c r="F160" s="15">
        <v>1</v>
      </c>
      <c r="G160" s="9">
        <f t="shared" si="13"/>
        <v>0</v>
      </c>
      <c r="H160" s="9">
        <f t="shared" si="14"/>
        <v>0</v>
      </c>
      <c r="I160" s="312"/>
      <c r="J160" s="313"/>
      <c r="K160" s="313"/>
      <c r="L160" s="313"/>
      <c r="M160" s="314"/>
    </row>
    <row r="161" spans="2:13" s="1" customFormat="1" ht="18" customHeight="1" x14ac:dyDescent="0.4">
      <c r="B161" s="104"/>
      <c r="C161" s="146"/>
      <c r="D161" s="16" t="s">
        <v>13</v>
      </c>
      <c r="E161" s="22">
        <f t="shared" si="12"/>
        <v>0.13</v>
      </c>
      <c r="F161" s="15">
        <v>0.2</v>
      </c>
      <c r="G161" s="9">
        <f t="shared" si="13"/>
        <v>0</v>
      </c>
      <c r="H161" s="9">
        <f t="shared" si="14"/>
        <v>0</v>
      </c>
      <c r="I161" s="315"/>
      <c r="J161" s="316"/>
      <c r="K161" s="316"/>
      <c r="L161" s="316"/>
      <c r="M161" s="317"/>
    </row>
    <row r="162" spans="2:13" ht="18" customHeight="1" x14ac:dyDescent="0.4">
      <c r="B162" s="104"/>
      <c r="C162" s="24" t="s">
        <v>337</v>
      </c>
      <c r="D162" s="83" t="s">
        <v>338</v>
      </c>
      <c r="E162" s="21">
        <f t="shared" si="12"/>
        <v>13</v>
      </c>
      <c r="F162" s="39">
        <v>20</v>
      </c>
      <c r="G162" s="35">
        <f t="shared" si="13"/>
        <v>0</v>
      </c>
      <c r="H162" s="35">
        <f t="shared" si="14"/>
        <v>0</v>
      </c>
      <c r="I162" s="305" t="s">
        <v>113</v>
      </c>
      <c r="J162" s="305"/>
      <c r="K162" s="305"/>
      <c r="L162" s="305"/>
      <c r="M162" s="306"/>
    </row>
    <row r="163" spans="2:13" ht="51.75" customHeight="1" x14ac:dyDescent="0.4">
      <c r="B163" s="235" t="s">
        <v>138</v>
      </c>
      <c r="C163" s="19" t="s">
        <v>376</v>
      </c>
      <c r="D163" s="9" t="s">
        <v>377</v>
      </c>
      <c r="E163" s="26">
        <f t="shared" si="12"/>
        <v>52</v>
      </c>
      <c r="F163" s="9">
        <v>80</v>
      </c>
      <c r="G163" s="9">
        <f t="shared" si="13"/>
        <v>0</v>
      </c>
      <c r="H163" s="9">
        <f t="shared" si="14"/>
        <v>0</v>
      </c>
      <c r="I163" s="105" t="s">
        <v>378</v>
      </c>
      <c r="J163" s="294"/>
      <c r="K163" s="294"/>
      <c r="L163" s="294"/>
      <c r="M163" s="295"/>
    </row>
    <row r="164" spans="2:13" ht="18" customHeight="1" thickBot="1" x14ac:dyDescent="0.45">
      <c r="B164" s="236"/>
      <c r="C164" s="84" t="s">
        <v>379</v>
      </c>
      <c r="D164" s="61" t="s">
        <v>379</v>
      </c>
      <c r="E164" s="85">
        <f t="shared" si="12"/>
        <v>65</v>
      </c>
      <c r="F164" s="27">
        <v>100</v>
      </c>
      <c r="G164" s="29">
        <f t="shared" si="13"/>
        <v>0</v>
      </c>
      <c r="H164" s="29">
        <f t="shared" si="14"/>
        <v>0</v>
      </c>
      <c r="I164" s="291"/>
      <c r="J164" s="292"/>
      <c r="K164" s="292"/>
      <c r="L164" s="292"/>
      <c r="M164" s="293"/>
    </row>
    <row r="165" spans="2:13" ht="80.099999999999994" customHeight="1" thickTop="1" x14ac:dyDescent="0.4">
      <c r="B165" s="152"/>
      <c r="C165" s="152"/>
      <c r="D165" s="152"/>
      <c r="E165" s="152"/>
      <c r="F165" s="152"/>
      <c r="G165" s="152"/>
      <c r="H165" s="152"/>
      <c r="I165" s="152"/>
      <c r="J165" s="152"/>
      <c r="K165" s="152"/>
      <c r="L165" s="152"/>
      <c r="M165" s="152"/>
    </row>
    <row r="166" spans="2:13" ht="18" thickBot="1" x14ac:dyDescent="0.45"/>
    <row r="167" spans="2:13" ht="21" customHeight="1" thickTop="1" x14ac:dyDescent="0.4">
      <c r="B167" s="183" t="s">
        <v>380</v>
      </c>
      <c r="C167" s="184"/>
      <c r="D167" s="184"/>
      <c r="E167" s="184"/>
      <c r="F167" s="184"/>
      <c r="G167" s="184"/>
      <c r="H167" s="184"/>
      <c r="I167" s="184"/>
      <c r="J167" s="184"/>
      <c r="K167" s="184"/>
      <c r="L167" s="184"/>
      <c r="M167" s="185"/>
    </row>
    <row r="168" spans="2:13" ht="18" customHeight="1" x14ac:dyDescent="0.4">
      <c r="B168" s="137" t="s">
        <v>3</v>
      </c>
      <c r="C168" s="138" t="s">
        <v>4</v>
      </c>
      <c r="D168" s="138" t="s">
        <v>5</v>
      </c>
      <c r="E168" s="138" t="s">
        <v>6</v>
      </c>
      <c r="F168" s="138"/>
      <c r="G168" s="138" t="s">
        <v>7</v>
      </c>
      <c r="H168" s="138"/>
      <c r="I168" s="213" t="s">
        <v>8</v>
      </c>
      <c r="J168" s="214"/>
      <c r="K168" s="214"/>
      <c r="L168" s="214"/>
      <c r="M168" s="215"/>
    </row>
    <row r="169" spans="2:13" ht="18" customHeight="1" x14ac:dyDescent="0.4">
      <c r="B169" s="137"/>
      <c r="C169" s="138"/>
      <c r="D169" s="138"/>
      <c r="E169" s="5" t="s">
        <v>1</v>
      </c>
      <c r="F169" s="5" t="s">
        <v>2</v>
      </c>
      <c r="G169" s="6" t="s">
        <v>1</v>
      </c>
      <c r="H169" s="7" t="s">
        <v>2</v>
      </c>
      <c r="I169" s="216"/>
      <c r="J169" s="217"/>
      <c r="K169" s="217"/>
      <c r="L169" s="217"/>
      <c r="M169" s="218"/>
    </row>
    <row r="170" spans="2:13" ht="18" customHeight="1" x14ac:dyDescent="0.4">
      <c r="B170" s="8" t="s">
        <v>9</v>
      </c>
      <c r="C170" s="9" t="s">
        <v>221</v>
      </c>
      <c r="D170" s="16" t="s">
        <v>222</v>
      </c>
      <c r="E170" s="9">
        <v>200</v>
      </c>
      <c r="F170" s="16">
        <v>200</v>
      </c>
      <c r="G170" s="9">
        <f t="shared" ref="G170:G194" si="15">E170*E$2</f>
        <v>0</v>
      </c>
      <c r="H170" s="9">
        <f t="shared" ref="H170:H194" si="16">F170*E$3</f>
        <v>0</v>
      </c>
      <c r="I170" s="96"/>
      <c r="J170" s="164"/>
      <c r="K170" s="164"/>
      <c r="L170" s="164"/>
      <c r="M170" s="165"/>
    </row>
    <row r="171" spans="2:13" ht="18" customHeight="1" x14ac:dyDescent="0.4">
      <c r="B171" s="169" t="s">
        <v>10</v>
      </c>
      <c r="C171" s="106" t="s">
        <v>381</v>
      </c>
      <c r="D171" s="50" t="s">
        <v>83</v>
      </c>
      <c r="E171" s="11">
        <f t="shared" ref="E171:E194" si="17">F171*0.65</f>
        <v>26</v>
      </c>
      <c r="F171" s="50">
        <v>40</v>
      </c>
      <c r="G171" s="68">
        <f t="shared" si="15"/>
        <v>0</v>
      </c>
      <c r="H171" s="9">
        <f t="shared" si="16"/>
        <v>0</v>
      </c>
      <c r="I171" s="281" t="s">
        <v>382</v>
      </c>
      <c r="J171" s="282"/>
      <c r="K171" s="282"/>
      <c r="L171" s="282"/>
      <c r="M171" s="283"/>
    </row>
    <row r="172" spans="2:13" ht="18" customHeight="1" x14ac:dyDescent="0.4">
      <c r="B172" s="170"/>
      <c r="C172" s="146"/>
      <c r="D172" s="50" t="s">
        <v>85</v>
      </c>
      <c r="E172" s="11">
        <f t="shared" si="17"/>
        <v>65</v>
      </c>
      <c r="F172" s="50">
        <v>100</v>
      </c>
      <c r="G172" s="68">
        <f t="shared" si="15"/>
        <v>0</v>
      </c>
      <c r="H172" s="9">
        <f t="shared" si="16"/>
        <v>0</v>
      </c>
      <c r="I172" s="284"/>
      <c r="J172" s="285"/>
      <c r="K172" s="285"/>
      <c r="L172" s="285"/>
      <c r="M172" s="286"/>
    </row>
    <row r="173" spans="2:13" ht="18" customHeight="1" x14ac:dyDescent="0.4">
      <c r="B173" s="170"/>
      <c r="C173" s="146"/>
      <c r="D173" s="50" t="s">
        <v>51</v>
      </c>
      <c r="E173" s="22">
        <f t="shared" si="17"/>
        <v>6.5</v>
      </c>
      <c r="F173" s="50">
        <v>10</v>
      </c>
      <c r="G173" s="68">
        <f t="shared" si="15"/>
        <v>0</v>
      </c>
      <c r="H173" s="68">
        <f t="shared" si="16"/>
        <v>0</v>
      </c>
      <c r="I173" s="284"/>
      <c r="J173" s="285"/>
      <c r="K173" s="285"/>
      <c r="L173" s="285"/>
      <c r="M173" s="286"/>
    </row>
    <row r="174" spans="2:13" ht="18" customHeight="1" x14ac:dyDescent="0.4">
      <c r="B174" s="170"/>
      <c r="C174" s="146"/>
      <c r="D174" s="50" t="s">
        <v>344</v>
      </c>
      <c r="E174" s="22">
        <f t="shared" si="17"/>
        <v>9.75</v>
      </c>
      <c r="F174" s="50">
        <v>15</v>
      </c>
      <c r="G174" s="68">
        <f t="shared" si="15"/>
        <v>0</v>
      </c>
      <c r="H174" s="68">
        <f t="shared" si="16"/>
        <v>0</v>
      </c>
      <c r="I174" s="284"/>
      <c r="J174" s="285"/>
      <c r="K174" s="285"/>
      <c r="L174" s="285"/>
      <c r="M174" s="286"/>
    </row>
    <row r="175" spans="2:13" ht="18" customHeight="1" x14ac:dyDescent="0.4">
      <c r="B175" s="170"/>
      <c r="C175" s="146"/>
      <c r="D175" s="50" t="s">
        <v>127</v>
      </c>
      <c r="E175" s="11">
        <f t="shared" si="17"/>
        <v>1.9500000000000002</v>
      </c>
      <c r="F175" s="50">
        <v>3</v>
      </c>
      <c r="G175" s="68">
        <f t="shared" si="15"/>
        <v>0</v>
      </c>
      <c r="H175" s="68">
        <f t="shared" si="16"/>
        <v>0</v>
      </c>
      <c r="I175" s="284"/>
      <c r="J175" s="285"/>
      <c r="K175" s="285"/>
      <c r="L175" s="285"/>
      <c r="M175" s="286"/>
    </row>
    <row r="176" spans="2:13" ht="18" customHeight="1" x14ac:dyDescent="0.4">
      <c r="B176" s="170"/>
      <c r="C176" s="146"/>
      <c r="D176" s="50" t="s">
        <v>22</v>
      </c>
      <c r="E176" s="22">
        <f t="shared" si="17"/>
        <v>3.25</v>
      </c>
      <c r="F176" s="50">
        <v>5</v>
      </c>
      <c r="G176" s="68">
        <f t="shared" si="15"/>
        <v>0</v>
      </c>
      <c r="H176" s="68">
        <f t="shared" si="16"/>
        <v>0</v>
      </c>
      <c r="I176" s="284"/>
      <c r="J176" s="285"/>
      <c r="K176" s="285"/>
      <c r="L176" s="285"/>
      <c r="M176" s="286"/>
    </row>
    <row r="177" spans="2:13" ht="18" customHeight="1" x14ac:dyDescent="0.4">
      <c r="B177" s="170"/>
      <c r="C177" s="146"/>
      <c r="D177" s="50" t="s">
        <v>84</v>
      </c>
      <c r="E177" s="22">
        <f t="shared" si="17"/>
        <v>6.5</v>
      </c>
      <c r="F177" s="50">
        <v>10</v>
      </c>
      <c r="G177" s="68">
        <f t="shared" si="15"/>
        <v>0</v>
      </c>
      <c r="H177" s="68">
        <f t="shared" si="16"/>
        <v>0</v>
      </c>
      <c r="I177" s="284"/>
      <c r="J177" s="285"/>
      <c r="K177" s="285"/>
      <c r="L177" s="285"/>
      <c r="M177" s="286"/>
    </row>
    <row r="178" spans="2:13" ht="18" customHeight="1" x14ac:dyDescent="0.4">
      <c r="B178" s="170"/>
      <c r="C178" s="146"/>
      <c r="D178" s="50" t="s">
        <v>20</v>
      </c>
      <c r="E178" s="22">
        <f t="shared" si="17"/>
        <v>1.3</v>
      </c>
      <c r="F178" s="50">
        <v>2</v>
      </c>
      <c r="G178" s="9">
        <f t="shared" si="15"/>
        <v>0</v>
      </c>
      <c r="H178" s="9">
        <f t="shared" si="16"/>
        <v>0</v>
      </c>
      <c r="I178" s="284"/>
      <c r="J178" s="285"/>
      <c r="K178" s="285"/>
      <c r="L178" s="285"/>
      <c r="M178" s="286"/>
    </row>
    <row r="179" spans="2:13" ht="18" customHeight="1" x14ac:dyDescent="0.4">
      <c r="B179" s="170"/>
      <c r="C179" s="146"/>
      <c r="D179" s="50" t="s">
        <v>15</v>
      </c>
      <c r="E179" s="22">
        <f t="shared" si="17"/>
        <v>0.65</v>
      </c>
      <c r="F179" s="50">
        <v>1</v>
      </c>
      <c r="G179" s="9">
        <f t="shared" si="15"/>
        <v>0</v>
      </c>
      <c r="H179" s="9">
        <f t="shared" si="16"/>
        <v>0</v>
      </c>
      <c r="I179" s="284"/>
      <c r="J179" s="285"/>
      <c r="K179" s="285"/>
      <c r="L179" s="285"/>
      <c r="M179" s="286"/>
    </row>
    <row r="180" spans="2:13" ht="18" customHeight="1" x14ac:dyDescent="0.4">
      <c r="B180" s="170"/>
      <c r="C180" s="177"/>
      <c r="D180" s="50" t="s">
        <v>97</v>
      </c>
      <c r="E180" s="11">
        <f t="shared" si="17"/>
        <v>1.9500000000000002</v>
      </c>
      <c r="F180" s="50">
        <v>3</v>
      </c>
      <c r="G180" s="9">
        <f t="shared" si="15"/>
        <v>0</v>
      </c>
      <c r="H180" s="9">
        <f t="shared" si="16"/>
        <v>0</v>
      </c>
      <c r="I180" s="287"/>
      <c r="J180" s="288"/>
      <c r="K180" s="288"/>
      <c r="L180" s="288"/>
      <c r="M180" s="289"/>
    </row>
    <row r="181" spans="2:13" ht="18" customHeight="1" x14ac:dyDescent="0.4">
      <c r="B181" s="170"/>
      <c r="C181" s="107" t="s">
        <v>383</v>
      </c>
      <c r="D181" s="86" t="s">
        <v>29</v>
      </c>
      <c r="E181" s="35">
        <f t="shared" si="17"/>
        <v>6.5</v>
      </c>
      <c r="F181" s="86">
        <v>10</v>
      </c>
      <c r="G181" s="35">
        <f t="shared" si="15"/>
        <v>0</v>
      </c>
      <c r="H181" s="35">
        <f t="shared" si="16"/>
        <v>0</v>
      </c>
      <c r="I181" s="112" t="s">
        <v>384</v>
      </c>
      <c r="J181" s="113"/>
      <c r="K181" s="113"/>
      <c r="L181" s="113"/>
      <c r="M181" s="114"/>
    </row>
    <row r="182" spans="2:13" ht="18" customHeight="1" x14ac:dyDescent="0.4">
      <c r="B182" s="170"/>
      <c r="C182" s="107"/>
      <c r="D182" s="78" t="s">
        <v>385</v>
      </c>
      <c r="E182" s="23">
        <f t="shared" si="17"/>
        <v>3.25</v>
      </c>
      <c r="F182" s="78">
        <v>5</v>
      </c>
      <c r="G182" s="9">
        <f t="shared" si="15"/>
        <v>0</v>
      </c>
      <c r="H182" s="9">
        <f t="shared" si="16"/>
        <v>0</v>
      </c>
      <c r="I182" s="112"/>
      <c r="J182" s="113"/>
      <c r="K182" s="113"/>
      <c r="L182" s="113"/>
      <c r="M182" s="114"/>
    </row>
    <row r="183" spans="2:13" ht="18" customHeight="1" x14ac:dyDescent="0.4">
      <c r="B183" s="170"/>
      <c r="C183" s="107"/>
      <c r="D183" s="78" t="s">
        <v>33</v>
      </c>
      <c r="E183" s="9">
        <f t="shared" si="17"/>
        <v>32.5</v>
      </c>
      <c r="F183" s="78">
        <v>50</v>
      </c>
      <c r="G183" s="9">
        <f t="shared" si="15"/>
        <v>0</v>
      </c>
      <c r="H183" s="9">
        <f t="shared" si="16"/>
        <v>0</v>
      </c>
      <c r="I183" s="112"/>
      <c r="J183" s="113"/>
      <c r="K183" s="113"/>
      <c r="L183" s="113"/>
      <c r="M183" s="114"/>
    </row>
    <row r="184" spans="2:13" ht="18" customHeight="1" x14ac:dyDescent="0.4">
      <c r="B184" s="170"/>
      <c r="C184" s="107"/>
      <c r="D184" s="78" t="s">
        <v>15</v>
      </c>
      <c r="E184" s="23">
        <f t="shared" si="17"/>
        <v>0.65</v>
      </c>
      <c r="F184" s="78">
        <v>1</v>
      </c>
      <c r="G184" s="9">
        <f t="shared" si="15"/>
        <v>0</v>
      </c>
      <c r="H184" s="9">
        <f t="shared" si="16"/>
        <v>0</v>
      </c>
      <c r="I184" s="112"/>
      <c r="J184" s="113"/>
      <c r="K184" s="113"/>
      <c r="L184" s="113"/>
      <c r="M184" s="114"/>
    </row>
    <row r="185" spans="2:13" ht="18" customHeight="1" x14ac:dyDescent="0.4">
      <c r="B185" s="170"/>
      <c r="C185" s="108"/>
      <c r="D185" s="86" t="s">
        <v>36</v>
      </c>
      <c r="E185" s="23">
        <f t="shared" si="17"/>
        <v>0.32500000000000001</v>
      </c>
      <c r="F185" s="78">
        <v>0.5</v>
      </c>
      <c r="G185" s="9">
        <f t="shared" si="15"/>
        <v>0</v>
      </c>
      <c r="H185" s="9">
        <f t="shared" si="16"/>
        <v>0</v>
      </c>
      <c r="I185" s="115"/>
      <c r="J185" s="116"/>
      <c r="K185" s="116"/>
      <c r="L185" s="116"/>
      <c r="M185" s="117"/>
    </row>
    <row r="186" spans="2:13" ht="18" customHeight="1" x14ac:dyDescent="0.4">
      <c r="B186" s="170"/>
      <c r="C186" s="126" t="s">
        <v>386</v>
      </c>
      <c r="D186" s="16" t="s">
        <v>183</v>
      </c>
      <c r="E186" s="17">
        <f t="shared" si="17"/>
        <v>9.75</v>
      </c>
      <c r="F186" s="15">
        <v>15</v>
      </c>
      <c r="G186" s="9">
        <f t="shared" si="15"/>
        <v>0</v>
      </c>
      <c r="H186" s="9">
        <f t="shared" si="16"/>
        <v>0</v>
      </c>
      <c r="I186" s="109" t="s">
        <v>387</v>
      </c>
      <c r="J186" s="110"/>
      <c r="K186" s="110"/>
      <c r="L186" s="110"/>
      <c r="M186" s="111"/>
    </row>
    <row r="187" spans="2:13" ht="18" customHeight="1" x14ac:dyDescent="0.4">
      <c r="B187" s="170"/>
      <c r="C187" s="127"/>
      <c r="D187" s="16" t="s">
        <v>118</v>
      </c>
      <c r="E187" s="17">
        <f t="shared" si="17"/>
        <v>3.25</v>
      </c>
      <c r="F187" s="15">
        <v>5</v>
      </c>
      <c r="G187" s="9">
        <f t="shared" si="15"/>
        <v>0</v>
      </c>
      <c r="H187" s="9">
        <f t="shared" si="16"/>
        <v>0</v>
      </c>
      <c r="I187" s="112"/>
      <c r="J187" s="113"/>
      <c r="K187" s="113"/>
      <c r="L187" s="113"/>
      <c r="M187" s="114"/>
    </row>
    <row r="188" spans="2:13" ht="18" customHeight="1" x14ac:dyDescent="0.4">
      <c r="B188" s="170"/>
      <c r="C188" s="127"/>
      <c r="D188" s="16" t="s">
        <v>157</v>
      </c>
      <c r="E188" s="17">
        <f t="shared" si="17"/>
        <v>3.25</v>
      </c>
      <c r="F188" s="15">
        <v>5</v>
      </c>
      <c r="G188" s="9">
        <f t="shared" si="15"/>
        <v>0</v>
      </c>
      <c r="H188" s="9">
        <f t="shared" si="16"/>
        <v>0</v>
      </c>
      <c r="I188" s="112"/>
      <c r="J188" s="113"/>
      <c r="K188" s="113"/>
      <c r="L188" s="113"/>
      <c r="M188" s="114"/>
    </row>
    <row r="189" spans="2:13" ht="18" customHeight="1" x14ac:dyDescent="0.4">
      <c r="B189" s="170"/>
      <c r="C189" s="127"/>
      <c r="D189" s="16" t="s">
        <v>158</v>
      </c>
      <c r="E189" s="17">
        <f t="shared" si="17"/>
        <v>3.25</v>
      </c>
      <c r="F189" s="15">
        <v>5</v>
      </c>
      <c r="G189" s="9">
        <f t="shared" si="15"/>
        <v>0</v>
      </c>
      <c r="H189" s="9">
        <f t="shared" si="16"/>
        <v>0</v>
      </c>
      <c r="I189" s="112"/>
      <c r="J189" s="113"/>
      <c r="K189" s="113"/>
      <c r="L189" s="113"/>
      <c r="M189" s="114"/>
    </row>
    <row r="190" spans="2:13" ht="18" customHeight="1" x14ac:dyDescent="0.4">
      <c r="B190" s="170"/>
      <c r="C190" s="127"/>
      <c r="D190" s="16" t="s">
        <v>161</v>
      </c>
      <c r="E190" s="17">
        <f t="shared" si="17"/>
        <v>1.625</v>
      </c>
      <c r="F190" s="15">
        <v>2.5</v>
      </c>
      <c r="G190" s="9">
        <f t="shared" si="15"/>
        <v>0</v>
      </c>
      <c r="H190" s="9">
        <f t="shared" si="16"/>
        <v>0</v>
      </c>
      <c r="I190" s="112"/>
      <c r="J190" s="113"/>
      <c r="K190" s="113"/>
      <c r="L190" s="113"/>
      <c r="M190" s="114"/>
    </row>
    <row r="191" spans="2:13" ht="18" customHeight="1" x14ac:dyDescent="0.4">
      <c r="B191" s="170"/>
      <c r="C191" s="127"/>
      <c r="D191" s="16" t="s">
        <v>133</v>
      </c>
      <c r="E191" s="21">
        <f t="shared" si="17"/>
        <v>0.97500000000000009</v>
      </c>
      <c r="F191" s="15">
        <v>1.5</v>
      </c>
      <c r="G191" s="9">
        <f t="shared" si="15"/>
        <v>0</v>
      </c>
      <c r="H191" s="9">
        <f t="shared" si="16"/>
        <v>0</v>
      </c>
      <c r="I191" s="112"/>
      <c r="J191" s="113"/>
      <c r="K191" s="113"/>
      <c r="L191" s="113"/>
      <c r="M191" s="114"/>
    </row>
    <row r="192" spans="2:13" ht="18" customHeight="1" x14ac:dyDescent="0.4">
      <c r="B192" s="170"/>
      <c r="C192" s="127"/>
      <c r="D192" s="16" t="s">
        <v>127</v>
      </c>
      <c r="E192" s="17">
        <f t="shared" si="17"/>
        <v>0.65</v>
      </c>
      <c r="F192" s="15">
        <v>1</v>
      </c>
      <c r="G192" s="9">
        <f t="shared" si="15"/>
        <v>0</v>
      </c>
      <c r="H192" s="9">
        <f t="shared" si="16"/>
        <v>0</v>
      </c>
      <c r="I192" s="112"/>
      <c r="J192" s="113"/>
      <c r="K192" s="113"/>
      <c r="L192" s="113"/>
      <c r="M192" s="114"/>
    </row>
    <row r="193" spans="2:13" ht="18" customHeight="1" x14ac:dyDescent="0.4">
      <c r="B193" s="170"/>
      <c r="C193" s="127"/>
      <c r="D193" s="16" t="s">
        <v>186</v>
      </c>
      <c r="E193" s="17">
        <f t="shared" si="17"/>
        <v>0.13</v>
      </c>
      <c r="F193" s="15">
        <v>0.2</v>
      </c>
      <c r="G193" s="9">
        <f t="shared" si="15"/>
        <v>0</v>
      </c>
      <c r="H193" s="9">
        <f t="shared" si="16"/>
        <v>0</v>
      </c>
      <c r="I193" s="115"/>
      <c r="J193" s="116"/>
      <c r="K193" s="116"/>
      <c r="L193" s="116"/>
      <c r="M193" s="117"/>
    </row>
    <row r="194" spans="2:13" ht="18" customHeight="1" thickBot="1" x14ac:dyDescent="0.45">
      <c r="B194" s="170"/>
      <c r="C194" s="24" t="s">
        <v>135</v>
      </c>
      <c r="D194" s="25" t="s">
        <v>136</v>
      </c>
      <c r="E194" s="51">
        <f t="shared" si="17"/>
        <v>13</v>
      </c>
      <c r="F194" s="37">
        <v>20</v>
      </c>
      <c r="G194" s="52">
        <f t="shared" si="15"/>
        <v>0</v>
      </c>
      <c r="H194" s="52">
        <f t="shared" si="16"/>
        <v>0</v>
      </c>
      <c r="I194" s="208" t="s">
        <v>115</v>
      </c>
      <c r="J194" s="209"/>
      <c r="K194" s="209"/>
      <c r="L194" s="209"/>
      <c r="M194" s="210"/>
    </row>
    <row r="195" spans="2:13" ht="80.099999999999994" customHeight="1" thickTop="1" x14ac:dyDescent="0.4">
      <c r="B195" s="290"/>
      <c r="C195" s="290"/>
      <c r="D195" s="290"/>
      <c r="E195" s="290"/>
      <c r="F195" s="290"/>
      <c r="G195" s="290"/>
      <c r="H195" s="290"/>
      <c r="I195" s="290"/>
      <c r="J195" s="290"/>
      <c r="K195" s="290"/>
      <c r="L195" s="290"/>
      <c r="M195" s="290"/>
    </row>
  </sheetData>
  <mergeCells count="130">
    <mergeCell ref="C2:C3"/>
    <mergeCell ref="F2:M3"/>
    <mergeCell ref="B4:M6"/>
    <mergeCell ref="B7:M7"/>
    <mergeCell ref="B8:B9"/>
    <mergeCell ref="C8:C9"/>
    <mergeCell ref="D8:D9"/>
    <mergeCell ref="E8:F8"/>
    <mergeCell ref="G8:H8"/>
    <mergeCell ref="I8:M9"/>
    <mergeCell ref="I10:M10"/>
    <mergeCell ref="C11:C12"/>
    <mergeCell ref="I11:M12"/>
    <mergeCell ref="C13:C17"/>
    <mergeCell ref="I13:M17"/>
    <mergeCell ref="C18:C26"/>
    <mergeCell ref="I18:M26"/>
    <mergeCell ref="C27:C31"/>
    <mergeCell ref="I27:M31"/>
    <mergeCell ref="I32:M32"/>
    <mergeCell ref="B11:B32"/>
    <mergeCell ref="B33:B39"/>
    <mergeCell ref="C33:C39"/>
    <mergeCell ref="I33:M39"/>
    <mergeCell ref="B40:M40"/>
    <mergeCell ref="B42:M42"/>
    <mergeCell ref="B43:B44"/>
    <mergeCell ref="C43:C44"/>
    <mergeCell ref="D43:D44"/>
    <mergeCell ref="E43:F43"/>
    <mergeCell ref="G43:H43"/>
    <mergeCell ref="I43:M44"/>
    <mergeCell ref="B45:B46"/>
    <mergeCell ref="I45:M45"/>
    <mergeCell ref="I46:M46"/>
    <mergeCell ref="B47:B65"/>
    <mergeCell ref="C47:C48"/>
    <mergeCell ref="I47:M48"/>
    <mergeCell ref="C49:C54"/>
    <mergeCell ref="I49:M54"/>
    <mergeCell ref="C55:C58"/>
    <mergeCell ref="I55:M58"/>
    <mergeCell ref="C59:C64"/>
    <mergeCell ref="I59:M64"/>
    <mergeCell ref="I65:M65"/>
    <mergeCell ref="B66:B73"/>
    <mergeCell ref="C66:C73"/>
    <mergeCell ref="I66:M73"/>
    <mergeCell ref="B74:M74"/>
    <mergeCell ref="B76:M76"/>
    <mergeCell ref="B77:B78"/>
    <mergeCell ref="C77:C78"/>
    <mergeCell ref="D77:D78"/>
    <mergeCell ref="E77:F77"/>
    <mergeCell ref="G77:H77"/>
    <mergeCell ref="I77:M78"/>
    <mergeCell ref="I79:M79"/>
    <mergeCell ref="B80:B101"/>
    <mergeCell ref="C80:C89"/>
    <mergeCell ref="I80:M89"/>
    <mergeCell ref="C90:C96"/>
    <mergeCell ref="I90:M96"/>
    <mergeCell ref="C97:C100"/>
    <mergeCell ref="I97:M100"/>
    <mergeCell ref="I101:M101"/>
    <mergeCell ref="B102:B106"/>
    <mergeCell ref="C102:C106"/>
    <mergeCell ref="I102:M106"/>
    <mergeCell ref="B107:M107"/>
    <mergeCell ref="B109:M109"/>
    <mergeCell ref="B110:B111"/>
    <mergeCell ref="C110:C111"/>
    <mergeCell ref="D110:D111"/>
    <mergeCell ref="E110:F110"/>
    <mergeCell ref="G110:H110"/>
    <mergeCell ref="I110:M111"/>
    <mergeCell ref="I112:M112"/>
    <mergeCell ref="B113:B132"/>
    <mergeCell ref="C113:C114"/>
    <mergeCell ref="I113:M114"/>
    <mergeCell ref="C115:C122"/>
    <mergeCell ref="I115:M122"/>
    <mergeCell ref="C123:C126"/>
    <mergeCell ref="I123:M126"/>
    <mergeCell ref="C127:C131"/>
    <mergeCell ref="I127:M131"/>
    <mergeCell ref="I132:M132"/>
    <mergeCell ref="B133:B134"/>
    <mergeCell ref="I133:M133"/>
    <mergeCell ref="I134:M134"/>
    <mergeCell ref="B135:M135"/>
    <mergeCell ref="B137:M137"/>
    <mergeCell ref="B138:B139"/>
    <mergeCell ref="C138:C139"/>
    <mergeCell ref="D138:D139"/>
    <mergeCell ref="I163:M163"/>
    <mergeCell ref="E138:F138"/>
    <mergeCell ref="G138:H138"/>
    <mergeCell ref="I138:M139"/>
    <mergeCell ref="I140:M140"/>
    <mergeCell ref="B141:B162"/>
    <mergeCell ref="C141:C142"/>
    <mergeCell ref="I141:M142"/>
    <mergeCell ref="C143:C148"/>
    <mergeCell ref="I143:M148"/>
    <mergeCell ref="C149:C154"/>
    <mergeCell ref="I149:M154"/>
    <mergeCell ref="C155:C161"/>
    <mergeCell ref="I155:M161"/>
    <mergeCell ref="I162:M162"/>
    <mergeCell ref="I164:M164"/>
    <mergeCell ref="B165:M165"/>
    <mergeCell ref="B167:M167"/>
    <mergeCell ref="C168:C169"/>
    <mergeCell ref="I168:M169"/>
    <mergeCell ref="I170:M170"/>
    <mergeCell ref="B163:B164"/>
    <mergeCell ref="B168:B169"/>
    <mergeCell ref="D168:D169"/>
    <mergeCell ref="E168:F168"/>
    <mergeCell ref="G168:H168"/>
    <mergeCell ref="B171:B194"/>
    <mergeCell ref="C171:C180"/>
    <mergeCell ref="I171:M180"/>
    <mergeCell ref="C181:C185"/>
    <mergeCell ref="I181:M185"/>
    <mergeCell ref="C186:C193"/>
    <mergeCell ref="I186:M193"/>
    <mergeCell ref="I194:M194"/>
    <mergeCell ref="B195:M195"/>
  </mergeCells>
  <phoneticPr fontId="2" type="noConversion"/>
  <pageMargins left="0.25" right="0.25" top="0.75" bottom="0.75" header="0.3" footer="0.3"/>
  <rowBreaks count="5" manualBreakCount="5">
    <brk id="41" min="1" max="12" man="1"/>
    <brk id="83" min="1" max="12" man="1"/>
    <brk id="116" min="1" max="12" man="1"/>
    <brk id="152" min="1" max="12" man="1"/>
    <brk id="186" min="1" max="12" man="1"/>
  </rowBreak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242E9-304A-416A-B7C3-BC27F6E7D6A4}">
  <sheetPr>
    <pageSetUpPr fitToPage="1"/>
  </sheetPr>
  <dimension ref="B1:M165"/>
  <sheetViews>
    <sheetView zoomScaleNormal="100" zoomScaleSheetLayoutView="70" workbookViewId="0">
      <selection activeCell="O162" sqref="O162"/>
    </sheetView>
  </sheetViews>
  <sheetFormatPr defaultColWidth="9" defaultRowHeight="17.399999999999999" x14ac:dyDescent="0.4"/>
  <cols>
    <col min="1" max="1" width="4.8984375" customWidth="1"/>
    <col min="2" max="2" width="9" style="1"/>
    <col min="3" max="3" width="18.59765625" style="1" customWidth="1"/>
    <col min="4" max="4" width="11.59765625" style="1" customWidth="1"/>
    <col min="5" max="12" width="9" style="1"/>
    <col min="13" max="13" width="9" style="1" customWidth="1"/>
  </cols>
  <sheetData>
    <row r="1" spans="2:13" ht="18" thickBot="1" x14ac:dyDescent="0.45"/>
    <row r="2" spans="2:13" ht="18" customHeight="1" thickTop="1" thickBot="1" x14ac:dyDescent="0.45">
      <c r="C2" s="128" t="s">
        <v>0</v>
      </c>
      <c r="D2" s="3" t="s">
        <v>1</v>
      </c>
      <c r="E2" s="4"/>
      <c r="F2" s="130" t="s">
        <v>109</v>
      </c>
      <c r="G2" s="131"/>
      <c r="H2" s="131"/>
      <c r="I2" s="131"/>
      <c r="J2" s="131"/>
      <c r="K2" s="131"/>
      <c r="L2" s="131"/>
      <c r="M2" s="131"/>
    </row>
    <row r="3" spans="2:13" ht="18" customHeight="1" thickTop="1" thickBot="1" x14ac:dyDescent="0.45">
      <c r="C3" s="129"/>
      <c r="D3" s="3" t="s">
        <v>2</v>
      </c>
      <c r="E3" s="2"/>
      <c r="F3" s="130"/>
      <c r="G3" s="131"/>
      <c r="H3" s="131"/>
      <c r="I3" s="131"/>
      <c r="J3" s="131"/>
      <c r="K3" s="131"/>
      <c r="L3" s="131"/>
      <c r="M3" s="131"/>
    </row>
    <row r="4" spans="2:13" ht="34.5" customHeight="1" thickTop="1" x14ac:dyDescent="0.4">
      <c r="B4" s="132" t="s">
        <v>98</v>
      </c>
      <c r="C4" s="132"/>
      <c r="D4" s="132"/>
      <c r="E4" s="132"/>
      <c r="F4" s="132"/>
      <c r="G4" s="132"/>
      <c r="H4" s="132"/>
      <c r="I4" s="132"/>
      <c r="J4" s="132"/>
      <c r="K4" s="132"/>
      <c r="L4" s="132"/>
      <c r="M4" s="132"/>
    </row>
    <row r="5" spans="2:13" ht="16.5" customHeight="1" x14ac:dyDescent="0.4"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</row>
    <row r="6" spans="2:13" ht="16.5" customHeight="1" thickBot="1" x14ac:dyDescent="0.45">
      <c r="B6" s="133"/>
      <c r="C6" s="133"/>
      <c r="D6" s="133"/>
      <c r="E6" s="133"/>
      <c r="F6" s="133"/>
      <c r="G6" s="133"/>
      <c r="H6" s="133"/>
      <c r="I6" s="133"/>
      <c r="J6" s="133"/>
      <c r="K6" s="133"/>
      <c r="L6" s="133"/>
      <c r="M6" s="133"/>
    </row>
    <row r="7" spans="2:13" ht="21" customHeight="1" thickTop="1" x14ac:dyDescent="0.4">
      <c r="B7" s="134" t="s">
        <v>388</v>
      </c>
      <c r="C7" s="135"/>
      <c r="D7" s="135"/>
      <c r="E7" s="135"/>
      <c r="F7" s="135"/>
      <c r="G7" s="135"/>
      <c r="H7" s="135"/>
      <c r="I7" s="135"/>
      <c r="J7" s="135"/>
      <c r="K7" s="135"/>
      <c r="L7" s="135"/>
      <c r="M7" s="136"/>
    </row>
    <row r="8" spans="2:13" ht="18" customHeight="1" x14ac:dyDescent="0.4">
      <c r="B8" s="137" t="s">
        <v>3</v>
      </c>
      <c r="C8" s="138" t="s">
        <v>4</v>
      </c>
      <c r="D8" s="138" t="s">
        <v>5</v>
      </c>
      <c r="E8" s="138" t="s">
        <v>6</v>
      </c>
      <c r="F8" s="138"/>
      <c r="G8" s="138" t="s">
        <v>7</v>
      </c>
      <c r="H8" s="138"/>
      <c r="I8" s="138" t="s">
        <v>8</v>
      </c>
      <c r="J8" s="138"/>
      <c r="K8" s="138"/>
      <c r="L8" s="138"/>
      <c r="M8" s="139"/>
    </row>
    <row r="9" spans="2:13" ht="18" customHeight="1" x14ac:dyDescent="0.4">
      <c r="B9" s="137"/>
      <c r="C9" s="138"/>
      <c r="D9" s="138"/>
      <c r="E9" s="5" t="s">
        <v>1</v>
      </c>
      <c r="F9" s="5" t="s">
        <v>2</v>
      </c>
      <c r="G9" s="6" t="s">
        <v>1</v>
      </c>
      <c r="H9" s="7" t="s">
        <v>2</v>
      </c>
      <c r="I9" s="138"/>
      <c r="J9" s="138"/>
      <c r="K9" s="138"/>
      <c r="L9" s="138"/>
      <c r="M9" s="139"/>
    </row>
    <row r="10" spans="2:13" ht="18" customHeight="1" x14ac:dyDescent="0.4">
      <c r="B10" s="8" t="s">
        <v>9</v>
      </c>
      <c r="C10" s="58" t="s">
        <v>294</v>
      </c>
      <c r="D10" s="9" t="s">
        <v>294</v>
      </c>
      <c r="E10" s="22">
        <f t="shared" ref="E10:E35" si="0">F10*0.65</f>
        <v>32.5</v>
      </c>
      <c r="F10" s="15">
        <v>50</v>
      </c>
      <c r="G10" s="9">
        <f t="shared" ref="G10:G35" si="1">E10*E$2</f>
        <v>0</v>
      </c>
      <c r="H10" s="9">
        <f t="shared" ref="H10:H35" si="2">F10*E$3</f>
        <v>0</v>
      </c>
      <c r="I10" s="242" t="s">
        <v>105</v>
      </c>
      <c r="J10" s="242"/>
      <c r="K10" s="242"/>
      <c r="L10" s="242"/>
      <c r="M10" s="243"/>
    </row>
    <row r="11" spans="2:13" ht="18" customHeight="1" x14ac:dyDescent="0.4">
      <c r="B11" s="104" t="s">
        <v>10</v>
      </c>
      <c r="C11" s="16" t="s">
        <v>122</v>
      </c>
      <c r="D11" s="16" t="s">
        <v>123</v>
      </c>
      <c r="E11" s="17">
        <f t="shared" si="0"/>
        <v>35.75</v>
      </c>
      <c r="F11" s="15">
        <v>55</v>
      </c>
      <c r="G11" s="9">
        <f t="shared" si="1"/>
        <v>0</v>
      </c>
      <c r="H11" s="9">
        <f t="shared" si="2"/>
        <v>0</v>
      </c>
      <c r="I11" s="105" t="s">
        <v>124</v>
      </c>
      <c r="J11" s="97"/>
      <c r="K11" s="97"/>
      <c r="L11" s="97"/>
      <c r="M11" s="98"/>
    </row>
    <row r="12" spans="2:13" ht="18" customHeight="1" x14ac:dyDescent="0.4">
      <c r="B12" s="104"/>
      <c r="C12" s="106" t="s">
        <v>268</v>
      </c>
      <c r="D12" s="16" t="s">
        <v>25</v>
      </c>
      <c r="E12" s="21">
        <f t="shared" si="0"/>
        <v>13</v>
      </c>
      <c r="F12" s="16">
        <v>20</v>
      </c>
      <c r="G12" s="9">
        <f t="shared" si="1"/>
        <v>0</v>
      </c>
      <c r="H12" s="9">
        <f t="shared" si="2"/>
        <v>0</v>
      </c>
      <c r="I12" s="178" t="s">
        <v>389</v>
      </c>
      <c r="J12" s="178"/>
      <c r="K12" s="178"/>
      <c r="L12" s="178"/>
      <c r="M12" s="179"/>
    </row>
    <row r="13" spans="2:13" ht="18" customHeight="1" x14ac:dyDescent="0.4">
      <c r="B13" s="104"/>
      <c r="C13" s="146"/>
      <c r="D13" s="16" t="s">
        <v>91</v>
      </c>
      <c r="E13" s="17">
        <f t="shared" si="0"/>
        <v>1.3</v>
      </c>
      <c r="F13" s="16">
        <v>2</v>
      </c>
      <c r="G13" s="9">
        <f t="shared" si="1"/>
        <v>0</v>
      </c>
      <c r="H13" s="9">
        <f t="shared" si="2"/>
        <v>0</v>
      </c>
      <c r="I13" s="178"/>
      <c r="J13" s="178"/>
      <c r="K13" s="178"/>
      <c r="L13" s="178"/>
      <c r="M13" s="179"/>
    </row>
    <row r="14" spans="2:13" ht="18" customHeight="1" x14ac:dyDescent="0.4">
      <c r="B14" s="104"/>
      <c r="C14" s="146"/>
      <c r="D14" s="16" t="s">
        <v>28</v>
      </c>
      <c r="E14" s="21">
        <f t="shared" si="0"/>
        <v>1.9500000000000002</v>
      </c>
      <c r="F14" s="16">
        <v>3</v>
      </c>
      <c r="G14" s="9">
        <f t="shared" si="1"/>
        <v>0</v>
      </c>
      <c r="H14" s="9">
        <f t="shared" si="2"/>
        <v>0</v>
      </c>
      <c r="I14" s="178"/>
      <c r="J14" s="178"/>
      <c r="K14" s="178"/>
      <c r="L14" s="178"/>
      <c r="M14" s="179"/>
    </row>
    <row r="15" spans="2:13" ht="18" customHeight="1" x14ac:dyDescent="0.4">
      <c r="B15" s="104"/>
      <c r="C15" s="146"/>
      <c r="D15" s="16" t="s">
        <v>127</v>
      </c>
      <c r="E15" s="17">
        <f t="shared" si="0"/>
        <v>0.32500000000000001</v>
      </c>
      <c r="F15" s="16">
        <v>0.5</v>
      </c>
      <c r="G15" s="9">
        <f t="shared" si="1"/>
        <v>0</v>
      </c>
      <c r="H15" s="9">
        <f t="shared" si="2"/>
        <v>0</v>
      </c>
      <c r="I15" s="178"/>
      <c r="J15" s="178"/>
      <c r="K15" s="178"/>
      <c r="L15" s="178"/>
      <c r="M15" s="179"/>
    </row>
    <row r="16" spans="2:13" ht="18" customHeight="1" x14ac:dyDescent="0.4">
      <c r="B16" s="104"/>
      <c r="C16" s="177"/>
      <c r="D16" s="16" t="s">
        <v>18</v>
      </c>
      <c r="E16" s="17">
        <f t="shared" si="0"/>
        <v>0.32500000000000001</v>
      </c>
      <c r="F16" s="16">
        <v>0.5</v>
      </c>
      <c r="G16" s="9">
        <f t="shared" si="1"/>
        <v>0</v>
      </c>
      <c r="H16" s="9">
        <f t="shared" si="2"/>
        <v>0</v>
      </c>
      <c r="I16" s="178"/>
      <c r="J16" s="178"/>
      <c r="K16" s="178"/>
      <c r="L16" s="178"/>
      <c r="M16" s="179"/>
    </row>
    <row r="17" spans="2:13" ht="18" customHeight="1" x14ac:dyDescent="0.4">
      <c r="B17" s="104"/>
      <c r="C17" s="106" t="s">
        <v>390</v>
      </c>
      <c r="D17" s="16" t="s">
        <v>129</v>
      </c>
      <c r="E17" s="21">
        <f t="shared" si="0"/>
        <v>26</v>
      </c>
      <c r="F17" s="16">
        <v>40</v>
      </c>
      <c r="G17" s="9">
        <f t="shared" si="1"/>
        <v>0</v>
      </c>
      <c r="H17" s="9">
        <f t="shared" si="2"/>
        <v>0</v>
      </c>
      <c r="I17" s="109" t="s">
        <v>391</v>
      </c>
      <c r="J17" s="110"/>
      <c r="K17" s="110"/>
      <c r="L17" s="110"/>
      <c r="M17" s="111"/>
    </row>
    <row r="18" spans="2:13" ht="18" customHeight="1" x14ac:dyDescent="0.4">
      <c r="B18" s="104"/>
      <c r="C18" s="146"/>
      <c r="D18" s="16" t="s">
        <v>157</v>
      </c>
      <c r="E18" s="17">
        <f t="shared" si="0"/>
        <v>6.5</v>
      </c>
      <c r="F18" s="16">
        <v>10</v>
      </c>
      <c r="G18" s="9">
        <f t="shared" si="1"/>
        <v>0</v>
      </c>
      <c r="H18" s="9">
        <f t="shared" si="2"/>
        <v>0</v>
      </c>
      <c r="I18" s="112"/>
      <c r="J18" s="113"/>
      <c r="K18" s="113"/>
      <c r="L18" s="113"/>
      <c r="M18" s="114"/>
    </row>
    <row r="19" spans="2:13" ht="18" customHeight="1" x14ac:dyDescent="0.4">
      <c r="B19" s="104"/>
      <c r="C19" s="146"/>
      <c r="D19" s="19" t="s">
        <v>118</v>
      </c>
      <c r="E19" s="17">
        <f t="shared" si="0"/>
        <v>6.5</v>
      </c>
      <c r="F19" s="16">
        <v>10</v>
      </c>
      <c r="G19" s="9">
        <f t="shared" si="1"/>
        <v>0</v>
      </c>
      <c r="H19" s="9">
        <f t="shared" si="2"/>
        <v>0</v>
      </c>
      <c r="I19" s="112"/>
      <c r="J19" s="113"/>
      <c r="K19" s="113"/>
      <c r="L19" s="113"/>
      <c r="M19" s="114"/>
    </row>
    <row r="20" spans="2:13" ht="18" customHeight="1" x14ac:dyDescent="0.4">
      <c r="B20" s="104"/>
      <c r="C20" s="146"/>
      <c r="D20" s="19" t="s">
        <v>158</v>
      </c>
      <c r="E20" s="17">
        <f t="shared" si="0"/>
        <v>3.25</v>
      </c>
      <c r="F20" s="16">
        <v>5</v>
      </c>
      <c r="G20" s="9">
        <f t="shared" si="1"/>
        <v>0</v>
      </c>
      <c r="H20" s="9">
        <f t="shared" si="2"/>
        <v>0</v>
      </c>
      <c r="I20" s="112"/>
      <c r="J20" s="113"/>
      <c r="K20" s="113"/>
      <c r="L20" s="113"/>
      <c r="M20" s="114"/>
    </row>
    <row r="21" spans="2:13" ht="18" customHeight="1" x14ac:dyDescent="0.4">
      <c r="B21" s="104"/>
      <c r="C21" s="146"/>
      <c r="D21" s="19" t="s">
        <v>133</v>
      </c>
      <c r="E21" s="21">
        <f t="shared" si="0"/>
        <v>1.9500000000000002</v>
      </c>
      <c r="F21" s="16">
        <v>3</v>
      </c>
      <c r="G21" s="9">
        <f t="shared" si="1"/>
        <v>0</v>
      </c>
      <c r="H21" s="9">
        <f t="shared" si="2"/>
        <v>0</v>
      </c>
      <c r="I21" s="112"/>
      <c r="J21" s="113"/>
      <c r="K21" s="113"/>
      <c r="L21" s="113"/>
      <c r="M21" s="114"/>
    </row>
    <row r="22" spans="2:13" ht="18" customHeight="1" x14ac:dyDescent="0.4">
      <c r="B22" s="104"/>
      <c r="C22" s="146"/>
      <c r="D22" s="19" t="s">
        <v>161</v>
      </c>
      <c r="E22" s="17">
        <f t="shared" si="0"/>
        <v>1.625</v>
      </c>
      <c r="F22" s="16">
        <v>2.5</v>
      </c>
      <c r="G22" s="9">
        <f t="shared" si="1"/>
        <v>0</v>
      </c>
      <c r="H22" s="9">
        <f t="shared" si="2"/>
        <v>0</v>
      </c>
      <c r="I22" s="112"/>
      <c r="J22" s="113"/>
      <c r="K22" s="113"/>
      <c r="L22" s="113"/>
      <c r="M22" s="114"/>
    </row>
    <row r="23" spans="2:13" ht="18" customHeight="1" x14ac:dyDescent="0.4">
      <c r="B23" s="104"/>
      <c r="C23" s="146"/>
      <c r="D23" s="19" t="s">
        <v>127</v>
      </c>
      <c r="E23" s="17">
        <f t="shared" si="0"/>
        <v>0.65</v>
      </c>
      <c r="F23" s="16">
        <v>1</v>
      </c>
      <c r="G23" s="9">
        <f t="shared" si="1"/>
        <v>0</v>
      </c>
      <c r="H23" s="9">
        <f t="shared" si="2"/>
        <v>0</v>
      </c>
      <c r="I23" s="112"/>
      <c r="J23" s="113"/>
      <c r="K23" s="113"/>
      <c r="L23" s="113"/>
      <c r="M23" s="114"/>
    </row>
    <row r="24" spans="2:13" ht="18" customHeight="1" x14ac:dyDescent="0.4">
      <c r="B24" s="104"/>
      <c r="C24" s="146"/>
      <c r="D24" s="19" t="s">
        <v>186</v>
      </c>
      <c r="E24" s="17">
        <f t="shared" si="0"/>
        <v>0.13</v>
      </c>
      <c r="F24" s="16">
        <v>0.2</v>
      </c>
      <c r="G24" s="9">
        <f t="shared" si="1"/>
        <v>0</v>
      </c>
      <c r="H24" s="9">
        <f t="shared" si="2"/>
        <v>0</v>
      </c>
      <c r="I24" s="112"/>
      <c r="J24" s="113"/>
      <c r="K24" s="113"/>
      <c r="L24" s="113"/>
      <c r="M24" s="114"/>
    </row>
    <row r="25" spans="2:13" ht="18" customHeight="1" x14ac:dyDescent="0.4">
      <c r="B25" s="104"/>
      <c r="C25" s="146"/>
      <c r="D25" s="19" t="s">
        <v>134</v>
      </c>
      <c r="E25" s="17">
        <f t="shared" si="0"/>
        <v>0.19500000000000001</v>
      </c>
      <c r="F25" s="16">
        <v>0.3</v>
      </c>
      <c r="G25" s="9">
        <f t="shared" si="1"/>
        <v>0</v>
      </c>
      <c r="H25" s="9">
        <f t="shared" si="2"/>
        <v>0</v>
      </c>
      <c r="I25" s="112"/>
      <c r="J25" s="113"/>
      <c r="K25" s="113"/>
      <c r="L25" s="113"/>
      <c r="M25" s="114"/>
    </row>
    <row r="26" spans="2:13" ht="18" customHeight="1" x14ac:dyDescent="0.4">
      <c r="B26" s="104"/>
      <c r="C26" s="146"/>
      <c r="D26" s="19" t="s">
        <v>160</v>
      </c>
      <c r="E26" s="17">
        <f t="shared" si="0"/>
        <v>6.5000000000000002E-2</v>
      </c>
      <c r="F26" s="16">
        <v>0.1</v>
      </c>
      <c r="G26" s="9">
        <f t="shared" si="1"/>
        <v>0</v>
      </c>
      <c r="H26" s="9">
        <f t="shared" si="2"/>
        <v>0</v>
      </c>
      <c r="I26" s="112"/>
      <c r="J26" s="113"/>
      <c r="K26" s="113"/>
      <c r="L26" s="113"/>
      <c r="M26" s="114"/>
    </row>
    <row r="27" spans="2:13" ht="18" customHeight="1" x14ac:dyDescent="0.4">
      <c r="B27" s="104"/>
      <c r="C27" s="176" t="s">
        <v>392</v>
      </c>
      <c r="D27" s="16" t="s">
        <v>212</v>
      </c>
      <c r="E27" s="9">
        <f t="shared" si="0"/>
        <v>19.5</v>
      </c>
      <c r="F27" s="16">
        <v>30</v>
      </c>
      <c r="G27" s="9">
        <f t="shared" si="1"/>
        <v>0</v>
      </c>
      <c r="H27" s="9">
        <f t="shared" si="2"/>
        <v>0</v>
      </c>
      <c r="I27" s="109" t="s">
        <v>393</v>
      </c>
      <c r="J27" s="110"/>
      <c r="K27" s="110"/>
      <c r="L27" s="110"/>
      <c r="M27" s="111"/>
    </row>
    <row r="28" spans="2:13" ht="18" customHeight="1" x14ac:dyDescent="0.4">
      <c r="B28" s="104"/>
      <c r="C28" s="107"/>
      <c r="D28" s="16" t="s">
        <v>159</v>
      </c>
      <c r="E28" s="23">
        <f t="shared" si="0"/>
        <v>0.65</v>
      </c>
      <c r="F28" s="16">
        <v>1</v>
      </c>
      <c r="G28" s="9">
        <f t="shared" si="1"/>
        <v>0</v>
      </c>
      <c r="H28" s="9">
        <f t="shared" si="2"/>
        <v>0</v>
      </c>
      <c r="I28" s="112"/>
      <c r="J28" s="113"/>
      <c r="K28" s="113"/>
      <c r="L28" s="113"/>
      <c r="M28" s="114"/>
    </row>
    <row r="29" spans="2:13" ht="18" customHeight="1" x14ac:dyDescent="0.4">
      <c r="B29" s="104"/>
      <c r="C29" s="107"/>
      <c r="D29" s="16" t="s">
        <v>186</v>
      </c>
      <c r="E29" s="23">
        <f t="shared" si="0"/>
        <v>0.65</v>
      </c>
      <c r="F29" s="16">
        <v>1</v>
      </c>
      <c r="G29" s="9">
        <f t="shared" si="1"/>
        <v>0</v>
      </c>
      <c r="H29" s="9">
        <f t="shared" si="2"/>
        <v>0</v>
      </c>
      <c r="I29" s="112"/>
      <c r="J29" s="113"/>
      <c r="K29" s="113"/>
      <c r="L29" s="113"/>
      <c r="M29" s="114"/>
    </row>
    <row r="30" spans="2:13" ht="18" customHeight="1" x14ac:dyDescent="0.4">
      <c r="B30" s="104"/>
      <c r="C30" s="108"/>
      <c r="D30" s="16" t="s">
        <v>13</v>
      </c>
      <c r="E30" s="23">
        <f t="shared" si="0"/>
        <v>0.19500000000000001</v>
      </c>
      <c r="F30" s="16">
        <v>0.3</v>
      </c>
      <c r="G30" s="9">
        <f t="shared" si="1"/>
        <v>0</v>
      </c>
      <c r="H30" s="9">
        <f t="shared" si="2"/>
        <v>0</v>
      </c>
      <c r="I30" s="115"/>
      <c r="J30" s="116"/>
      <c r="K30" s="116"/>
      <c r="L30" s="116"/>
      <c r="M30" s="117"/>
    </row>
    <row r="31" spans="2:13" ht="18" customHeight="1" x14ac:dyDescent="0.4">
      <c r="B31" s="104"/>
      <c r="C31" s="19" t="s">
        <v>135</v>
      </c>
      <c r="D31" s="19" t="s">
        <v>136</v>
      </c>
      <c r="E31" s="9">
        <f t="shared" si="0"/>
        <v>13</v>
      </c>
      <c r="F31" s="15">
        <v>20</v>
      </c>
      <c r="G31" s="9">
        <f t="shared" si="1"/>
        <v>0</v>
      </c>
      <c r="H31" s="9">
        <f t="shared" si="2"/>
        <v>0</v>
      </c>
      <c r="I31" s="205" t="s">
        <v>115</v>
      </c>
      <c r="J31" s="206"/>
      <c r="K31" s="206"/>
      <c r="L31" s="206"/>
      <c r="M31" s="207"/>
    </row>
    <row r="32" spans="2:13" ht="18" customHeight="1" x14ac:dyDescent="0.4">
      <c r="B32" s="235" t="s">
        <v>11</v>
      </c>
      <c r="C32" s="176" t="s">
        <v>394</v>
      </c>
      <c r="D32" s="16" t="s">
        <v>395</v>
      </c>
      <c r="E32" s="11">
        <f t="shared" si="0"/>
        <v>26</v>
      </c>
      <c r="F32" s="16">
        <v>40</v>
      </c>
      <c r="G32" s="9">
        <f t="shared" si="1"/>
        <v>0</v>
      </c>
      <c r="H32" s="9">
        <f t="shared" si="2"/>
        <v>0</v>
      </c>
      <c r="I32" s="140" t="s">
        <v>396</v>
      </c>
      <c r="J32" s="141"/>
      <c r="K32" s="141"/>
      <c r="L32" s="141"/>
      <c r="M32" s="142"/>
    </row>
    <row r="33" spans="2:13" ht="18" customHeight="1" x14ac:dyDescent="0.4">
      <c r="B33" s="235"/>
      <c r="C33" s="107"/>
      <c r="D33" s="16" t="s">
        <v>397</v>
      </c>
      <c r="E33" s="22">
        <f t="shared" si="0"/>
        <v>19.5</v>
      </c>
      <c r="F33" s="16">
        <v>30</v>
      </c>
      <c r="G33" s="9">
        <f t="shared" si="1"/>
        <v>0</v>
      </c>
      <c r="H33" s="9">
        <f t="shared" si="2"/>
        <v>0</v>
      </c>
      <c r="I33" s="140"/>
      <c r="J33" s="141"/>
      <c r="K33" s="141"/>
      <c r="L33" s="141"/>
      <c r="M33" s="142"/>
    </row>
    <row r="34" spans="2:13" ht="18" customHeight="1" x14ac:dyDescent="0.4">
      <c r="B34" s="235"/>
      <c r="C34" s="107"/>
      <c r="D34" s="16" t="s">
        <v>15</v>
      </c>
      <c r="E34" s="11">
        <f t="shared" si="0"/>
        <v>1.9500000000000002</v>
      </c>
      <c r="F34" s="16">
        <v>3</v>
      </c>
      <c r="G34" s="9">
        <f t="shared" si="1"/>
        <v>0</v>
      </c>
      <c r="H34" s="9">
        <f t="shared" si="2"/>
        <v>0</v>
      </c>
      <c r="I34" s="140"/>
      <c r="J34" s="141"/>
      <c r="K34" s="141"/>
      <c r="L34" s="141"/>
      <c r="M34" s="142"/>
    </row>
    <row r="35" spans="2:13" ht="18" customHeight="1" thickBot="1" x14ac:dyDescent="0.45">
      <c r="B35" s="236"/>
      <c r="C35" s="327"/>
      <c r="D35" s="27" t="s">
        <v>20</v>
      </c>
      <c r="E35" s="43">
        <f t="shared" si="0"/>
        <v>6.5</v>
      </c>
      <c r="F35" s="27">
        <v>10</v>
      </c>
      <c r="G35" s="29">
        <f t="shared" si="1"/>
        <v>0</v>
      </c>
      <c r="H35" s="29">
        <f t="shared" si="2"/>
        <v>0</v>
      </c>
      <c r="I35" s="272"/>
      <c r="J35" s="273"/>
      <c r="K35" s="273"/>
      <c r="L35" s="273"/>
      <c r="M35" s="274"/>
    </row>
    <row r="36" spans="2:13" ht="80.099999999999994" customHeight="1" thickTop="1" x14ac:dyDescent="0.4">
      <c r="B36" s="152"/>
      <c r="C36" s="152"/>
      <c r="D36" s="152"/>
      <c r="E36" s="152"/>
      <c r="F36" s="152"/>
      <c r="G36" s="152"/>
      <c r="H36" s="152"/>
      <c r="I36" s="152"/>
      <c r="J36" s="152"/>
      <c r="K36" s="152"/>
      <c r="L36" s="152"/>
      <c r="M36" s="152"/>
    </row>
    <row r="37" spans="2:13" ht="18" thickBot="1" x14ac:dyDescent="0.45"/>
    <row r="38" spans="2:13" ht="21" customHeight="1" thickTop="1" x14ac:dyDescent="0.4">
      <c r="B38" s="134" t="s">
        <v>398</v>
      </c>
      <c r="C38" s="135"/>
      <c r="D38" s="135"/>
      <c r="E38" s="135"/>
      <c r="F38" s="135"/>
      <c r="G38" s="135"/>
      <c r="H38" s="135"/>
      <c r="I38" s="135"/>
      <c r="J38" s="135"/>
      <c r="K38" s="135"/>
      <c r="L38" s="135"/>
      <c r="M38" s="136"/>
    </row>
    <row r="39" spans="2:13" ht="18" customHeight="1" x14ac:dyDescent="0.4">
      <c r="B39" s="137" t="s">
        <v>3</v>
      </c>
      <c r="C39" s="138" t="s">
        <v>4</v>
      </c>
      <c r="D39" s="138" t="s">
        <v>5</v>
      </c>
      <c r="E39" s="138" t="s">
        <v>6</v>
      </c>
      <c r="F39" s="138"/>
      <c r="G39" s="138" t="s">
        <v>7</v>
      </c>
      <c r="H39" s="138"/>
      <c r="I39" s="138" t="s">
        <v>8</v>
      </c>
      <c r="J39" s="138"/>
      <c r="K39" s="138"/>
      <c r="L39" s="138"/>
      <c r="M39" s="139"/>
    </row>
    <row r="40" spans="2:13" ht="18" customHeight="1" x14ac:dyDescent="0.4">
      <c r="B40" s="137"/>
      <c r="C40" s="138"/>
      <c r="D40" s="138"/>
      <c r="E40" s="5" t="s">
        <v>1</v>
      </c>
      <c r="F40" s="5" t="s">
        <v>2</v>
      </c>
      <c r="G40" s="6" t="s">
        <v>1</v>
      </c>
      <c r="H40" s="7" t="s">
        <v>2</v>
      </c>
      <c r="I40" s="138"/>
      <c r="J40" s="138"/>
      <c r="K40" s="138"/>
      <c r="L40" s="138"/>
      <c r="M40" s="139"/>
    </row>
    <row r="41" spans="2:13" ht="18" customHeight="1" x14ac:dyDescent="0.4">
      <c r="B41" s="102" t="s">
        <v>9</v>
      </c>
      <c r="C41" s="299" t="s">
        <v>399</v>
      </c>
      <c r="D41" s="14" t="s">
        <v>123</v>
      </c>
      <c r="E41" s="17">
        <f t="shared" ref="E41:E76" si="3">F41*0.65</f>
        <v>16.25</v>
      </c>
      <c r="F41" s="15">
        <v>25</v>
      </c>
      <c r="G41" s="9">
        <f t="shared" ref="G41:G76" si="4">E41*E$2</f>
        <v>0</v>
      </c>
      <c r="H41" s="9">
        <f t="shared" ref="H41:H76" si="5">F41*E$3</f>
        <v>0</v>
      </c>
      <c r="I41" s="109" t="s">
        <v>400</v>
      </c>
      <c r="J41" s="110"/>
      <c r="K41" s="110"/>
      <c r="L41" s="110"/>
      <c r="M41" s="111"/>
    </row>
    <row r="42" spans="2:13" ht="18" customHeight="1" x14ac:dyDescent="0.4">
      <c r="B42" s="162"/>
      <c r="C42" s="300"/>
      <c r="D42" s="14" t="s">
        <v>377</v>
      </c>
      <c r="E42" s="21">
        <f t="shared" si="3"/>
        <v>13</v>
      </c>
      <c r="F42" s="15">
        <v>20</v>
      </c>
      <c r="G42" s="9">
        <f t="shared" si="4"/>
        <v>0</v>
      </c>
      <c r="H42" s="9">
        <f t="shared" si="5"/>
        <v>0</v>
      </c>
      <c r="I42" s="112"/>
      <c r="J42" s="113"/>
      <c r="K42" s="113"/>
      <c r="L42" s="113"/>
      <c r="M42" s="114"/>
    </row>
    <row r="43" spans="2:13" ht="18" customHeight="1" x14ac:dyDescent="0.4">
      <c r="B43" s="162"/>
      <c r="C43" s="300"/>
      <c r="D43" s="14" t="s">
        <v>186</v>
      </c>
      <c r="E43" s="17">
        <f t="shared" si="3"/>
        <v>0.78</v>
      </c>
      <c r="F43" s="15">
        <v>1.2</v>
      </c>
      <c r="G43" s="9">
        <f t="shared" si="4"/>
        <v>0</v>
      </c>
      <c r="H43" s="9">
        <f t="shared" si="5"/>
        <v>0</v>
      </c>
      <c r="I43" s="112"/>
      <c r="J43" s="113"/>
      <c r="K43" s="113"/>
      <c r="L43" s="113"/>
      <c r="M43" s="114"/>
    </row>
    <row r="44" spans="2:13" ht="18" customHeight="1" x14ac:dyDescent="0.4">
      <c r="B44" s="162"/>
      <c r="C44" s="300"/>
      <c r="D44" s="14" t="s">
        <v>159</v>
      </c>
      <c r="E44" s="17">
        <f t="shared" si="3"/>
        <v>0.32500000000000001</v>
      </c>
      <c r="F44" s="15">
        <v>0.5</v>
      </c>
      <c r="G44" s="9">
        <f t="shared" si="4"/>
        <v>0</v>
      </c>
      <c r="H44" s="9">
        <f t="shared" si="5"/>
        <v>0</v>
      </c>
      <c r="I44" s="112"/>
      <c r="J44" s="113"/>
      <c r="K44" s="113"/>
      <c r="L44" s="113"/>
      <c r="M44" s="114"/>
    </row>
    <row r="45" spans="2:13" ht="18" customHeight="1" x14ac:dyDescent="0.4">
      <c r="B45" s="324" t="s">
        <v>12</v>
      </c>
      <c r="C45" s="326" t="s">
        <v>150</v>
      </c>
      <c r="D45" s="16" t="s">
        <v>123</v>
      </c>
      <c r="E45" s="17">
        <f t="shared" si="3"/>
        <v>32.5</v>
      </c>
      <c r="F45" s="15">
        <v>50</v>
      </c>
      <c r="G45" s="9">
        <f t="shared" si="4"/>
        <v>0</v>
      </c>
      <c r="H45" s="9">
        <f t="shared" si="5"/>
        <v>0</v>
      </c>
      <c r="I45" s="120" t="s">
        <v>401</v>
      </c>
      <c r="J45" s="121"/>
      <c r="K45" s="121"/>
      <c r="L45" s="121"/>
      <c r="M45" s="122"/>
    </row>
    <row r="46" spans="2:13" ht="18" customHeight="1" x14ac:dyDescent="0.4">
      <c r="B46" s="325"/>
      <c r="C46" s="172"/>
      <c r="D46" s="16" t="s">
        <v>151</v>
      </c>
      <c r="E46" s="17">
        <f t="shared" si="3"/>
        <v>1.625</v>
      </c>
      <c r="F46" s="15">
        <v>2.5</v>
      </c>
      <c r="G46" s="9">
        <f t="shared" si="4"/>
        <v>0</v>
      </c>
      <c r="H46" s="9">
        <f t="shared" si="5"/>
        <v>0</v>
      </c>
      <c r="I46" s="173"/>
      <c r="J46" s="174"/>
      <c r="K46" s="174"/>
      <c r="L46" s="174"/>
      <c r="M46" s="175"/>
    </row>
    <row r="47" spans="2:13" ht="18" customHeight="1" x14ac:dyDescent="0.4">
      <c r="B47" s="325"/>
      <c r="C47" s="244" t="s">
        <v>402</v>
      </c>
      <c r="D47" s="19" t="s">
        <v>403</v>
      </c>
      <c r="E47" s="22">
        <f t="shared" si="3"/>
        <v>19.5</v>
      </c>
      <c r="F47" s="16">
        <v>30</v>
      </c>
      <c r="G47" s="9">
        <f t="shared" si="4"/>
        <v>0</v>
      </c>
      <c r="H47" s="9">
        <f t="shared" si="5"/>
        <v>0</v>
      </c>
      <c r="I47" s="309" t="s">
        <v>404</v>
      </c>
      <c r="J47" s="310"/>
      <c r="K47" s="310"/>
      <c r="L47" s="310"/>
      <c r="M47" s="311"/>
    </row>
    <row r="48" spans="2:13" ht="18" customHeight="1" x14ac:dyDescent="0.4">
      <c r="B48" s="325"/>
      <c r="C48" s="296"/>
      <c r="D48" s="19" t="s">
        <v>67</v>
      </c>
      <c r="E48" s="22">
        <f t="shared" si="3"/>
        <v>6.5</v>
      </c>
      <c r="F48" s="16">
        <v>10</v>
      </c>
      <c r="G48" s="9">
        <f t="shared" si="4"/>
        <v>0</v>
      </c>
      <c r="H48" s="9">
        <f t="shared" si="5"/>
        <v>0</v>
      </c>
      <c r="I48" s="312"/>
      <c r="J48" s="313"/>
      <c r="K48" s="313"/>
      <c r="L48" s="313"/>
      <c r="M48" s="314"/>
    </row>
    <row r="49" spans="2:13" ht="18" customHeight="1" x14ac:dyDescent="0.4">
      <c r="B49" s="325"/>
      <c r="C49" s="296"/>
      <c r="D49" s="19" t="s">
        <v>66</v>
      </c>
      <c r="E49" s="22">
        <f t="shared" si="3"/>
        <v>6.5</v>
      </c>
      <c r="F49" s="16">
        <v>10</v>
      </c>
      <c r="G49" s="9">
        <f t="shared" si="4"/>
        <v>0</v>
      </c>
      <c r="H49" s="9">
        <f t="shared" si="5"/>
        <v>0</v>
      </c>
      <c r="I49" s="312"/>
      <c r="J49" s="313"/>
      <c r="K49" s="313"/>
      <c r="L49" s="313"/>
      <c r="M49" s="314"/>
    </row>
    <row r="50" spans="2:13" ht="18" customHeight="1" x14ac:dyDescent="0.4">
      <c r="B50" s="325"/>
      <c r="C50" s="296"/>
      <c r="D50" s="19" t="s">
        <v>163</v>
      </c>
      <c r="E50" s="22">
        <f t="shared" si="3"/>
        <v>3.25</v>
      </c>
      <c r="F50" s="16">
        <v>5</v>
      </c>
      <c r="G50" s="9">
        <f t="shared" si="4"/>
        <v>0</v>
      </c>
      <c r="H50" s="9">
        <f t="shared" si="5"/>
        <v>0</v>
      </c>
      <c r="I50" s="312"/>
      <c r="J50" s="313"/>
      <c r="K50" s="313"/>
      <c r="L50" s="313"/>
      <c r="M50" s="314"/>
    </row>
    <row r="51" spans="2:13" ht="18" customHeight="1" x14ac:dyDescent="0.4">
      <c r="B51" s="325"/>
      <c r="C51" s="296"/>
      <c r="D51" s="19" t="s">
        <v>24</v>
      </c>
      <c r="E51" s="11">
        <f t="shared" si="3"/>
        <v>1.9500000000000002</v>
      </c>
      <c r="F51" s="16">
        <v>3</v>
      </c>
      <c r="G51" s="9">
        <f t="shared" si="4"/>
        <v>0</v>
      </c>
      <c r="H51" s="9">
        <f t="shared" si="5"/>
        <v>0</v>
      </c>
      <c r="I51" s="312"/>
      <c r="J51" s="313"/>
      <c r="K51" s="313"/>
      <c r="L51" s="313"/>
      <c r="M51" s="314"/>
    </row>
    <row r="52" spans="2:13" ht="18" customHeight="1" x14ac:dyDescent="0.4">
      <c r="B52" s="325"/>
      <c r="C52" s="296"/>
      <c r="D52" s="19" t="s">
        <v>405</v>
      </c>
      <c r="E52" s="22">
        <f t="shared" si="3"/>
        <v>1.3</v>
      </c>
      <c r="F52" s="16">
        <v>2</v>
      </c>
      <c r="G52" s="9">
        <f t="shared" si="4"/>
        <v>0</v>
      </c>
      <c r="H52" s="9">
        <f t="shared" si="5"/>
        <v>0</v>
      </c>
      <c r="I52" s="312"/>
      <c r="J52" s="313"/>
      <c r="K52" s="313"/>
      <c r="L52" s="313"/>
      <c r="M52" s="314"/>
    </row>
    <row r="53" spans="2:13" ht="18" customHeight="1" x14ac:dyDescent="0.4">
      <c r="B53" s="325"/>
      <c r="C53" s="296"/>
      <c r="D53" s="19" t="s">
        <v>14</v>
      </c>
      <c r="E53" s="22">
        <f t="shared" si="3"/>
        <v>0.13</v>
      </c>
      <c r="F53" s="16">
        <v>0.2</v>
      </c>
      <c r="G53" s="9">
        <f t="shared" si="4"/>
        <v>0</v>
      </c>
      <c r="H53" s="9">
        <f t="shared" si="5"/>
        <v>0</v>
      </c>
      <c r="I53" s="312"/>
      <c r="J53" s="313"/>
      <c r="K53" s="313"/>
      <c r="L53" s="313"/>
      <c r="M53" s="314"/>
    </row>
    <row r="54" spans="2:13" ht="18" customHeight="1" x14ac:dyDescent="0.4">
      <c r="B54" s="325"/>
      <c r="C54" s="296"/>
      <c r="D54" s="19" t="s">
        <v>18</v>
      </c>
      <c r="E54" s="22">
        <f t="shared" si="3"/>
        <v>1.3</v>
      </c>
      <c r="F54" s="16">
        <v>2</v>
      </c>
      <c r="G54" s="9">
        <f t="shared" si="4"/>
        <v>0</v>
      </c>
      <c r="H54" s="9">
        <f t="shared" si="5"/>
        <v>0</v>
      </c>
      <c r="I54" s="315"/>
      <c r="J54" s="316"/>
      <c r="K54" s="316"/>
      <c r="L54" s="316"/>
      <c r="M54" s="317"/>
    </row>
    <row r="55" spans="2:13" ht="18" customHeight="1" x14ac:dyDescent="0.4">
      <c r="B55" s="325"/>
      <c r="C55" s="186" t="s">
        <v>406</v>
      </c>
      <c r="D55" s="16" t="s">
        <v>31</v>
      </c>
      <c r="E55" s="11">
        <f t="shared" si="3"/>
        <v>26</v>
      </c>
      <c r="F55" s="16">
        <v>40</v>
      </c>
      <c r="G55" s="9">
        <f t="shared" si="4"/>
        <v>0</v>
      </c>
      <c r="H55" s="9">
        <f t="shared" si="5"/>
        <v>0</v>
      </c>
      <c r="I55" s="178" t="s">
        <v>407</v>
      </c>
      <c r="J55" s="178"/>
      <c r="K55" s="178"/>
      <c r="L55" s="178"/>
      <c r="M55" s="179"/>
    </row>
    <row r="56" spans="2:13" ht="18" customHeight="1" x14ac:dyDescent="0.4">
      <c r="B56" s="325"/>
      <c r="C56" s="261"/>
      <c r="D56" s="16" t="s">
        <v>15</v>
      </c>
      <c r="E56" s="22">
        <f t="shared" si="3"/>
        <v>0.65</v>
      </c>
      <c r="F56" s="16">
        <v>1</v>
      </c>
      <c r="G56" s="9">
        <f t="shared" si="4"/>
        <v>0</v>
      </c>
      <c r="H56" s="9">
        <f t="shared" si="5"/>
        <v>0</v>
      </c>
      <c r="I56" s="178"/>
      <c r="J56" s="178"/>
      <c r="K56" s="178"/>
      <c r="L56" s="178"/>
      <c r="M56" s="179"/>
    </row>
    <row r="57" spans="2:13" ht="18" customHeight="1" x14ac:dyDescent="0.4">
      <c r="B57" s="325"/>
      <c r="C57" s="261"/>
      <c r="D57" s="16" t="s">
        <v>19</v>
      </c>
      <c r="E57" s="11">
        <f t="shared" si="3"/>
        <v>1.9500000000000002</v>
      </c>
      <c r="F57" s="16">
        <v>3</v>
      </c>
      <c r="G57" s="9">
        <f t="shared" si="4"/>
        <v>0</v>
      </c>
      <c r="H57" s="9">
        <f t="shared" si="5"/>
        <v>0</v>
      </c>
      <c r="I57" s="178"/>
      <c r="J57" s="178"/>
      <c r="K57" s="178"/>
      <c r="L57" s="178"/>
      <c r="M57" s="179"/>
    </row>
    <row r="58" spans="2:13" ht="18" customHeight="1" x14ac:dyDescent="0.4">
      <c r="B58" s="325"/>
      <c r="C58" s="261"/>
      <c r="D58" s="16" t="s">
        <v>18</v>
      </c>
      <c r="E58" s="11">
        <f t="shared" si="3"/>
        <v>1.9500000000000002</v>
      </c>
      <c r="F58" s="16">
        <v>3</v>
      </c>
      <c r="G58" s="9">
        <f t="shared" si="4"/>
        <v>0</v>
      </c>
      <c r="H58" s="9">
        <f t="shared" si="5"/>
        <v>0</v>
      </c>
      <c r="I58" s="178"/>
      <c r="J58" s="178"/>
      <c r="K58" s="178"/>
      <c r="L58" s="178"/>
      <c r="M58" s="179"/>
    </row>
    <row r="59" spans="2:13" ht="18" customHeight="1" x14ac:dyDescent="0.4">
      <c r="B59" s="325"/>
      <c r="C59" s="261"/>
      <c r="D59" s="16" t="s">
        <v>14</v>
      </c>
      <c r="E59" s="22">
        <f t="shared" si="3"/>
        <v>0.65</v>
      </c>
      <c r="F59" s="16">
        <v>1</v>
      </c>
      <c r="G59" s="9">
        <f t="shared" si="4"/>
        <v>0</v>
      </c>
      <c r="H59" s="9">
        <f t="shared" si="5"/>
        <v>0</v>
      </c>
      <c r="I59" s="178"/>
      <c r="J59" s="178"/>
      <c r="K59" s="178"/>
      <c r="L59" s="178"/>
      <c r="M59" s="179"/>
    </row>
    <row r="60" spans="2:13" ht="18" customHeight="1" x14ac:dyDescent="0.4">
      <c r="B60" s="325"/>
      <c r="C60" s="261"/>
      <c r="D60" s="16" t="s">
        <v>13</v>
      </c>
      <c r="E60" s="22">
        <f t="shared" si="3"/>
        <v>0.13</v>
      </c>
      <c r="F60" s="16">
        <v>0.2</v>
      </c>
      <c r="G60" s="16">
        <f t="shared" si="4"/>
        <v>0</v>
      </c>
      <c r="H60" s="9">
        <f t="shared" si="5"/>
        <v>0</v>
      </c>
      <c r="I60" s="178"/>
      <c r="J60" s="178"/>
      <c r="K60" s="178"/>
      <c r="L60" s="178"/>
      <c r="M60" s="179"/>
    </row>
    <row r="61" spans="2:13" ht="18" customHeight="1" x14ac:dyDescent="0.4">
      <c r="B61" s="325"/>
      <c r="C61" s="176" t="s">
        <v>408</v>
      </c>
      <c r="D61" s="16" t="s">
        <v>32</v>
      </c>
      <c r="E61" s="11">
        <f t="shared" si="3"/>
        <v>26</v>
      </c>
      <c r="F61" s="15">
        <v>40</v>
      </c>
      <c r="G61" s="35">
        <f t="shared" si="4"/>
        <v>0</v>
      </c>
      <c r="H61" s="9">
        <f t="shared" si="5"/>
        <v>0</v>
      </c>
      <c r="I61" s="120" t="s">
        <v>409</v>
      </c>
      <c r="J61" s="121"/>
      <c r="K61" s="121"/>
      <c r="L61" s="121"/>
      <c r="M61" s="122"/>
    </row>
    <row r="62" spans="2:13" ht="18" customHeight="1" x14ac:dyDescent="0.4">
      <c r="B62" s="325"/>
      <c r="C62" s="107"/>
      <c r="D62" s="16" t="s">
        <v>64</v>
      </c>
      <c r="E62" s="22">
        <f t="shared" si="3"/>
        <v>0.65</v>
      </c>
      <c r="F62" s="15">
        <v>1</v>
      </c>
      <c r="G62" s="35">
        <f t="shared" si="4"/>
        <v>0</v>
      </c>
      <c r="H62" s="9">
        <f t="shared" si="5"/>
        <v>0</v>
      </c>
      <c r="I62" s="123"/>
      <c r="J62" s="124"/>
      <c r="K62" s="124"/>
      <c r="L62" s="124"/>
      <c r="M62" s="125"/>
    </row>
    <row r="63" spans="2:13" ht="18" customHeight="1" x14ac:dyDescent="0.4">
      <c r="B63" s="325"/>
      <c r="C63" s="107"/>
      <c r="D63" s="16" t="s">
        <v>127</v>
      </c>
      <c r="E63" s="22">
        <f t="shared" si="3"/>
        <v>0.32500000000000001</v>
      </c>
      <c r="F63" s="15">
        <v>0.5</v>
      </c>
      <c r="G63" s="35">
        <f t="shared" si="4"/>
        <v>0</v>
      </c>
      <c r="H63" s="9">
        <f t="shared" si="5"/>
        <v>0</v>
      </c>
      <c r="I63" s="123"/>
      <c r="J63" s="124"/>
      <c r="K63" s="124"/>
      <c r="L63" s="124"/>
      <c r="M63" s="125"/>
    </row>
    <row r="64" spans="2:13" ht="18" customHeight="1" x14ac:dyDescent="0.4">
      <c r="B64" s="325"/>
      <c r="C64" s="107"/>
      <c r="D64" s="16" t="s">
        <v>14</v>
      </c>
      <c r="E64" s="22">
        <f t="shared" si="3"/>
        <v>0.32500000000000001</v>
      </c>
      <c r="F64" s="15">
        <v>0.5</v>
      </c>
      <c r="G64" s="9">
        <f t="shared" si="4"/>
        <v>0</v>
      </c>
      <c r="H64" s="9">
        <f t="shared" si="5"/>
        <v>0</v>
      </c>
      <c r="I64" s="123"/>
      <c r="J64" s="124"/>
      <c r="K64" s="124"/>
      <c r="L64" s="124"/>
      <c r="M64" s="125"/>
    </row>
    <row r="65" spans="2:13" ht="18" customHeight="1" x14ac:dyDescent="0.4">
      <c r="B65" s="325"/>
      <c r="C65" s="107"/>
      <c r="D65" s="16" t="s">
        <v>15</v>
      </c>
      <c r="E65" s="22">
        <f t="shared" si="3"/>
        <v>0.13</v>
      </c>
      <c r="F65" s="15">
        <v>0.2</v>
      </c>
      <c r="G65" s="9">
        <f t="shared" si="4"/>
        <v>0</v>
      </c>
      <c r="H65" s="9">
        <f t="shared" si="5"/>
        <v>0</v>
      </c>
      <c r="I65" s="123"/>
      <c r="J65" s="124"/>
      <c r="K65" s="124"/>
      <c r="L65" s="124"/>
      <c r="M65" s="125"/>
    </row>
    <row r="66" spans="2:13" ht="18" customHeight="1" x14ac:dyDescent="0.4">
      <c r="B66" s="325"/>
      <c r="C66" s="108"/>
      <c r="D66" s="16" t="s">
        <v>13</v>
      </c>
      <c r="E66" s="22">
        <f t="shared" si="3"/>
        <v>0.13</v>
      </c>
      <c r="F66" s="15">
        <v>0.2</v>
      </c>
      <c r="G66" s="9">
        <f t="shared" si="4"/>
        <v>0</v>
      </c>
      <c r="H66" s="9">
        <f t="shared" si="5"/>
        <v>0</v>
      </c>
      <c r="I66" s="173"/>
      <c r="J66" s="174"/>
      <c r="K66" s="174"/>
      <c r="L66" s="174"/>
      <c r="M66" s="175"/>
    </row>
    <row r="67" spans="2:13" ht="18" customHeight="1" x14ac:dyDescent="0.4">
      <c r="B67" s="325"/>
      <c r="C67" s="20" t="s">
        <v>135</v>
      </c>
      <c r="D67" s="25" t="s">
        <v>136</v>
      </c>
      <c r="E67" s="26">
        <f t="shared" si="3"/>
        <v>13</v>
      </c>
      <c r="F67" s="37">
        <v>20</v>
      </c>
      <c r="G67" s="35">
        <f t="shared" si="4"/>
        <v>0</v>
      </c>
      <c r="H67" s="35">
        <f t="shared" si="5"/>
        <v>0</v>
      </c>
      <c r="I67" s="205" t="s">
        <v>115</v>
      </c>
      <c r="J67" s="206"/>
      <c r="K67" s="206"/>
      <c r="L67" s="206"/>
      <c r="M67" s="207"/>
    </row>
    <row r="68" spans="2:13" ht="18" customHeight="1" x14ac:dyDescent="0.4">
      <c r="B68" s="153" t="s">
        <v>138</v>
      </c>
      <c r="C68" s="244" t="s">
        <v>410</v>
      </c>
      <c r="D68" s="19" t="s">
        <v>87</v>
      </c>
      <c r="E68" s="26">
        <f t="shared" si="3"/>
        <v>26</v>
      </c>
      <c r="F68" s="16">
        <v>40</v>
      </c>
      <c r="G68" s="9">
        <f t="shared" si="4"/>
        <v>0</v>
      </c>
      <c r="H68" s="9">
        <f t="shared" si="5"/>
        <v>0</v>
      </c>
      <c r="I68" s="148" t="s">
        <v>411</v>
      </c>
      <c r="J68" s="148"/>
      <c r="K68" s="148"/>
      <c r="L68" s="148"/>
      <c r="M68" s="149"/>
    </row>
    <row r="69" spans="2:13" ht="18" customHeight="1" x14ac:dyDescent="0.4">
      <c r="B69" s="154"/>
      <c r="C69" s="296"/>
      <c r="D69" s="19" t="s">
        <v>27</v>
      </c>
      <c r="E69" s="23">
        <f t="shared" si="3"/>
        <v>1.3</v>
      </c>
      <c r="F69" s="16">
        <v>2</v>
      </c>
      <c r="G69" s="9">
        <f t="shared" si="4"/>
        <v>0</v>
      </c>
      <c r="H69" s="9">
        <f t="shared" si="5"/>
        <v>0</v>
      </c>
      <c r="I69" s="148"/>
      <c r="J69" s="148"/>
      <c r="K69" s="148"/>
      <c r="L69" s="148"/>
      <c r="M69" s="149"/>
    </row>
    <row r="70" spans="2:13" ht="18" customHeight="1" x14ac:dyDescent="0.4">
      <c r="B70" s="154"/>
      <c r="C70" s="296"/>
      <c r="D70" s="19" t="s">
        <v>28</v>
      </c>
      <c r="E70" s="23">
        <f t="shared" si="3"/>
        <v>1.3</v>
      </c>
      <c r="F70" s="16">
        <v>2</v>
      </c>
      <c r="G70" s="9">
        <f t="shared" si="4"/>
        <v>0</v>
      </c>
      <c r="H70" s="9">
        <f t="shared" si="5"/>
        <v>0</v>
      </c>
      <c r="I70" s="148"/>
      <c r="J70" s="148"/>
      <c r="K70" s="148"/>
      <c r="L70" s="148"/>
      <c r="M70" s="149"/>
    </row>
    <row r="71" spans="2:13" ht="18" customHeight="1" x14ac:dyDescent="0.4">
      <c r="B71" s="154"/>
      <c r="C71" s="296"/>
      <c r="D71" s="19" t="s">
        <v>412</v>
      </c>
      <c r="E71" s="23">
        <f t="shared" si="3"/>
        <v>6.5</v>
      </c>
      <c r="F71" s="16">
        <v>10</v>
      </c>
      <c r="G71" s="9">
        <f t="shared" si="4"/>
        <v>0</v>
      </c>
      <c r="H71" s="9">
        <f t="shared" si="5"/>
        <v>0</v>
      </c>
      <c r="I71" s="148"/>
      <c r="J71" s="148"/>
      <c r="K71" s="148"/>
      <c r="L71" s="148"/>
      <c r="M71" s="149"/>
    </row>
    <row r="72" spans="2:13" ht="18" customHeight="1" x14ac:dyDescent="0.4">
      <c r="B72" s="154"/>
      <c r="C72" s="296"/>
      <c r="D72" s="19" t="s">
        <v>96</v>
      </c>
      <c r="E72" s="23">
        <f t="shared" si="3"/>
        <v>1.3</v>
      </c>
      <c r="F72" s="16">
        <v>2</v>
      </c>
      <c r="G72" s="9">
        <f t="shared" si="4"/>
        <v>0</v>
      </c>
      <c r="H72" s="9">
        <f t="shared" si="5"/>
        <v>0</v>
      </c>
      <c r="I72" s="148"/>
      <c r="J72" s="148"/>
      <c r="K72" s="148"/>
      <c r="L72" s="148"/>
      <c r="M72" s="149"/>
    </row>
    <row r="73" spans="2:13" ht="18" customHeight="1" x14ac:dyDescent="0.4">
      <c r="B73" s="154"/>
      <c r="C73" s="296"/>
      <c r="D73" s="19" t="s">
        <v>133</v>
      </c>
      <c r="E73" s="26">
        <f t="shared" si="3"/>
        <v>1.9500000000000002</v>
      </c>
      <c r="F73" s="16">
        <v>3</v>
      </c>
      <c r="G73" s="9">
        <f t="shared" si="4"/>
        <v>0</v>
      </c>
      <c r="H73" s="9">
        <f t="shared" si="5"/>
        <v>0</v>
      </c>
      <c r="I73" s="148"/>
      <c r="J73" s="148"/>
      <c r="K73" s="148"/>
      <c r="L73" s="148"/>
      <c r="M73" s="149"/>
    </row>
    <row r="74" spans="2:13" ht="18" customHeight="1" x14ac:dyDescent="0.4">
      <c r="B74" s="154"/>
      <c r="C74" s="296"/>
      <c r="D74" s="19" t="s">
        <v>15</v>
      </c>
      <c r="E74" s="23">
        <f t="shared" si="3"/>
        <v>0.65</v>
      </c>
      <c r="F74" s="16">
        <v>1</v>
      </c>
      <c r="G74" s="9">
        <f t="shared" si="4"/>
        <v>0</v>
      </c>
      <c r="H74" s="9">
        <f t="shared" si="5"/>
        <v>0</v>
      </c>
      <c r="I74" s="148"/>
      <c r="J74" s="148"/>
      <c r="K74" s="148"/>
      <c r="L74" s="148"/>
      <c r="M74" s="149"/>
    </row>
    <row r="75" spans="2:13" ht="18" customHeight="1" x14ac:dyDescent="0.4">
      <c r="B75" s="154"/>
      <c r="C75" s="296"/>
      <c r="D75" s="24" t="s">
        <v>127</v>
      </c>
      <c r="E75" s="23">
        <f t="shared" si="3"/>
        <v>0.65</v>
      </c>
      <c r="F75" s="75">
        <v>1</v>
      </c>
      <c r="G75" s="9">
        <f t="shared" si="4"/>
        <v>0</v>
      </c>
      <c r="H75" s="9">
        <f t="shared" si="5"/>
        <v>0</v>
      </c>
      <c r="I75" s="322"/>
      <c r="J75" s="322"/>
      <c r="K75" s="322"/>
      <c r="L75" s="322"/>
      <c r="M75" s="323"/>
    </row>
    <row r="76" spans="2:13" ht="18" customHeight="1" thickBot="1" x14ac:dyDescent="0.45">
      <c r="B76" s="155"/>
      <c r="C76" s="321"/>
      <c r="D76" s="61" t="s">
        <v>24</v>
      </c>
      <c r="E76" s="28">
        <f t="shared" si="3"/>
        <v>1.3</v>
      </c>
      <c r="F76" s="27">
        <v>2</v>
      </c>
      <c r="G76" s="29">
        <f t="shared" si="4"/>
        <v>0</v>
      </c>
      <c r="H76" s="29">
        <f t="shared" si="5"/>
        <v>0</v>
      </c>
      <c r="I76" s="150"/>
      <c r="J76" s="150"/>
      <c r="K76" s="150"/>
      <c r="L76" s="150"/>
      <c r="M76" s="151"/>
    </row>
    <row r="77" spans="2:13" ht="80.099999999999994" customHeight="1" thickTop="1" x14ac:dyDescent="0.4">
      <c r="B77" s="152"/>
      <c r="C77" s="152"/>
      <c r="D77" s="152"/>
      <c r="E77" s="152"/>
      <c r="F77" s="152"/>
      <c r="G77" s="152"/>
      <c r="H77" s="152"/>
      <c r="I77" s="152"/>
      <c r="J77" s="152"/>
      <c r="K77" s="152"/>
      <c r="L77" s="152"/>
      <c r="M77" s="152"/>
    </row>
    <row r="78" spans="2:13" ht="18" thickBot="1" x14ac:dyDescent="0.45"/>
    <row r="79" spans="2:13" ht="21" customHeight="1" thickTop="1" x14ac:dyDescent="0.4">
      <c r="B79" s="134" t="s">
        <v>413</v>
      </c>
      <c r="C79" s="135"/>
      <c r="D79" s="135"/>
      <c r="E79" s="135"/>
      <c r="F79" s="135"/>
      <c r="G79" s="135"/>
      <c r="H79" s="135"/>
      <c r="I79" s="135"/>
      <c r="J79" s="135"/>
      <c r="K79" s="135"/>
      <c r="L79" s="135"/>
      <c r="M79" s="136"/>
    </row>
    <row r="80" spans="2:13" ht="18" customHeight="1" x14ac:dyDescent="0.4">
      <c r="B80" s="137" t="s">
        <v>3</v>
      </c>
      <c r="C80" s="138" t="s">
        <v>4</v>
      </c>
      <c r="D80" s="138" t="s">
        <v>5</v>
      </c>
      <c r="E80" s="138" t="s">
        <v>6</v>
      </c>
      <c r="F80" s="138"/>
      <c r="G80" s="138" t="s">
        <v>7</v>
      </c>
      <c r="H80" s="138"/>
      <c r="I80" s="138" t="s">
        <v>8</v>
      </c>
      <c r="J80" s="138"/>
      <c r="K80" s="138"/>
      <c r="L80" s="138"/>
      <c r="M80" s="139"/>
    </row>
    <row r="81" spans="2:13" ht="18" customHeight="1" x14ac:dyDescent="0.4">
      <c r="B81" s="137"/>
      <c r="C81" s="138"/>
      <c r="D81" s="138"/>
      <c r="E81" s="5" t="s">
        <v>1</v>
      </c>
      <c r="F81" s="5" t="s">
        <v>2</v>
      </c>
      <c r="G81" s="6" t="s">
        <v>1</v>
      </c>
      <c r="H81" s="7" t="s">
        <v>2</v>
      </c>
      <c r="I81" s="138"/>
      <c r="J81" s="138"/>
      <c r="K81" s="138"/>
      <c r="L81" s="138"/>
      <c r="M81" s="139"/>
    </row>
    <row r="82" spans="2:13" ht="18" customHeight="1" x14ac:dyDescent="0.4">
      <c r="B82" s="57" t="s">
        <v>9</v>
      </c>
      <c r="C82" s="58" t="s">
        <v>265</v>
      </c>
      <c r="D82" s="9" t="s">
        <v>265</v>
      </c>
      <c r="E82" s="9">
        <f t="shared" ref="E82:E104" si="6">F82*0.65</f>
        <v>32.5</v>
      </c>
      <c r="F82" s="36">
        <v>50</v>
      </c>
      <c r="G82" s="9">
        <f t="shared" ref="G82:G105" si="7">E82*E$2</f>
        <v>0</v>
      </c>
      <c r="H82" s="9">
        <f t="shared" ref="H82:H105" si="8">F82*E$3</f>
        <v>0</v>
      </c>
      <c r="I82" s="163" t="s">
        <v>106</v>
      </c>
      <c r="J82" s="164"/>
      <c r="K82" s="164"/>
      <c r="L82" s="164"/>
      <c r="M82" s="165"/>
    </row>
    <row r="83" spans="2:13" ht="18" customHeight="1" x14ac:dyDescent="0.4">
      <c r="B83" s="169" t="s">
        <v>12</v>
      </c>
      <c r="C83" s="244" t="s">
        <v>414</v>
      </c>
      <c r="D83" s="16" t="s">
        <v>38</v>
      </c>
      <c r="E83" s="21">
        <f t="shared" si="6"/>
        <v>26</v>
      </c>
      <c r="F83" s="16">
        <v>40</v>
      </c>
      <c r="G83" s="9">
        <f t="shared" si="7"/>
        <v>0</v>
      </c>
      <c r="H83" s="9">
        <f t="shared" si="8"/>
        <v>0</v>
      </c>
      <c r="I83" s="237" t="s">
        <v>415</v>
      </c>
      <c r="J83" s="237"/>
      <c r="K83" s="237"/>
      <c r="L83" s="237"/>
      <c r="M83" s="238"/>
    </row>
    <row r="84" spans="2:13" ht="18" customHeight="1" x14ac:dyDescent="0.4">
      <c r="B84" s="170"/>
      <c r="C84" s="296"/>
      <c r="D84" s="16" t="s">
        <v>29</v>
      </c>
      <c r="E84" s="17">
        <f t="shared" si="6"/>
        <v>3.25</v>
      </c>
      <c r="F84" s="16">
        <v>5</v>
      </c>
      <c r="G84" s="9">
        <f t="shared" si="7"/>
        <v>0</v>
      </c>
      <c r="H84" s="9">
        <f t="shared" si="8"/>
        <v>0</v>
      </c>
      <c r="I84" s="237"/>
      <c r="J84" s="237"/>
      <c r="K84" s="237"/>
      <c r="L84" s="237"/>
      <c r="M84" s="238"/>
    </row>
    <row r="85" spans="2:13" ht="18" customHeight="1" x14ac:dyDescent="0.4">
      <c r="B85" s="170"/>
      <c r="C85" s="296"/>
      <c r="D85" s="16" t="s">
        <v>86</v>
      </c>
      <c r="E85" s="17">
        <f t="shared" si="6"/>
        <v>6.5</v>
      </c>
      <c r="F85" s="16">
        <v>10</v>
      </c>
      <c r="G85" s="9">
        <f t="shared" si="7"/>
        <v>0</v>
      </c>
      <c r="H85" s="9">
        <f t="shared" si="8"/>
        <v>0</v>
      </c>
      <c r="I85" s="237"/>
      <c r="J85" s="237"/>
      <c r="K85" s="237"/>
      <c r="L85" s="237"/>
      <c r="M85" s="238"/>
    </row>
    <row r="86" spans="2:13" ht="18" customHeight="1" x14ac:dyDescent="0.4">
      <c r="B86" s="170"/>
      <c r="C86" s="296"/>
      <c r="D86" s="16" t="s">
        <v>37</v>
      </c>
      <c r="E86" s="17">
        <f t="shared" si="6"/>
        <v>3.25</v>
      </c>
      <c r="F86" s="16">
        <v>5</v>
      </c>
      <c r="G86" s="9">
        <f t="shared" si="7"/>
        <v>0</v>
      </c>
      <c r="H86" s="9">
        <f t="shared" si="8"/>
        <v>0</v>
      </c>
      <c r="I86" s="237"/>
      <c r="J86" s="237"/>
      <c r="K86" s="237"/>
      <c r="L86" s="237"/>
      <c r="M86" s="238"/>
    </row>
    <row r="87" spans="2:13" ht="18" customHeight="1" x14ac:dyDescent="0.4">
      <c r="B87" s="170"/>
      <c r="C87" s="296"/>
      <c r="D87" s="16" t="s">
        <v>15</v>
      </c>
      <c r="E87" s="17">
        <f t="shared" si="6"/>
        <v>0.65</v>
      </c>
      <c r="F87" s="16">
        <v>1</v>
      </c>
      <c r="G87" s="9">
        <f t="shared" si="7"/>
        <v>0</v>
      </c>
      <c r="H87" s="9">
        <f t="shared" si="8"/>
        <v>0</v>
      </c>
      <c r="I87" s="237"/>
      <c r="J87" s="237"/>
      <c r="K87" s="237"/>
      <c r="L87" s="237"/>
      <c r="M87" s="238"/>
    </row>
    <row r="88" spans="2:13" ht="18" customHeight="1" x14ac:dyDescent="0.4">
      <c r="B88" s="170"/>
      <c r="C88" s="296"/>
      <c r="D88" s="16" t="s">
        <v>36</v>
      </c>
      <c r="E88" s="17">
        <f t="shared" si="6"/>
        <v>0.13</v>
      </c>
      <c r="F88" s="16">
        <v>0.2</v>
      </c>
      <c r="G88" s="9">
        <f t="shared" si="7"/>
        <v>0</v>
      </c>
      <c r="H88" s="9">
        <f t="shared" si="8"/>
        <v>0</v>
      </c>
      <c r="I88" s="237"/>
      <c r="J88" s="237"/>
      <c r="K88" s="237"/>
      <c r="L88" s="237"/>
      <c r="M88" s="238"/>
    </row>
    <row r="89" spans="2:13" ht="18" customHeight="1" x14ac:dyDescent="0.4">
      <c r="B89" s="170"/>
      <c r="C89" s="296"/>
      <c r="D89" s="16" t="s">
        <v>19</v>
      </c>
      <c r="E89" s="17">
        <f t="shared" si="6"/>
        <v>3.25</v>
      </c>
      <c r="F89" s="16">
        <v>5</v>
      </c>
      <c r="G89" s="9">
        <f t="shared" si="7"/>
        <v>0</v>
      </c>
      <c r="H89" s="9">
        <f t="shared" si="8"/>
        <v>0</v>
      </c>
      <c r="I89" s="237"/>
      <c r="J89" s="237"/>
      <c r="K89" s="237"/>
      <c r="L89" s="237"/>
      <c r="M89" s="238"/>
    </row>
    <row r="90" spans="2:13" ht="18" customHeight="1" x14ac:dyDescent="0.4">
      <c r="B90" s="170"/>
      <c r="C90" s="297"/>
      <c r="D90" s="16" t="s">
        <v>61</v>
      </c>
      <c r="E90" s="17">
        <f t="shared" si="6"/>
        <v>3.25</v>
      </c>
      <c r="F90" s="16">
        <v>5</v>
      </c>
      <c r="G90" s="9">
        <f t="shared" si="7"/>
        <v>0</v>
      </c>
      <c r="H90" s="9">
        <f t="shared" si="8"/>
        <v>0</v>
      </c>
      <c r="I90" s="237"/>
      <c r="J90" s="237"/>
      <c r="K90" s="237"/>
      <c r="L90" s="237"/>
      <c r="M90" s="238"/>
    </row>
    <row r="91" spans="2:13" ht="18" customHeight="1" x14ac:dyDescent="0.4">
      <c r="B91" s="170"/>
      <c r="C91" s="47" t="s">
        <v>40</v>
      </c>
      <c r="D91" s="39" t="s">
        <v>43</v>
      </c>
      <c r="E91" s="17">
        <f t="shared" si="6"/>
        <v>18.2</v>
      </c>
      <c r="F91" s="49">
        <v>28</v>
      </c>
      <c r="G91" s="9">
        <f t="shared" si="7"/>
        <v>0</v>
      </c>
      <c r="H91" s="9">
        <f t="shared" si="8"/>
        <v>0</v>
      </c>
      <c r="I91" s="105" t="s">
        <v>103</v>
      </c>
      <c r="J91" s="105"/>
      <c r="K91" s="105"/>
      <c r="L91" s="105"/>
      <c r="M91" s="220"/>
    </row>
    <row r="92" spans="2:13" ht="18" customHeight="1" x14ac:dyDescent="0.4">
      <c r="B92" s="170"/>
      <c r="C92" s="126" t="s">
        <v>416</v>
      </c>
      <c r="D92" s="19" t="s">
        <v>27</v>
      </c>
      <c r="E92" s="17">
        <f t="shared" si="6"/>
        <v>1.3</v>
      </c>
      <c r="F92" s="16">
        <v>2</v>
      </c>
      <c r="G92" s="9">
        <f t="shared" si="7"/>
        <v>0</v>
      </c>
      <c r="H92" s="9">
        <f t="shared" si="8"/>
        <v>0</v>
      </c>
      <c r="I92" s="148" t="s">
        <v>417</v>
      </c>
      <c r="J92" s="148"/>
      <c r="K92" s="148"/>
      <c r="L92" s="148"/>
      <c r="M92" s="149"/>
    </row>
    <row r="93" spans="2:13" ht="18" customHeight="1" x14ac:dyDescent="0.4">
      <c r="B93" s="170"/>
      <c r="C93" s="127"/>
      <c r="D93" s="19" t="s">
        <v>28</v>
      </c>
      <c r="E93" s="17">
        <f t="shared" si="6"/>
        <v>1.3</v>
      </c>
      <c r="F93" s="16">
        <v>2</v>
      </c>
      <c r="G93" s="9">
        <f t="shared" si="7"/>
        <v>0</v>
      </c>
      <c r="H93" s="9">
        <f t="shared" si="8"/>
        <v>0</v>
      </c>
      <c r="I93" s="148"/>
      <c r="J93" s="148"/>
      <c r="K93" s="148"/>
      <c r="L93" s="148"/>
      <c r="M93" s="149"/>
    </row>
    <row r="94" spans="2:13" ht="18" customHeight="1" x14ac:dyDescent="0.4">
      <c r="B94" s="170"/>
      <c r="C94" s="127"/>
      <c r="D94" s="19" t="s">
        <v>96</v>
      </c>
      <c r="E94" s="17">
        <f t="shared" si="6"/>
        <v>1.3</v>
      </c>
      <c r="F94" s="16">
        <v>2</v>
      </c>
      <c r="G94" s="9">
        <f t="shared" si="7"/>
        <v>0</v>
      </c>
      <c r="H94" s="9">
        <f t="shared" si="8"/>
        <v>0</v>
      </c>
      <c r="I94" s="148"/>
      <c r="J94" s="148"/>
      <c r="K94" s="148"/>
      <c r="L94" s="148"/>
      <c r="M94" s="149"/>
    </row>
    <row r="95" spans="2:13" ht="18" customHeight="1" x14ac:dyDescent="0.4">
      <c r="B95" s="170"/>
      <c r="C95" s="127"/>
      <c r="D95" s="19" t="s">
        <v>26</v>
      </c>
      <c r="E95" s="17">
        <f t="shared" si="6"/>
        <v>3.25</v>
      </c>
      <c r="F95" s="16">
        <v>5</v>
      </c>
      <c r="G95" s="9">
        <f t="shared" si="7"/>
        <v>0</v>
      </c>
      <c r="H95" s="9">
        <f t="shared" si="8"/>
        <v>0</v>
      </c>
      <c r="I95" s="148"/>
      <c r="J95" s="148"/>
      <c r="K95" s="148"/>
      <c r="L95" s="148"/>
      <c r="M95" s="149"/>
    </row>
    <row r="96" spans="2:13" ht="18" customHeight="1" x14ac:dyDescent="0.4">
      <c r="B96" s="170"/>
      <c r="C96" s="127"/>
      <c r="D96" s="19" t="s">
        <v>18</v>
      </c>
      <c r="E96" s="21">
        <f t="shared" si="6"/>
        <v>1.9500000000000002</v>
      </c>
      <c r="F96" s="16">
        <v>3</v>
      </c>
      <c r="G96" s="9">
        <f t="shared" si="7"/>
        <v>0</v>
      </c>
      <c r="H96" s="9">
        <f t="shared" si="8"/>
        <v>0</v>
      </c>
      <c r="I96" s="148"/>
      <c r="J96" s="148"/>
      <c r="K96" s="148"/>
      <c r="L96" s="148"/>
      <c r="M96" s="149"/>
    </row>
    <row r="97" spans="2:13" ht="18" customHeight="1" x14ac:dyDescent="0.4">
      <c r="B97" s="170"/>
      <c r="C97" s="127"/>
      <c r="D97" s="24" t="s">
        <v>68</v>
      </c>
      <c r="E97" s="17">
        <f t="shared" si="6"/>
        <v>0.65</v>
      </c>
      <c r="F97" s="75">
        <v>1</v>
      </c>
      <c r="G97" s="9">
        <f t="shared" si="7"/>
        <v>0</v>
      </c>
      <c r="H97" s="9">
        <f t="shared" si="8"/>
        <v>0</v>
      </c>
      <c r="I97" s="322"/>
      <c r="J97" s="322"/>
      <c r="K97" s="322"/>
      <c r="L97" s="322"/>
      <c r="M97" s="323"/>
    </row>
    <row r="98" spans="2:13" ht="18" customHeight="1" x14ac:dyDescent="0.4">
      <c r="B98" s="170"/>
      <c r="C98" s="328"/>
      <c r="D98" s="19" t="s">
        <v>24</v>
      </c>
      <c r="E98" s="17">
        <f t="shared" si="6"/>
        <v>1.3</v>
      </c>
      <c r="F98" s="16">
        <v>2</v>
      </c>
      <c r="G98" s="9">
        <f t="shared" si="7"/>
        <v>0</v>
      </c>
      <c r="H98" s="9">
        <f t="shared" si="8"/>
        <v>0</v>
      </c>
      <c r="I98" s="148"/>
      <c r="J98" s="148"/>
      <c r="K98" s="148"/>
      <c r="L98" s="148"/>
      <c r="M98" s="149"/>
    </row>
    <row r="99" spans="2:13" ht="18" customHeight="1" x14ac:dyDescent="0.4">
      <c r="B99" s="170"/>
      <c r="C99" s="261" t="s">
        <v>418</v>
      </c>
      <c r="D99" s="87" t="s">
        <v>76</v>
      </c>
      <c r="E99" s="88">
        <f t="shared" si="6"/>
        <v>16.25</v>
      </c>
      <c r="F99" s="39">
        <v>25</v>
      </c>
      <c r="G99" s="9">
        <f t="shared" si="7"/>
        <v>0</v>
      </c>
      <c r="H99" s="9">
        <f t="shared" si="8"/>
        <v>0</v>
      </c>
      <c r="I99" s="109" t="s">
        <v>419</v>
      </c>
      <c r="J99" s="110"/>
      <c r="K99" s="110"/>
      <c r="L99" s="110"/>
      <c r="M99" s="111"/>
    </row>
    <row r="100" spans="2:13" ht="18" customHeight="1" x14ac:dyDescent="0.4">
      <c r="B100" s="170"/>
      <c r="C100" s="261"/>
      <c r="D100" s="89" t="s">
        <v>21</v>
      </c>
      <c r="E100" s="22">
        <f t="shared" si="6"/>
        <v>3.25</v>
      </c>
      <c r="F100" s="16">
        <v>5</v>
      </c>
      <c r="G100" s="9">
        <f t="shared" si="7"/>
        <v>0</v>
      </c>
      <c r="H100" s="9">
        <f t="shared" si="8"/>
        <v>0</v>
      </c>
      <c r="I100" s="112"/>
      <c r="J100" s="113"/>
      <c r="K100" s="113"/>
      <c r="L100" s="113"/>
      <c r="M100" s="114"/>
    </row>
    <row r="101" spans="2:13" ht="18" customHeight="1" x14ac:dyDescent="0.4">
      <c r="B101" s="170"/>
      <c r="C101" s="261"/>
      <c r="D101" s="89" t="s">
        <v>95</v>
      </c>
      <c r="E101" s="22">
        <f t="shared" si="6"/>
        <v>3.25</v>
      </c>
      <c r="F101" s="16">
        <v>5</v>
      </c>
      <c r="G101" s="9">
        <f t="shared" si="7"/>
        <v>0</v>
      </c>
      <c r="H101" s="9">
        <f t="shared" si="8"/>
        <v>0</v>
      </c>
      <c r="I101" s="112"/>
      <c r="J101" s="113"/>
      <c r="K101" s="113"/>
      <c r="L101" s="113"/>
      <c r="M101" s="114"/>
    </row>
    <row r="102" spans="2:13" ht="18" customHeight="1" x14ac:dyDescent="0.4">
      <c r="B102" s="170"/>
      <c r="C102" s="265"/>
      <c r="D102" s="89" t="s">
        <v>45</v>
      </c>
      <c r="E102" s="22">
        <f t="shared" si="6"/>
        <v>6.5</v>
      </c>
      <c r="F102" s="16">
        <v>10</v>
      </c>
      <c r="G102" s="9">
        <f t="shared" si="7"/>
        <v>0</v>
      </c>
      <c r="H102" s="9">
        <f t="shared" si="8"/>
        <v>0</v>
      </c>
      <c r="I102" s="115"/>
      <c r="J102" s="116"/>
      <c r="K102" s="116"/>
      <c r="L102" s="116"/>
      <c r="M102" s="117"/>
    </row>
    <row r="103" spans="2:13" ht="18" customHeight="1" x14ac:dyDescent="0.4">
      <c r="B103" s="198"/>
      <c r="C103" s="19" t="s">
        <v>337</v>
      </c>
      <c r="D103" s="19" t="s">
        <v>338</v>
      </c>
      <c r="E103" s="11">
        <f t="shared" si="6"/>
        <v>13</v>
      </c>
      <c r="F103" s="15">
        <v>20</v>
      </c>
      <c r="G103" s="9">
        <f t="shared" si="7"/>
        <v>0</v>
      </c>
      <c r="H103" s="9">
        <f t="shared" si="8"/>
        <v>0</v>
      </c>
      <c r="I103" s="305" t="s">
        <v>113</v>
      </c>
      <c r="J103" s="305"/>
      <c r="K103" s="305"/>
      <c r="L103" s="305"/>
      <c r="M103" s="306"/>
    </row>
    <row r="104" spans="2:13" s="1" customFormat="1" ht="18" customHeight="1" x14ac:dyDescent="0.4">
      <c r="B104" s="235" t="s">
        <v>11</v>
      </c>
      <c r="C104" s="16" t="s">
        <v>420</v>
      </c>
      <c r="D104" s="16" t="s">
        <v>421</v>
      </c>
      <c r="E104" s="21">
        <f t="shared" si="6"/>
        <v>26</v>
      </c>
      <c r="F104" s="15">
        <v>40</v>
      </c>
      <c r="G104" s="9">
        <f t="shared" si="7"/>
        <v>0</v>
      </c>
      <c r="H104" s="9">
        <f t="shared" si="8"/>
        <v>0</v>
      </c>
      <c r="I104" s="140" t="s">
        <v>104</v>
      </c>
      <c r="J104" s="141"/>
      <c r="K104" s="141"/>
      <c r="L104" s="141"/>
      <c r="M104" s="142"/>
    </row>
    <row r="105" spans="2:13" s="1" customFormat="1" ht="18" customHeight="1" thickBot="1" x14ac:dyDescent="0.45">
      <c r="B105" s="236"/>
      <c r="C105" s="27" t="s">
        <v>149</v>
      </c>
      <c r="D105" s="27" t="s">
        <v>33</v>
      </c>
      <c r="E105" s="62">
        <v>100</v>
      </c>
      <c r="F105" s="27">
        <v>100</v>
      </c>
      <c r="G105" s="29">
        <f t="shared" si="7"/>
        <v>0</v>
      </c>
      <c r="H105" s="29">
        <f t="shared" si="8"/>
        <v>0</v>
      </c>
      <c r="I105" s="291"/>
      <c r="J105" s="292"/>
      <c r="K105" s="292"/>
      <c r="L105" s="292"/>
      <c r="M105" s="293"/>
    </row>
    <row r="106" spans="2:13" ht="80.099999999999994" customHeight="1" thickTop="1" x14ac:dyDescent="0.4">
      <c r="B106" s="152"/>
      <c r="C106" s="152"/>
      <c r="D106" s="152"/>
      <c r="E106" s="152"/>
      <c r="F106" s="152"/>
      <c r="G106" s="152"/>
      <c r="H106" s="152"/>
      <c r="I106" s="152"/>
      <c r="J106" s="152"/>
      <c r="K106" s="152"/>
      <c r="L106" s="152"/>
      <c r="M106" s="152"/>
    </row>
    <row r="107" spans="2:13" ht="18" thickBot="1" x14ac:dyDescent="0.45">
      <c r="I107" s="1" t="s">
        <v>422</v>
      </c>
    </row>
    <row r="108" spans="2:13" ht="21" customHeight="1" thickTop="1" x14ac:dyDescent="0.4">
      <c r="B108" s="134" t="s">
        <v>423</v>
      </c>
      <c r="C108" s="135"/>
      <c r="D108" s="135"/>
      <c r="E108" s="135"/>
      <c r="F108" s="135"/>
      <c r="G108" s="135"/>
      <c r="H108" s="135"/>
      <c r="I108" s="135"/>
      <c r="J108" s="135"/>
      <c r="K108" s="135"/>
      <c r="L108" s="135"/>
      <c r="M108" s="136"/>
    </row>
    <row r="109" spans="2:13" ht="18" customHeight="1" x14ac:dyDescent="0.4">
      <c r="B109" s="137" t="s">
        <v>3</v>
      </c>
      <c r="C109" s="138" t="s">
        <v>4</v>
      </c>
      <c r="D109" s="138" t="s">
        <v>5</v>
      </c>
      <c r="E109" s="138" t="s">
        <v>6</v>
      </c>
      <c r="F109" s="138"/>
      <c r="G109" s="138" t="s">
        <v>7</v>
      </c>
      <c r="H109" s="138"/>
      <c r="I109" s="138" t="s">
        <v>8</v>
      </c>
      <c r="J109" s="138"/>
      <c r="K109" s="138"/>
      <c r="L109" s="138"/>
      <c r="M109" s="139"/>
    </row>
    <row r="110" spans="2:13" ht="18" customHeight="1" x14ac:dyDescent="0.4">
      <c r="B110" s="137"/>
      <c r="C110" s="138"/>
      <c r="D110" s="138"/>
      <c r="E110" s="5" t="s">
        <v>1</v>
      </c>
      <c r="F110" s="5" t="s">
        <v>2</v>
      </c>
      <c r="G110" s="6" t="s">
        <v>1</v>
      </c>
      <c r="H110" s="7" t="s">
        <v>2</v>
      </c>
      <c r="I110" s="138"/>
      <c r="J110" s="138"/>
      <c r="K110" s="138"/>
      <c r="L110" s="138"/>
      <c r="M110" s="139"/>
    </row>
    <row r="111" spans="2:13" ht="18" customHeight="1" x14ac:dyDescent="0.4">
      <c r="B111" s="8" t="s">
        <v>9</v>
      </c>
      <c r="C111" s="9" t="s">
        <v>237</v>
      </c>
      <c r="D111" s="9" t="s">
        <v>237</v>
      </c>
      <c r="E111" s="22">
        <f t="shared" ref="E111:E133" si="9">F111*0.65</f>
        <v>32.5</v>
      </c>
      <c r="F111" s="9">
        <v>50</v>
      </c>
      <c r="G111" s="9">
        <f t="shared" ref="G111:G135" si="10">E111*E$2</f>
        <v>0</v>
      </c>
      <c r="H111" s="9">
        <f t="shared" ref="H111:H135" si="11">F111*E$3</f>
        <v>0</v>
      </c>
      <c r="I111" s="163" t="s">
        <v>238</v>
      </c>
      <c r="J111" s="164"/>
      <c r="K111" s="164"/>
      <c r="L111" s="164"/>
      <c r="M111" s="165"/>
    </row>
    <row r="112" spans="2:13" s="1" customFormat="1" ht="18" customHeight="1" x14ac:dyDescent="0.4">
      <c r="B112" s="104" t="s">
        <v>10</v>
      </c>
      <c r="C112" s="172" t="s">
        <v>252</v>
      </c>
      <c r="D112" s="39" t="s">
        <v>43</v>
      </c>
      <c r="E112" s="48">
        <f t="shared" si="9"/>
        <v>32.5</v>
      </c>
      <c r="F112" s="39">
        <v>50</v>
      </c>
      <c r="G112" s="9">
        <f t="shared" si="10"/>
        <v>0</v>
      </c>
      <c r="H112" s="9">
        <f t="shared" si="11"/>
        <v>0</v>
      </c>
      <c r="I112" s="105" t="s">
        <v>253</v>
      </c>
      <c r="J112" s="105"/>
      <c r="K112" s="105"/>
      <c r="L112" s="105"/>
      <c r="M112" s="220"/>
    </row>
    <row r="113" spans="2:13" s="1" customFormat="1" ht="18" customHeight="1" x14ac:dyDescent="0.4">
      <c r="B113" s="104"/>
      <c r="C113" s="219"/>
      <c r="D113" s="16" t="s">
        <v>254</v>
      </c>
      <c r="E113" s="17">
        <f t="shared" si="9"/>
        <v>1.625</v>
      </c>
      <c r="F113" s="16">
        <v>2.5</v>
      </c>
      <c r="G113" s="9">
        <f t="shared" si="10"/>
        <v>0</v>
      </c>
      <c r="H113" s="9">
        <f t="shared" si="11"/>
        <v>0</v>
      </c>
      <c r="I113" s="178"/>
      <c r="J113" s="178"/>
      <c r="K113" s="178"/>
      <c r="L113" s="178"/>
      <c r="M113" s="179"/>
    </row>
    <row r="114" spans="2:13" ht="18" customHeight="1" x14ac:dyDescent="0.4">
      <c r="B114" s="104"/>
      <c r="C114" s="230" t="s">
        <v>424</v>
      </c>
      <c r="D114" s="16" t="s">
        <v>129</v>
      </c>
      <c r="E114" s="9">
        <f t="shared" si="9"/>
        <v>19.5</v>
      </c>
      <c r="F114" s="16">
        <v>30</v>
      </c>
      <c r="G114" s="9">
        <f t="shared" si="10"/>
        <v>0</v>
      </c>
      <c r="H114" s="9">
        <f t="shared" si="11"/>
        <v>0</v>
      </c>
      <c r="I114" s="120" t="s">
        <v>425</v>
      </c>
      <c r="J114" s="121"/>
      <c r="K114" s="121"/>
      <c r="L114" s="121"/>
      <c r="M114" s="122"/>
    </row>
    <row r="115" spans="2:13" ht="18" customHeight="1" x14ac:dyDescent="0.4">
      <c r="B115" s="104"/>
      <c r="C115" s="187"/>
      <c r="D115" s="16" t="s">
        <v>426</v>
      </c>
      <c r="E115" s="23">
        <f t="shared" si="9"/>
        <v>9.75</v>
      </c>
      <c r="F115" s="15">
        <v>15</v>
      </c>
      <c r="G115" s="9">
        <f t="shared" si="10"/>
        <v>0</v>
      </c>
      <c r="H115" s="9">
        <f t="shared" si="11"/>
        <v>0</v>
      </c>
      <c r="I115" s="123"/>
      <c r="J115" s="124"/>
      <c r="K115" s="124"/>
      <c r="L115" s="124"/>
      <c r="M115" s="125"/>
    </row>
    <row r="116" spans="2:13" ht="18" customHeight="1" x14ac:dyDescent="0.4">
      <c r="B116" s="104"/>
      <c r="C116" s="187"/>
      <c r="D116" s="16" t="s">
        <v>163</v>
      </c>
      <c r="E116" s="23">
        <f t="shared" si="9"/>
        <v>9.75</v>
      </c>
      <c r="F116" s="15">
        <v>15</v>
      </c>
      <c r="G116" s="9">
        <f t="shared" si="10"/>
        <v>0</v>
      </c>
      <c r="H116" s="9">
        <f t="shared" si="11"/>
        <v>0</v>
      </c>
      <c r="I116" s="123"/>
      <c r="J116" s="124"/>
      <c r="K116" s="124"/>
      <c r="L116" s="124"/>
      <c r="M116" s="125"/>
    </row>
    <row r="117" spans="2:13" ht="18" customHeight="1" x14ac:dyDescent="0.4">
      <c r="B117" s="104"/>
      <c r="C117" s="187"/>
      <c r="D117" s="19" t="s">
        <v>158</v>
      </c>
      <c r="E117" s="26">
        <f t="shared" si="9"/>
        <v>1.9500000000000002</v>
      </c>
      <c r="F117" s="15">
        <v>3</v>
      </c>
      <c r="G117" s="9">
        <f t="shared" si="10"/>
        <v>0</v>
      </c>
      <c r="H117" s="9">
        <f t="shared" si="11"/>
        <v>0</v>
      </c>
      <c r="I117" s="123"/>
      <c r="J117" s="124"/>
      <c r="K117" s="124"/>
      <c r="L117" s="124"/>
      <c r="M117" s="125"/>
    </row>
    <row r="118" spans="2:13" ht="18" customHeight="1" x14ac:dyDescent="0.4">
      <c r="B118" s="104"/>
      <c r="C118" s="187"/>
      <c r="D118" s="16" t="s">
        <v>127</v>
      </c>
      <c r="E118" s="23">
        <f t="shared" si="9"/>
        <v>0.32500000000000001</v>
      </c>
      <c r="F118" s="16">
        <v>0.5</v>
      </c>
      <c r="G118" s="9">
        <f t="shared" si="10"/>
        <v>0</v>
      </c>
      <c r="H118" s="9">
        <f t="shared" si="11"/>
        <v>0</v>
      </c>
      <c r="I118" s="123"/>
      <c r="J118" s="124"/>
      <c r="K118" s="124"/>
      <c r="L118" s="124"/>
      <c r="M118" s="125"/>
    </row>
    <row r="119" spans="2:13" ht="18" customHeight="1" x14ac:dyDescent="0.4">
      <c r="B119" s="104"/>
      <c r="C119" s="187"/>
      <c r="D119" s="16" t="s">
        <v>186</v>
      </c>
      <c r="E119" s="23">
        <f t="shared" si="9"/>
        <v>0.32500000000000001</v>
      </c>
      <c r="F119" s="16">
        <v>0.5</v>
      </c>
      <c r="G119" s="9">
        <f t="shared" si="10"/>
        <v>0</v>
      </c>
      <c r="H119" s="9">
        <f t="shared" si="11"/>
        <v>0</v>
      </c>
      <c r="I119" s="123"/>
      <c r="J119" s="124"/>
      <c r="K119" s="124"/>
      <c r="L119" s="124"/>
      <c r="M119" s="125"/>
    </row>
    <row r="120" spans="2:13" ht="18" customHeight="1" x14ac:dyDescent="0.4">
      <c r="B120" s="104"/>
      <c r="C120" s="187"/>
      <c r="D120" s="16" t="s">
        <v>133</v>
      </c>
      <c r="E120" s="23">
        <f t="shared" si="9"/>
        <v>0.13</v>
      </c>
      <c r="F120" s="16">
        <v>0.2</v>
      </c>
      <c r="G120" s="9">
        <f t="shared" si="10"/>
        <v>0</v>
      </c>
      <c r="H120" s="9">
        <f t="shared" si="11"/>
        <v>0</v>
      </c>
      <c r="I120" s="123"/>
      <c r="J120" s="124"/>
      <c r="K120" s="124"/>
      <c r="L120" s="124"/>
      <c r="M120" s="125"/>
    </row>
    <row r="121" spans="2:13" ht="18" customHeight="1" x14ac:dyDescent="0.4">
      <c r="B121" s="104"/>
      <c r="C121" s="189" t="s">
        <v>427</v>
      </c>
      <c r="D121" s="16" t="s">
        <v>56</v>
      </c>
      <c r="E121" s="11">
        <f t="shared" si="9"/>
        <v>26</v>
      </c>
      <c r="F121" s="16">
        <v>40</v>
      </c>
      <c r="G121" s="9">
        <f t="shared" si="10"/>
        <v>0</v>
      </c>
      <c r="H121" s="9">
        <f t="shared" si="11"/>
        <v>0</v>
      </c>
      <c r="I121" s="148" t="s">
        <v>428</v>
      </c>
      <c r="J121" s="148"/>
      <c r="K121" s="148"/>
      <c r="L121" s="148"/>
      <c r="M121" s="149"/>
    </row>
    <row r="122" spans="2:13" ht="18" customHeight="1" x14ac:dyDescent="0.4">
      <c r="B122" s="104"/>
      <c r="C122" s="189"/>
      <c r="D122" s="16" t="s">
        <v>157</v>
      </c>
      <c r="E122" s="22">
        <f t="shared" si="9"/>
        <v>6.5</v>
      </c>
      <c r="F122" s="16">
        <v>10</v>
      </c>
      <c r="G122" s="9">
        <f t="shared" si="10"/>
        <v>0</v>
      </c>
      <c r="H122" s="9">
        <f t="shared" si="11"/>
        <v>0</v>
      </c>
      <c r="I122" s="148"/>
      <c r="J122" s="148"/>
      <c r="K122" s="148"/>
      <c r="L122" s="148"/>
      <c r="M122" s="149"/>
    </row>
    <row r="123" spans="2:13" ht="18" customHeight="1" x14ac:dyDescent="0.4">
      <c r="B123" s="104"/>
      <c r="C123" s="189"/>
      <c r="D123" s="16" t="s">
        <v>127</v>
      </c>
      <c r="E123" s="22">
        <f t="shared" si="9"/>
        <v>0.32500000000000001</v>
      </c>
      <c r="F123" s="16">
        <v>0.5</v>
      </c>
      <c r="G123" s="9">
        <f t="shared" si="10"/>
        <v>0</v>
      </c>
      <c r="H123" s="9">
        <f t="shared" si="11"/>
        <v>0</v>
      </c>
      <c r="I123" s="148"/>
      <c r="J123" s="148"/>
      <c r="K123" s="148"/>
      <c r="L123" s="148"/>
      <c r="M123" s="149"/>
    </row>
    <row r="124" spans="2:13" ht="18" customHeight="1" x14ac:dyDescent="0.4">
      <c r="B124" s="104"/>
      <c r="C124" s="189"/>
      <c r="D124" s="16" t="s">
        <v>158</v>
      </c>
      <c r="E124" s="22">
        <f t="shared" si="9"/>
        <v>1.3</v>
      </c>
      <c r="F124" s="16">
        <v>2</v>
      </c>
      <c r="G124" s="9">
        <f t="shared" si="10"/>
        <v>0</v>
      </c>
      <c r="H124" s="9">
        <f t="shared" si="11"/>
        <v>0</v>
      </c>
      <c r="I124" s="148"/>
      <c r="J124" s="148"/>
      <c r="K124" s="148"/>
      <c r="L124" s="148"/>
      <c r="M124" s="149"/>
    </row>
    <row r="125" spans="2:13" ht="18" customHeight="1" x14ac:dyDescent="0.4">
      <c r="B125" s="104"/>
      <c r="C125" s="189"/>
      <c r="D125" s="16" t="s">
        <v>18</v>
      </c>
      <c r="E125" s="22">
        <f t="shared" si="9"/>
        <v>3.25</v>
      </c>
      <c r="F125" s="16">
        <v>5</v>
      </c>
      <c r="G125" s="9">
        <f t="shared" si="10"/>
        <v>0</v>
      </c>
      <c r="H125" s="9">
        <f t="shared" si="11"/>
        <v>0</v>
      </c>
      <c r="I125" s="148"/>
      <c r="J125" s="148"/>
      <c r="K125" s="148"/>
      <c r="L125" s="148"/>
      <c r="M125" s="149"/>
    </row>
    <row r="126" spans="2:13" ht="18" customHeight="1" x14ac:dyDescent="0.4">
      <c r="B126" s="104"/>
      <c r="C126" s="189"/>
      <c r="D126" s="16" t="s">
        <v>20</v>
      </c>
      <c r="E126" s="11">
        <f t="shared" si="9"/>
        <v>1.9500000000000002</v>
      </c>
      <c r="F126" s="16">
        <v>3</v>
      </c>
      <c r="G126" s="9">
        <f t="shared" si="10"/>
        <v>0</v>
      </c>
      <c r="H126" s="9">
        <f t="shared" si="11"/>
        <v>0</v>
      </c>
      <c r="I126" s="148"/>
      <c r="J126" s="148"/>
      <c r="K126" s="148"/>
      <c r="L126" s="148"/>
      <c r="M126" s="149"/>
    </row>
    <row r="127" spans="2:13" ht="18" customHeight="1" x14ac:dyDescent="0.4">
      <c r="B127" s="104"/>
      <c r="C127" s="189"/>
      <c r="D127" s="16" t="s">
        <v>14</v>
      </c>
      <c r="E127" s="22">
        <f t="shared" si="9"/>
        <v>0.65</v>
      </c>
      <c r="F127" s="16">
        <v>1</v>
      </c>
      <c r="G127" s="9">
        <f t="shared" si="10"/>
        <v>0</v>
      </c>
      <c r="H127" s="9">
        <f t="shared" si="11"/>
        <v>0</v>
      </c>
      <c r="I127" s="148"/>
      <c r="J127" s="148"/>
      <c r="K127" s="148"/>
      <c r="L127" s="148"/>
      <c r="M127" s="149"/>
    </row>
    <row r="128" spans="2:13" ht="18" customHeight="1" x14ac:dyDescent="0.4">
      <c r="B128" s="104"/>
      <c r="C128" s="176" t="s">
        <v>429</v>
      </c>
      <c r="D128" s="16" t="s">
        <v>25</v>
      </c>
      <c r="E128" s="23">
        <f t="shared" si="9"/>
        <v>19.5</v>
      </c>
      <c r="F128" s="15">
        <v>30</v>
      </c>
      <c r="G128" s="9">
        <f t="shared" si="10"/>
        <v>0</v>
      </c>
      <c r="H128" s="9">
        <f t="shared" si="11"/>
        <v>0</v>
      </c>
      <c r="I128" s="109" t="s">
        <v>430</v>
      </c>
      <c r="J128" s="110"/>
      <c r="K128" s="110"/>
      <c r="L128" s="110"/>
      <c r="M128" s="111"/>
    </row>
    <row r="129" spans="2:13" ht="18" customHeight="1" x14ac:dyDescent="0.4">
      <c r="B129" s="104"/>
      <c r="C129" s="107"/>
      <c r="D129" s="16" t="s">
        <v>127</v>
      </c>
      <c r="E129" s="23">
        <f t="shared" si="9"/>
        <v>0.65</v>
      </c>
      <c r="F129" s="15">
        <v>1</v>
      </c>
      <c r="G129" s="9">
        <f t="shared" si="10"/>
        <v>0</v>
      </c>
      <c r="H129" s="9">
        <f t="shared" si="11"/>
        <v>0</v>
      </c>
      <c r="I129" s="112"/>
      <c r="J129" s="113"/>
      <c r="K129" s="113"/>
      <c r="L129" s="113"/>
      <c r="M129" s="114"/>
    </row>
    <row r="130" spans="2:13" ht="18" customHeight="1" x14ac:dyDescent="0.4">
      <c r="B130" s="104"/>
      <c r="C130" s="107"/>
      <c r="D130" s="16" t="s">
        <v>15</v>
      </c>
      <c r="E130" s="23">
        <f t="shared" si="9"/>
        <v>0.32500000000000001</v>
      </c>
      <c r="F130" s="15">
        <v>0.5</v>
      </c>
      <c r="G130" s="9">
        <f t="shared" si="10"/>
        <v>0</v>
      </c>
      <c r="H130" s="9">
        <f t="shared" si="11"/>
        <v>0</v>
      </c>
      <c r="I130" s="112"/>
      <c r="J130" s="113"/>
      <c r="K130" s="113"/>
      <c r="L130" s="113"/>
      <c r="M130" s="114"/>
    </row>
    <row r="131" spans="2:13" ht="18" customHeight="1" x14ac:dyDescent="0.4">
      <c r="B131" s="104"/>
      <c r="C131" s="107"/>
      <c r="D131" s="16" t="s">
        <v>91</v>
      </c>
      <c r="E131" s="23">
        <f t="shared" si="9"/>
        <v>1.3</v>
      </c>
      <c r="F131" s="15">
        <v>2</v>
      </c>
      <c r="G131" s="9">
        <f t="shared" si="10"/>
        <v>0</v>
      </c>
      <c r="H131" s="9">
        <f t="shared" si="11"/>
        <v>0</v>
      </c>
      <c r="I131" s="112"/>
      <c r="J131" s="113"/>
      <c r="K131" s="113"/>
      <c r="L131" s="113"/>
      <c r="M131" s="114"/>
    </row>
    <row r="132" spans="2:13" ht="18" customHeight="1" x14ac:dyDescent="0.4">
      <c r="B132" s="104"/>
      <c r="C132" s="108"/>
      <c r="D132" s="16" t="s">
        <v>13</v>
      </c>
      <c r="E132" s="23">
        <f t="shared" si="9"/>
        <v>0.13</v>
      </c>
      <c r="F132" s="15">
        <v>0.2</v>
      </c>
      <c r="G132" s="9">
        <f t="shared" si="10"/>
        <v>0</v>
      </c>
      <c r="H132" s="9">
        <f t="shared" si="11"/>
        <v>0</v>
      </c>
      <c r="I132" s="112"/>
      <c r="J132" s="113"/>
      <c r="K132" s="113"/>
      <c r="L132" s="113"/>
      <c r="M132" s="114"/>
    </row>
    <row r="133" spans="2:13" ht="18" customHeight="1" x14ac:dyDescent="0.4">
      <c r="B133" s="104"/>
      <c r="C133" s="19" t="s">
        <v>135</v>
      </c>
      <c r="D133" s="19" t="s">
        <v>136</v>
      </c>
      <c r="E133" s="21">
        <f t="shared" si="9"/>
        <v>13</v>
      </c>
      <c r="F133" s="16">
        <v>20</v>
      </c>
      <c r="G133" s="9">
        <f t="shared" si="10"/>
        <v>0</v>
      </c>
      <c r="H133" s="9">
        <f t="shared" si="11"/>
        <v>0</v>
      </c>
      <c r="I133" s="305" t="s">
        <v>115</v>
      </c>
      <c r="J133" s="305"/>
      <c r="K133" s="305"/>
      <c r="L133" s="305"/>
      <c r="M133" s="306"/>
    </row>
    <row r="134" spans="2:13" ht="36.75" customHeight="1" x14ac:dyDescent="0.4">
      <c r="B134" s="154" t="s">
        <v>138</v>
      </c>
      <c r="C134" s="9" t="s">
        <v>302</v>
      </c>
      <c r="D134" s="9" t="s">
        <v>60</v>
      </c>
      <c r="E134" s="11">
        <v>56</v>
      </c>
      <c r="F134" s="12">
        <v>80</v>
      </c>
      <c r="G134" s="9">
        <f t="shared" si="10"/>
        <v>0</v>
      </c>
      <c r="H134" s="9">
        <f t="shared" si="11"/>
        <v>0</v>
      </c>
      <c r="I134" s="96" t="s">
        <v>303</v>
      </c>
      <c r="J134" s="164"/>
      <c r="K134" s="164"/>
      <c r="L134" s="164"/>
      <c r="M134" s="165"/>
    </row>
    <row r="135" spans="2:13" ht="18" customHeight="1" thickBot="1" x14ac:dyDescent="0.45">
      <c r="B135" s="155"/>
      <c r="C135" s="27" t="s">
        <v>149</v>
      </c>
      <c r="D135" s="27" t="s">
        <v>189</v>
      </c>
      <c r="E135" s="29">
        <v>100</v>
      </c>
      <c r="F135" s="77">
        <v>100</v>
      </c>
      <c r="G135" s="29">
        <f t="shared" si="10"/>
        <v>0</v>
      </c>
      <c r="H135" s="29">
        <f t="shared" si="11"/>
        <v>0</v>
      </c>
      <c r="I135" s="192"/>
      <c r="J135" s="193"/>
      <c r="K135" s="193"/>
      <c r="L135" s="193"/>
      <c r="M135" s="194"/>
    </row>
    <row r="136" spans="2:13" ht="80.099999999999994" customHeight="1" thickTop="1" x14ac:dyDescent="0.4">
      <c r="B136" s="152"/>
      <c r="C136" s="152"/>
      <c r="D136" s="152"/>
      <c r="E136" s="152"/>
      <c r="F136" s="152"/>
      <c r="G136" s="152"/>
      <c r="H136" s="152"/>
      <c r="I136" s="152"/>
      <c r="J136" s="152"/>
      <c r="K136" s="152"/>
      <c r="L136" s="152"/>
      <c r="M136" s="152"/>
    </row>
    <row r="137" spans="2:13" ht="18" thickBot="1" x14ac:dyDescent="0.45"/>
    <row r="138" spans="2:13" ht="21" customHeight="1" thickTop="1" x14ac:dyDescent="0.4">
      <c r="B138" s="183" t="s">
        <v>431</v>
      </c>
      <c r="C138" s="184"/>
      <c r="D138" s="184"/>
      <c r="E138" s="184"/>
      <c r="F138" s="184"/>
      <c r="G138" s="184"/>
      <c r="H138" s="184"/>
      <c r="I138" s="184"/>
      <c r="J138" s="184"/>
      <c r="K138" s="184"/>
      <c r="L138" s="184"/>
      <c r="M138" s="185"/>
    </row>
    <row r="139" spans="2:13" ht="18" customHeight="1" x14ac:dyDescent="0.4">
      <c r="B139" s="137" t="s">
        <v>3</v>
      </c>
      <c r="C139" s="138" t="s">
        <v>4</v>
      </c>
      <c r="D139" s="138" t="s">
        <v>5</v>
      </c>
      <c r="E139" s="138" t="s">
        <v>6</v>
      </c>
      <c r="F139" s="138"/>
      <c r="G139" s="138" t="s">
        <v>7</v>
      </c>
      <c r="H139" s="138"/>
      <c r="I139" s="213" t="s">
        <v>8</v>
      </c>
      <c r="J139" s="214"/>
      <c r="K139" s="214"/>
      <c r="L139" s="214"/>
      <c r="M139" s="215"/>
    </row>
    <row r="140" spans="2:13" ht="18" customHeight="1" x14ac:dyDescent="0.4">
      <c r="B140" s="137"/>
      <c r="C140" s="138"/>
      <c r="D140" s="138"/>
      <c r="E140" s="5" t="s">
        <v>1</v>
      </c>
      <c r="F140" s="5" t="s">
        <v>2</v>
      </c>
      <c r="G140" s="6" t="s">
        <v>1</v>
      </c>
      <c r="H140" s="7" t="s">
        <v>2</v>
      </c>
      <c r="I140" s="216"/>
      <c r="J140" s="217"/>
      <c r="K140" s="217"/>
      <c r="L140" s="217"/>
      <c r="M140" s="218"/>
    </row>
    <row r="141" spans="2:13" ht="18" customHeight="1" x14ac:dyDescent="0.4">
      <c r="B141" s="8" t="s">
        <v>9</v>
      </c>
      <c r="C141" s="9" t="s">
        <v>149</v>
      </c>
      <c r="D141" s="16" t="s">
        <v>189</v>
      </c>
      <c r="E141" s="9">
        <v>200</v>
      </c>
      <c r="F141" s="16">
        <v>200</v>
      </c>
      <c r="G141" s="9">
        <f t="shared" ref="G141:G164" si="12">E141*E$2</f>
        <v>0</v>
      </c>
      <c r="H141" s="9">
        <f t="shared" ref="H141:H164" si="13">F141*E$3</f>
        <v>0</v>
      </c>
      <c r="I141" s="163"/>
      <c r="J141" s="164"/>
      <c r="K141" s="164"/>
      <c r="L141" s="164"/>
      <c r="M141" s="165"/>
    </row>
    <row r="142" spans="2:13" ht="18" customHeight="1" x14ac:dyDescent="0.4">
      <c r="B142" s="169" t="s">
        <v>10</v>
      </c>
      <c r="C142" s="230" t="s">
        <v>432</v>
      </c>
      <c r="D142" s="50" t="s">
        <v>123</v>
      </c>
      <c r="E142" s="17">
        <f t="shared" ref="E142:E164" si="14">F142*0.65</f>
        <v>32.5</v>
      </c>
      <c r="F142" s="50">
        <v>50</v>
      </c>
      <c r="G142" s="9">
        <f t="shared" si="12"/>
        <v>0</v>
      </c>
      <c r="H142" s="9">
        <f t="shared" si="13"/>
        <v>0</v>
      </c>
      <c r="I142" s="199" t="s">
        <v>433</v>
      </c>
      <c r="J142" s="200"/>
      <c r="K142" s="200"/>
      <c r="L142" s="200"/>
      <c r="M142" s="201"/>
    </row>
    <row r="143" spans="2:13" ht="18" customHeight="1" x14ac:dyDescent="0.4">
      <c r="B143" s="170"/>
      <c r="C143" s="187"/>
      <c r="D143" s="50" t="s">
        <v>434</v>
      </c>
      <c r="E143" s="17">
        <f t="shared" si="14"/>
        <v>19.5</v>
      </c>
      <c r="F143" s="50">
        <v>30</v>
      </c>
      <c r="G143" s="9">
        <f t="shared" si="12"/>
        <v>0</v>
      </c>
      <c r="H143" s="9">
        <f t="shared" si="13"/>
        <v>0</v>
      </c>
      <c r="I143" s="202"/>
      <c r="J143" s="203"/>
      <c r="K143" s="203"/>
      <c r="L143" s="203"/>
      <c r="M143" s="204"/>
    </row>
    <row r="144" spans="2:13" ht="18" customHeight="1" x14ac:dyDescent="0.4">
      <c r="B144" s="170"/>
      <c r="C144" s="187"/>
      <c r="D144" s="50" t="s">
        <v>118</v>
      </c>
      <c r="E144" s="17">
        <f t="shared" si="14"/>
        <v>3.25</v>
      </c>
      <c r="F144" s="50">
        <v>5</v>
      </c>
      <c r="G144" s="9">
        <f t="shared" si="12"/>
        <v>0</v>
      </c>
      <c r="H144" s="9">
        <f t="shared" si="13"/>
        <v>0</v>
      </c>
      <c r="I144" s="202"/>
      <c r="J144" s="203"/>
      <c r="K144" s="203"/>
      <c r="L144" s="203"/>
      <c r="M144" s="204"/>
    </row>
    <row r="145" spans="2:13" ht="18" customHeight="1" x14ac:dyDescent="0.4">
      <c r="B145" s="170"/>
      <c r="C145" s="187"/>
      <c r="D145" s="50" t="s">
        <v>435</v>
      </c>
      <c r="E145" s="17">
        <f t="shared" si="14"/>
        <v>3.25</v>
      </c>
      <c r="F145" s="50">
        <v>5</v>
      </c>
      <c r="G145" s="9">
        <f t="shared" si="12"/>
        <v>0</v>
      </c>
      <c r="H145" s="9">
        <f t="shared" si="13"/>
        <v>0</v>
      </c>
      <c r="I145" s="202"/>
      <c r="J145" s="203"/>
      <c r="K145" s="203"/>
      <c r="L145" s="203"/>
      <c r="M145" s="204"/>
    </row>
    <row r="146" spans="2:13" ht="18" customHeight="1" x14ac:dyDescent="0.4">
      <c r="B146" s="170"/>
      <c r="C146" s="187"/>
      <c r="D146" s="50" t="s">
        <v>229</v>
      </c>
      <c r="E146" s="17">
        <f t="shared" si="14"/>
        <v>3.25</v>
      </c>
      <c r="F146" s="50">
        <v>5</v>
      </c>
      <c r="G146" s="9">
        <f t="shared" si="12"/>
        <v>0</v>
      </c>
      <c r="H146" s="9">
        <f t="shared" si="13"/>
        <v>0</v>
      </c>
      <c r="I146" s="202"/>
      <c r="J146" s="203"/>
      <c r="K146" s="203"/>
      <c r="L146" s="203"/>
      <c r="M146" s="204"/>
    </row>
    <row r="147" spans="2:13" ht="18" customHeight="1" x14ac:dyDescent="0.4">
      <c r="B147" s="170"/>
      <c r="C147" s="187"/>
      <c r="D147" s="50" t="s">
        <v>161</v>
      </c>
      <c r="E147" s="17">
        <f t="shared" si="14"/>
        <v>1.3</v>
      </c>
      <c r="F147" s="50">
        <v>2</v>
      </c>
      <c r="G147" s="9">
        <f t="shared" si="12"/>
        <v>0</v>
      </c>
      <c r="H147" s="9">
        <f t="shared" si="13"/>
        <v>0</v>
      </c>
      <c r="I147" s="202"/>
      <c r="J147" s="203"/>
      <c r="K147" s="203"/>
      <c r="L147" s="203"/>
      <c r="M147" s="204"/>
    </row>
    <row r="148" spans="2:13" ht="18" customHeight="1" x14ac:dyDescent="0.4">
      <c r="B148" s="170"/>
      <c r="C148" s="187"/>
      <c r="D148" s="50" t="s">
        <v>133</v>
      </c>
      <c r="E148" s="17">
        <f t="shared" si="14"/>
        <v>0.32500000000000001</v>
      </c>
      <c r="F148" s="50">
        <v>0.5</v>
      </c>
      <c r="G148" s="9">
        <f t="shared" si="12"/>
        <v>0</v>
      </c>
      <c r="H148" s="9">
        <f t="shared" si="13"/>
        <v>0</v>
      </c>
      <c r="I148" s="202"/>
      <c r="J148" s="203"/>
      <c r="K148" s="203"/>
      <c r="L148" s="203"/>
      <c r="M148" s="204"/>
    </row>
    <row r="149" spans="2:13" ht="18" customHeight="1" x14ac:dyDescent="0.4">
      <c r="B149" s="170"/>
      <c r="C149" s="187"/>
      <c r="D149" s="50" t="s">
        <v>159</v>
      </c>
      <c r="E149" s="17">
        <f t="shared" si="14"/>
        <v>0.32500000000000001</v>
      </c>
      <c r="F149" s="50">
        <v>0.5</v>
      </c>
      <c r="G149" s="9">
        <f t="shared" si="12"/>
        <v>0</v>
      </c>
      <c r="H149" s="9">
        <f t="shared" si="13"/>
        <v>0</v>
      </c>
      <c r="I149" s="202"/>
      <c r="J149" s="203"/>
      <c r="K149" s="203"/>
      <c r="L149" s="203"/>
      <c r="M149" s="204"/>
    </row>
    <row r="150" spans="2:13" ht="18" customHeight="1" x14ac:dyDescent="0.4">
      <c r="B150" s="170"/>
      <c r="C150" s="187"/>
      <c r="D150" s="50" t="s">
        <v>158</v>
      </c>
      <c r="E150" s="17">
        <f t="shared" si="14"/>
        <v>0.32500000000000001</v>
      </c>
      <c r="F150" s="50">
        <v>0.5</v>
      </c>
      <c r="G150" s="9">
        <f t="shared" si="12"/>
        <v>0</v>
      </c>
      <c r="H150" s="9">
        <f t="shared" si="13"/>
        <v>0</v>
      </c>
      <c r="I150" s="202"/>
      <c r="J150" s="203"/>
      <c r="K150" s="203"/>
      <c r="L150" s="203"/>
      <c r="M150" s="204"/>
    </row>
    <row r="151" spans="2:13" ht="18" customHeight="1" x14ac:dyDescent="0.4">
      <c r="B151" s="170"/>
      <c r="C151" s="187"/>
      <c r="D151" s="50" t="s">
        <v>186</v>
      </c>
      <c r="E151" s="17">
        <f t="shared" si="14"/>
        <v>0.19500000000000001</v>
      </c>
      <c r="F151" s="50">
        <v>0.3</v>
      </c>
      <c r="G151" s="9">
        <f t="shared" si="12"/>
        <v>0</v>
      </c>
      <c r="H151" s="9">
        <f t="shared" si="13"/>
        <v>0</v>
      </c>
      <c r="I151" s="202"/>
      <c r="J151" s="203"/>
      <c r="K151" s="203"/>
      <c r="L151" s="203"/>
      <c r="M151" s="204"/>
    </row>
    <row r="152" spans="2:13" ht="18" customHeight="1" x14ac:dyDescent="0.4">
      <c r="B152" s="170"/>
      <c r="C152" s="188"/>
      <c r="D152" s="50" t="s">
        <v>134</v>
      </c>
      <c r="E152" s="17">
        <f t="shared" si="14"/>
        <v>6.5000000000000002E-2</v>
      </c>
      <c r="F152" s="12">
        <v>0.1</v>
      </c>
      <c r="G152" s="9">
        <f t="shared" si="12"/>
        <v>0</v>
      </c>
      <c r="H152" s="9">
        <f t="shared" si="13"/>
        <v>0</v>
      </c>
      <c r="I152" s="205"/>
      <c r="J152" s="206"/>
      <c r="K152" s="206"/>
      <c r="L152" s="206"/>
      <c r="M152" s="207"/>
    </row>
    <row r="153" spans="2:13" ht="18" customHeight="1" x14ac:dyDescent="0.4">
      <c r="B153" s="170"/>
      <c r="C153" s="106" t="s">
        <v>436</v>
      </c>
      <c r="D153" s="19" t="s">
        <v>54</v>
      </c>
      <c r="E153" s="17">
        <f t="shared" si="14"/>
        <v>6.5</v>
      </c>
      <c r="F153" s="15">
        <v>10</v>
      </c>
      <c r="G153" s="9">
        <f t="shared" si="12"/>
        <v>0</v>
      </c>
      <c r="H153" s="9">
        <f t="shared" si="13"/>
        <v>0</v>
      </c>
      <c r="I153" s="309" t="s">
        <v>437</v>
      </c>
      <c r="J153" s="310"/>
      <c r="K153" s="310"/>
      <c r="L153" s="310"/>
      <c r="M153" s="311"/>
    </row>
    <row r="154" spans="2:13" ht="18" customHeight="1" x14ac:dyDescent="0.4">
      <c r="B154" s="170"/>
      <c r="C154" s="146"/>
      <c r="D154" s="19" t="s">
        <v>28</v>
      </c>
      <c r="E154" s="17">
        <f t="shared" si="14"/>
        <v>1.3</v>
      </c>
      <c r="F154" s="15">
        <v>2</v>
      </c>
      <c r="G154" s="9">
        <f t="shared" si="12"/>
        <v>0</v>
      </c>
      <c r="H154" s="9">
        <f t="shared" si="13"/>
        <v>0</v>
      </c>
      <c r="I154" s="312"/>
      <c r="J154" s="313"/>
      <c r="K154" s="313"/>
      <c r="L154" s="313"/>
      <c r="M154" s="314"/>
    </row>
    <row r="155" spans="2:13" ht="18" customHeight="1" x14ac:dyDescent="0.4">
      <c r="B155" s="170"/>
      <c r="C155" s="146"/>
      <c r="D155" s="19" t="s">
        <v>27</v>
      </c>
      <c r="E155" s="17">
        <f t="shared" si="14"/>
        <v>1.3</v>
      </c>
      <c r="F155" s="15">
        <v>2</v>
      </c>
      <c r="G155" s="9">
        <f t="shared" si="12"/>
        <v>0</v>
      </c>
      <c r="H155" s="9">
        <f t="shared" si="13"/>
        <v>0</v>
      </c>
      <c r="I155" s="312"/>
      <c r="J155" s="313"/>
      <c r="K155" s="313"/>
      <c r="L155" s="313"/>
      <c r="M155" s="314"/>
    </row>
    <row r="156" spans="2:13" ht="18" customHeight="1" x14ac:dyDescent="0.4">
      <c r="B156" s="170"/>
      <c r="C156" s="146"/>
      <c r="D156" s="19" t="s">
        <v>71</v>
      </c>
      <c r="E156" s="17">
        <f t="shared" si="14"/>
        <v>3.25</v>
      </c>
      <c r="F156" s="15">
        <v>5</v>
      </c>
      <c r="G156" s="9">
        <f t="shared" si="12"/>
        <v>0</v>
      </c>
      <c r="H156" s="9">
        <f t="shared" si="13"/>
        <v>0</v>
      </c>
      <c r="I156" s="312"/>
      <c r="J156" s="313"/>
      <c r="K156" s="313"/>
      <c r="L156" s="313"/>
      <c r="M156" s="314"/>
    </row>
    <row r="157" spans="2:13" ht="18" customHeight="1" x14ac:dyDescent="0.4">
      <c r="B157" s="170"/>
      <c r="C157" s="146"/>
      <c r="D157" s="19" t="s">
        <v>24</v>
      </c>
      <c r="E157" s="17">
        <f t="shared" si="14"/>
        <v>1.3</v>
      </c>
      <c r="F157" s="15">
        <v>2</v>
      </c>
      <c r="G157" s="9">
        <f t="shared" si="12"/>
        <v>0</v>
      </c>
      <c r="H157" s="9">
        <f t="shared" si="13"/>
        <v>0</v>
      </c>
      <c r="I157" s="312"/>
      <c r="J157" s="313"/>
      <c r="K157" s="313"/>
      <c r="L157" s="313"/>
      <c r="M157" s="314"/>
    </row>
    <row r="158" spans="2:13" ht="18" customHeight="1" x14ac:dyDescent="0.4">
      <c r="B158" s="170"/>
      <c r="C158" s="177"/>
      <c r="D158" s="19" t="s">
        <v>127</v>
      </c>
      <c r="E158" s="17">
        <f t="shared" si="14"/>
        <v>0.65</v>
      </c>
      <c r="F158" s="15">
        <v>1</v>
      </c>
      <c r="G158" s="9">
        <f t="shared" si="12"/>
        <v>0</v>
      </c>
      <c r="H158" s="9">
        <f t="shared" si="13"/>
        <v>0</v>
      </c>
      <c r="I158" s="315"/>
      <c r="J158" s="316"/>
      <c r="K158" s="316"/>
      <c r="L158" s="316"/>
      <c r="M158" s="317"/>
    </row>
    <row r="159" spans="2:13" ht="18" customHeight="1" x14ac:dyDescent="0.4">
      <c r="B159" s="170"/>
      <c r="C159" s="176" t="s">
        <v>195</v>
      </c>
      <c r="D159" s="50" t="s">
        <v>86</v>
      </c>
      <c r="E159" s="11">
        <f t="shared" si="14"/>
        <v>26</v>
      </c>
      <c r="F159" s="12">
        <v>40</v>
      </c>
      <c r="G159" s="9">
        <f t="shared" si="12"/>
        <v>0</v>
      </c>
      <c r="H159" s="9">
        <f t="shared" si="13"/>
        <v>0</v>
      </c>
      <c r="I159" s="199" t="s">
        <v>196</v>
      </c>
      <c r="J159" s="200"/>
      <c r="K159" s="200"/>
      <c r="L159" s="200"/>
      <c r="M159" s="201"/>
    </row>
    <row r="160" spans="2:13" ht="18" customHeight="1" x14ac:dyDescent="0.4">
      <c r="B160" s="170"/>
      <c r="C160" s="107"/>
      <c r="D160" s="50" t="s">
        <v>21</v>
      </c>
      <c r="E160" s="22">
        <f t="shared" si="14"/>
        <v>3.25</v>
      </c>
      <c r="F160" s="12">
        <v>5</v>
      </c>
      <c r="G160" s="9">
        <f t="shared" si="12"/>
        <v>0</v>
      </c>
      <c r="H160" s="9">
        <f t="shared" si="13"/>
        <v>0</v>
      </c>
      <c r="I160" s="202"/>
      <c r="J160" s="203"/>
      <c r="K160" s="203"/>
      <c r="L160" s="203"/>
      <c r="M160" s="204"/>
    </row>
    <row r="161" spans="2:13" ht="18" customHeight="1" x14ac:dyDescent="0.4">
      <c r="B161" s="170"/>
      <c r="C161" s="107"/>
      <c r="D161" s="50" t="s">
        <v>24</v>
      </c>
      <c r="E161" s="11">
        <f t="shared" si="14"/>
        <v>1.9500000000000002</v>
      </c>
      <c r="F161" s="12">
        <v>3</v>
      </c>
      <c r="G161" s="9">
        <f t="shared" si="12"/>
        <v>0</v>
      </c>
      <c r="H161" s="9">
        <f t="shared" si="13"/>
        <v>0</v>
      </c>
      <c r="I161" s="202"/>
      <c r="J161" s="203"/>
      <c r="K161" s="203"/>
      <c r="L161" s="203"/>
      <c r="M161" s="204"/>
    </row>
    <row r="162" spans="2:13" ht="18" customHeight="1" x14ac:dyDescent="0.4">
      <c r="B162" s="170"/>
      <c r="C162" s="107"/>
      <c r="D162" s="50" t="s">
        <v>159</v>
      </c>
      <c r="E162" s="22">
        <f t="shared" si="14"/>
        <v>1.3</v>
      </c>
      <c r="F162" s="12">
        <v>2</v>
      </c>
      <c r="G162" s="9">
        <f t="shared" si="12"/>
        <v>0</v>
      </c>
      <c r="H162" s="9">
        <f t="shared" si="13"/>
        <v>0</v>
      </c>
      <c r="I162" s="202"/>
      <c r="J162" s="203"/>
      <c r="K162" s="203"/>
      <c r="L162" s="203"/>
      <c r="M162" s="204"/>
    </row>
    <row r="163" spans="2:13" ht="18" customHeight="1" x14ac:dyDescent="0.4">
      <c r="B163" s="170"/>
      <c r="C163" s="108"/>
      <c r="D163" s="50" t="s">
        <v>14</v>
      </c>
      <c r="E163" s="22">
        <f t="shared" si="14"/>
        <v>0.65</v>
      </c>
      <c r="F163" s="12">
        <v>1</v>
      </c>
      <c r="G163" s="9">
        <f t="shared" si="12"/>
        <v>0</v>
      </c>
      <c r="H163" s="9">
        <f t="shared" si="13"/>
        <v>0</v>
      </c>
      <c r="I163" s="205"/>
      <c r="J163" s="206"/>
      <c r="K163" s="206"/>
      <c r="L163" s="206"/>
      <c r="M163" s="207"/>
    </row>
    <row r="164" spans="2:13" ht="18" customHeight="1" thickBot="1" x14ac:dyDescent="0.45">
      <c r="B164" s="318"/>
      <c r="C164" s="61" t="s">
        <v>135</v>
      </c>
      <c r="D164" s="61" t="s">
        <v>136</v>
      </c>
      <c r="E164" s="62">
        <f t="shared" si="14"/>
        <v>13</v>
      </c>
      <c r="F164" s="27">
        <v>20</v>
      </c>
      <c r="G164" s="29">
        <f t="shared" si="12"/>
        <v>0</v>
      </c>
      <c r="H164" s="29">
        <f t="shared" si="13"/>
        <v>0</v>
      </c>
      <c r="I164" s="319" t="s">
        <v>115</v>
      </c>
      <c r="J164" s="319"/>
      <c r="K164" s="319"/>
      <c r="L164" s="319"/>
      <c r="M164" s="320"/>
    </row>
    <row r="165" spans="2:13" ht="80.099999999999994" customHeight="1" thickTop="1" x14ac:dyDescent="0.4">
      <c r="B165" s="161"/>
      <c r="C165" s="161"/>
      <c r="D165" s="161"/>
      <c r="E165" s="161"/>
      <c r="F165" s="161"/>
      <c r="G165" s="161"/>
      <c r="H165" s="161"/>
      <c r="I165" s="161"/>
      <c r="J165" s="161"/>
      <c r="K165" s="161"/>
      <c r="L165" s="161"/>
      <c r="M165" s="161"/>
    </row>
  </sheetData>
  <mergeCells count="108">
    <mergeCell ref="I82:M82"/>
    <mergeCell ref="B83:B103"/>
    <mergeCell ref="C83:C90"/>
    <mergeCell ref="I83:M90"/>
    <mergeCell ref="C92:C98"/>
    <mergeCell ref="I92:M98"/>
    <mergeCell ref="C99:C102"/>
    <mergeCell ref="I99:M102"/>
    <mergeCell ref="I103:M103"/>
    <mergeCell ref="I91:M91"/>
    <mergeCell ref="C2:C3"/>
    <mergeCell ref="F2:M3"/>
    <mergeCell ref="B4:M6"/>
    <mergeCell ref="B7:M7"/>
    <mergeCell ref="B8:B9"/>
    <mergeCell ref="C8:C9"/>
    <mergeCell ref="D8:D9"/>
    <mergeCell ref="E8:F8"/>
    <mergeCell ref="G8:H8"/>
    <mergeCell ref="I8:M9"/>
    <mergeCell ref="I10:M10"/>
    <mergeCell ref="I11:M11"/>
    <mergeCell ref="C12:C16"/>
    <mergeCell ref="I12:M16"/>
    <mergeCell ref="C17:C26"/>
    <mergeCell ref="I17:M26"/>
    <mergeCell ref="C27:C30"/>
    <mergeCell ref="I27:M30"/>
    <mergeCell ref="I31:M31"/>
    <mergeCell ref="C32:C35"/>
    <mergeCell ref="I32:M35"/>
    <mergeCell ref="B36:M36"/>
    <mergeCell ref="B11:B31"/>
    <mergeCell ref="B32:B35"/>
    <mergeCell ref="B38:M38"/>
    <mergeCell ref="B39:B40"/>
    <mergeCell ref="C39:C40"/>
    <mergeCell ref="D39:D40"/>
    <mergeCell ref="E39:F39"/>
    <mergeCell ref="G39:H39"/>
    <mergeCell ref="I39:M40"/>
    <mergeCell ref="B41:B44"/>
    <mergeCell ref="C41:C44"/>
    <mergeCell ref="I41:M44"/>
    <mergeCell ref="B45:B67"/>
    <mergeCell ref="C45:C46"/>
    <mergeCell ref="I45:M46"/>
    <mergeCell ref="C47:C54"/>
    <mergeCell ref="I47:M54"/>
    <mergeCell ref="C55:C60"/>
    <mergeCell ref="I55:M60"/>
    <mergeCell ref="C61:C66"/>
    <mergeCell ref="I61:M66"/>
    <mergeCell ref="I67:M67"/>
    <mergeCell ref="B68:B76"/>
    <mergeCell ref="C68:C76"/>
    <mergeCell ref="I68:M76"/>
    <mergeCell ref="B77:M77"/>
    <mergeCell ref="B79:M79"/>
    <mergeCell ref="B80:B81"/>
    <mergeCell ref="C80:C81"/>
    <mergeCell ref="D80:D81"/>
    <mergeCell ref="E80:F80"/>
    <mergeCell ref="G80:H80"/>
    <mergeCell ref="I80:M81"/>
    <mergeCell ref="B104:B105"/>
    <mergeCell ref="I104:M104"/>
    <mergeCell ref="I105:M105"/>
    <mergeCell ref="B106:M106"/>
    <mergeCell ref="B108:M108"/>
    <mergeCell ref="B109:B110"/>
    <mergeCell ref="C109:C110"/>
    <mergeCell ref="D109:D110"/>
    <mergeCell ref="E109:F109"/>
    <mergeCell ref="G109:H109"/>
    <mergeCell ref="I109:M110"/>
    <mergeCell ref="I111:M111"/>
    <mergeCell ref="B112:B133"/>
    <mergeCell ref="C112:C113"/>
    <mergeCell ref="I112:M113"/>
    <mergeCell ref="C114:C120"/>
    <mergeCell ref="I114:M120"/>
    <mergeCell ref="C121:C127"/>
    <mergeCell ref="I121:M127"/>
    <mergeCell ref="C128:C132"/>
    <mergeCell ref="I128:M132"/>
    <mergeCell ref="I133:M133"/>
    <mergeCell ref="B165:M165"/>
    <mergeCell ref="I141:M141"/>
    <mergeCell ref="B142:B164"/>
    <mergeCell ref="B134:B135"/>
    <mergeCell ref="C142:C152"/>
    <mergeCell ref="I142:M152"/>
    <mergeCell ref="C153:C158"/>
    <mergeCell ref="I153:M158"/>
    <mergeCell ref="C159:C163"/>
    <mergeCell ref="I159:M163"/>
    <mergeCell ref="I164:M164"/>
    <mergeCell ref="I134:M134"/>
    <mergeCell ref="I135:M135"/>
    <mergeCell ref="B136:M136"/>
    <mergeCell ref="B138:M138"/>
    <mergeCell ref="B139:B140"/>
    <mergeCell ref="C139:C140"/>
    <mergeCell ref="D139:D140"/>
    <mergeCell ref="E139:F139"/>
    <mergeCell ref="G139:H139"/>
    <mergeCell ref="I139:M140"/>
  </mergeCells>
  <phoneticPr fontId="2" type="noConversion"/>
  <pageMargins left="0.25" right="0.25" top="0.75" bottom="0.75" header="0.3" footer="0.3"/>
  <rowBreaks count="5" manualBreakCount="5">
    <brk id="41" min="1" max="12" man="1"/>
    <brk id="83" min="1" max="12" man="1"/>
    <brk id="116" min="1" max="12" man="1"/>
    <brk id="152" min="1" max="12" man="1"/>
    <brk id="186" min="1" max="12" man="1"/>
  </rowBreak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E4360-9AD2-4F79-A33B-79A466734E5D}">
  <sheetPr>
    <pageSetUpPr fitToPage="1"/>
  </sheetPr>
  <dimension ref="B1:M126"/>
  <sheetViews>
    <sheetView zoomScaleNormal="100" zoomScaleSheetLayoutView="70" workbookViewId="0">
      <selection activeCell="O174" sqref="O174"/>
    </sheetView>
  </sheetViews>
  <sheetFormatPr defaultColWidth="9" defaultRowHeight="17.399999999999999" x14ac:dyDescent="0.4"/>
  <cols>
    <col min="1" max="1" width="4.8984375" customWidth="1"/>
    <col min="2" max="2" width="9" style="1"/>
    <col min="3" max="3" width="18.59765625" style="1" customWidth="1"/>
    <col min="4" max="4" width="11.59765625" style="1" customWidth="1"/>
    <col min="5" max="12" width="9" style="1"/>
    <col min="13" max="13" width="9" style="1" customWidth="1"/>
  </cols>
  <sheetData>
    <row r="1" spans="2:13" ht="18" thickBot="1" x14ac:dyDescent="0.45"/>
    <row r="2" spans="2:13" ht="18" customHeight="1" thickTop="1" thickBot="1" x14ac:dyDescent="0.45">
      <c r="C2" s="128" t="s">
        <v>0</v>
      </c>
      <c r="D2" s="3" t="s">
        <v>1</v>
      </c>
      <c r="E2" s="4"/>
      <c r="F2" s="130" t="s">
        <v>109</v>
      </c>
      <c r="G2" s="131"/>
      <c r="H2" s="131"/>
      <c r="I2" s="131"/>
      <c r="J2" s="131"/>
      <c r="K2" s="131"/>
      <c r="L2" s="131"/>
      <c r="M2" s="131"/>
    </row>
    <row r="3" spans="2:13" ht="18" customHeight="1" thickTop="1" thickBot="1" x14ac:dyDescent="0.45">
      <c r="C3" s="129"/>
      <c r="D3" s="3" t="s">
        <v>2</v>
      </c>
      <c r="E3" s="2"/>
      <c r="F3" s="130"/>
      <c r="G3" s="131"/>
      <c r="H3" s="131"/>
      <c r="I3" s="131"/>
      <c r="J3" s="131"/>
      <c r="K3" s="131"/>
      <c r="L3" s="131"/>
      <c r="M3" s="131"/>
    </row>
    <row r="4" spans="2:13" ht="34.5" customHeight="1" thickTop="1" x14ac:dyDescent="0.4">
      <c r="B4" s="132" t="s">
        <v>98</v>
      </c>
      <c r="C4" s="132"/>
      <c r="D4" s="132"/>
      <c r="E4" s="132"/>
      <c r="F4" s="132"/>
      <c r="G4" s="132"/>
      <c r="H4" s="132"/>
      <c r="I4" s="132"/>
      <c r="J4" s="132"/>
      <c r="K4" s="132"/>
      <c r="L4" s="132"/>
      <c r="M4" s="132"/>
    </row>
    <row r="5" spans="2:13" ht="16.5" customHeight="1" x14ac:dyDescent="0.4"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</row>
    <row r="6" spans="2:13" ht="16.5" customHeight="1" thickBot="1" x14ac:dyDescent="0.45">
      <c r="B6" s="133"/>
      <c r="C6" s="133"/>
      <c r="D6" s="133"/>
      <c r="E6" s="133"/>
      <c r="F6" s="133"/>
      <c r="G6" s="133"/>
      <c r="H6" s="133"/>
      <c r="I6" s="133"/>
      <c r="J6" s="133"/>
      <c r="K6" s="133"/>
      <c r="L6" s="133"/>
      <c r="M6" s="133"/>
    </row>
    <row r="7" spans="2:13" ht="21" customHeight="1" thickTop="1" x14ac:dyDescent="0.4">
      <c r="B7" s="134" t="s">
        <v>438</v>
      </c>
      <c r="C7" s="135"/>
      <c r="D7" s="135"/>
      <c r="E7" s="135"/>
      <c r="F7" s="135"/>
      <c r="G7" s="135"/>
      <c r="H7" s="135"/>
      <c r="I7" s="135"/>
      <c r="J7" s="135"/>
      <c r="K7" s="135"/>
      <c r="L7" s="135"/>
      <c r="M7" s="136"/>
    </row>
    <row r="8" spans="2:13" ht="18" customHeight="1" x14ac:dyDescent="0.4">
      <c r="B8" s="137" t="s">
        <v>3</v>
      </c>
      <c r="C8" s="138" t="s">
        <v>4</v>
      </c>
      <c r="D8" s="138" t="s">
        <v>5</v>
      </c>
      <c r="E8" s="138" t="s">
        <v>6</v>
      </c>
      <c r="F8" s="138"/>
      <c r="G8" s="138" t="s">
        <v>7</v>
      </c>
      <c r="H8" s="138"/>
      <c r="I8" s="138" t="s">
        <v>8</v>
      </c>
      <c r="J8" s="138"/>
      <c r="K8" s="138"/>
      <c r="L8" s="138"/>
      <c r="M8" s="139"/>
    </row>
    <row r="9" spans="2:13" ht="18" customHeight="1" x14ac:dyDescent="0.4">
      <c r="B9" s="137"/>
      <c r="C9" s="138"/>
      <c r="D9" s="138"/>
      <c r="E9" s="5" t="s">
        <v>1</v>
      </c>
      <c r="F9" s="5" t="s">
        <v>2</v>
      </c>
      <c r="G9" s="6" t="s">
        <v>1</v>
      </c>
      <c r="H9" s="7" t="s">
        <v>2</v>
      </c>
      <c r="I9" s="138"/>
      <c r="J9" s="138"/>
      <c r="K9" s="138"/>
      <c r="L9" s="138"/>
      <c r="M9" s="139"/>
    </row>
    <row r="10" spans="2:13" ht="18" customHeight="1" x14ac:dyDescent="0.4">
      <c r="B10" s="102" t="s">
        <v>9</v>
      </c>
      <c r="C10" s="58" t="s">
        <v>439</v>
      </c>
      <c r="D10" s="9" t="s">
        <v>440</v>
      </c>
      <c r="E10" s="21">
        <f>F10*0.65</f>
        <v>65</v>
      </c>
      <c r="F10" s="36">
        <v>100</v>
      </c>
      <c r="G10" s="9">
        <f t="shared" ref="G10:G41" si="0">E10*E$2</f>
        <v>0</v>
      </c>
      <c r="H10" s="9">
        <f>E10*E$3</f>
        <v>0</v>
      </c>
      <c r="I10" s="163" t="s">
        <v>441</v>
      </c>
      <c r="J10" s="164"/>
      <c r="K10" s="164"/>
      <c r="L10" s="164"/>
      <c r="M10" s="165"/>
    </row>
    <row r="11" spans="2:13" ht="18" customHeight="1" x14ac:dyDescent="0.4">
      <c r="B11" s="103"/>
      <c r="C11" s="9" t="s">
        <v>278</v>
      </c>
      <c r="D11" s="14" t="s">
        <v>279</v>
      </c>
      <c r="E11" s="9">
        <v>100</v>
      </c>
      <c r="F11" s="15">
        <v>100</v>
      </c>
      <c r="G11" s="9">
        <f t="shared" si="0"/>
        <v>0</v>
      </c>
      <c r="H11" s="9">
        <f t="shared" ref="H11:H41" si="1">F11*E$3</f>
        <v>0</v>
      </c>
      <c r="I11" s="140"/>
      <c r="J11" s="141"/>
      <c r="K11" s="141"/>
      <c r="L11" s="141"/>
      <c r="M11" s="142"/>
    </row>
    <row r="12" spans="2:13" ht="18" customHeight="1" x14ac:dyDescent="0.4">
      <c r="B12" s="198" t="s">
        <v>12</v>
      </c>
      <c r="C12" s="172" t="s">
        <v>205</v>
      </c>
      <c r="D12" s="16" t="s">
        <v>43</v>
      </c>
      <c r="E12" s="17">
        <f t="shared" ref="E12:E41" si="2">F12*0.65</f>
        <v>32.5</v>
      </c>
      <c r="F12" s="39">
        <v>50</v>
      </c>
      <c r="G12" s="35">
        <f t="shared" si="0"/>
        <v>0</v>
      </c>
      <c r="H12" s="35">
        <f t="shared" si="1"/>
        <v>0</v>
      </c>
      <c r="I12" s="105" t="s">
        <v>101</v>
      </c>
      <c r="J12" s="105"/>
      <c r="K12" s="105"/>
      <c r="L12" s="105"/>
      <c r="M12" s="220"/>
    </row>
    <row r="13" spans="2:13" ht="18" customHeight="1" x14ac:dyDescent="0.4">
      <c r="B13" s="104"/>
      <c r="C13" s="219"/>
      <c r="D13" s="16" t="s">
        <v>82</v>
      </c>
      <c r="E13" s="17">
        <f t="shared" si="2"/>
        <v>1.625</v>
      </c>
      <c r="F13" s="16">
        <v>2.5</v>
      </c>
      <c r="G13" s="9">
        <f t="shared" si="0"/>
        <v>0</v>
      </c>
      <c r="H13" s="9">
        <f t="shared" si="1"/>
        <v>0</v>
      </c>
      <c r="I13" s="178"/>
      <c r="J13" s="178"/>
      <c r="K13" s="178"/>
      <c r="L13" s="178"/>
      <c r="M13" s="179"/>
    </row>
    <row r="14" spans="2:13" ht="18" customHeight="1" x14ac:dyDescent="0.4">
      <c r="B14" s="104"/>
      <c r="C14" s="106" t="s">
        <v>442</v>
      </c>
      <c r="D14" s="78" t="s">
        <v>443</v>
      </c>
      <c r="E14" s="17">
        <f t="shared" si="2"/>
        <v>22.75</v>
      </c>
      <c r="F14" s="78">
        <v>35</v>
      </c>
      <c r="G14" s="35">
        <f t="shared" si="0"/>
        <v>0</v>
      </c>
      <c r="H14" s="35">
        <f t="shared" si="1"/>
        <v>0</v>
      </c>
      <c r="I14" s="178" t="s">
        <v>444</v>
      </c>
      <c r="J14" s="178"/>
      <c r="K14" s="178"/>
      <c r="L14" s="178"/>
      <c r="M14" s="179"/>
    </row>
    <row r="15" spans="2:13" ht="18" customHeight="1" x14ac:dyDescent="0.4">
      <c r="B15" s="104"/>
      <c r="C15" s="146"/>
      <c r="D15" s="78" t="s">
        <v>445</v>
      </c>
      <c r="E15" s="17">
        <f t="shared" si="2"/>
        <v>4.875</v>
      </c>
      <c r="F15" s="78">
        <v>7.5</v>
      </c>
      <c r="G15" s="35">
        <f t="shared" si="0"/>
        <v>0</v>
      </c>
      <c r="H15" s="35">
        <f t="shared" si="1"/>
        <v>0</v>
      </c>
      <c r="I15" s="178"/>
      <c r="J15" s="178"/>
      <c r="K15" s="178"/>
      <c r="L15" s="178"/>
      <c r="M15" s="179"/>
    </row>
    <row r="16" spans="2:13" ht="18" customHeight="1" x14ac:dyDescent="0.4">
      <c r="B16" s="104"/>
      <c r="C16" s="146"/>
      <c r="D16" s="78" t="s">
        <v>158</v>
      </c>
      <c r="E16" s="21">
        <f t="shared" si="2"/>
        <v>1.9500000000000002</v>
      </c>
      <c r="F16" s="78">
        <v>3</v>
      </c>
      <c r="G16" s="35">
        <f t="shared" si="0"/>
        <v>0</v>
      </c>
      <c r="H16" s="35">
        <f t="shared" si="1"/>
        <v>0</v>
      </c>
      <c r="I16" s="178"/>
      <c r="J16" s="178"/>
      <c r="K16" s="178"/>
      <c r="L16" s="178"/>
      <c r="M16" s="179"/>
    </row>
    <row r="17" spans="2:13" ht="18" customHeight="1" x14ac:dyDescent="0.4">
      <c r="B17" s="104"/>
      <c r="C17" s="146"/>
      <c r="D17" s="78" t="s">
        <v>27</v>
      </c>
      <c r="E17" s="17">
        <f t="shared" si="2"/>
        <v>1.3</v>
      </c>
      <c r="F17" s="78">
        <v>2</v>
      </c>
      <c r="G17" s="35">
        <f t="shared" si="0"/>
        <v>0</v>
      </c>
      <c r="H17" s="35">
        <f t="shared" si="1"/>
        <v>0</v>
      </c>
      <c r="I17" s="178"/>
      <c r="J17" s="178"/>
      <c r="K17" s="178"/>
      <c r="L17" s="178"/>
      <c r="M17" s="179"/>
    </row>
    <row r="18" spans="2:13" ht="18" customHeight="1" x14ac:dyDescent="0.4">
      <c r="B18" s="104"/>
      <c r="C18" s="146"/>
      <c r="D18" s="78" t="s">
        <v>127</v>
      </c>
      <c r="E18" s="17">
        <f t="shared" si="2"/>
        <v>0.32500000000000001</v>
      </c>
      <c r="F18" s="78">
        <v>0.5</v>
      </c>
      <c r="G18" s="35">
        <f t="shared" si="0"/>
        <v>0</v>
      </c>
      <c r="H18" s="35">
        <f t="shared" si="1"/>
        <v>0</v>
      </c>
      <c r="I18" s="178"/>
      <c r="J18" s="178"/>
      <c r="K18" s="178"/>
      <c r="L18" s="178"/>
      <c r="M18" s="179"/>
    </row>
    <row r="19" spans="2:13" ht="18" customHeight="1" x14ac:dyDescent="0.4">
      <c r="B19" s="104"/>
      <c r="C19" s="333" t="s">
        <v>446</v>
      </c>
      <c r="D19" s="16" t="s">
        <v>90</v>
      </c>
      <c r="E19" s="21">
        <f t="shared" si="2"/>
        <v>26</v>
      </c>
      <c r="F19" s="16">
        <v>40</v>
      </c>
      <c r="G19" s="9">
        <f t="shared" si="0"/>
        <v>0</v>
      </c>
      <c r="H19" s="9">
        <f t="shared" si="1"/>
        <v>0</v>
      </c>
      <c r="I19" s="109" t="s">
        <v>447</v>
      </c>
      <c r="J19" s="110"/>
      <c r="K19" s="110"/>
      <c r="L19" s="110"/>
      <c r="M19" s="111"/>
    </row>
    <row r="20" spans="2:13" ht="18" customHeight="1" x14ac:dyDescent="0.4">
      <c r="B20" s="104"/>
      <c r="C20" s="219"/>
      <c r="D20" s="19" t="s">
        <v>22</v>
      </c>
      <c r="E20" s="17">
        <f t="shared" si="2"/>
        <v>6.5</v>
      </c>
      <c r="F20" s="16">
        <v>10</v>
      </c>
      <c r="G20" s="9">
        <f t="shared" si="0"/>
        <v>0</v>
      </c>
      <c r="H20" s="9">
        <f t="shared" si="1"/>
        <v>0</v>
      </c>
      <c r="I20" s="112"/>
      <c r="J20" s="113"/>
      <c r="K20" s="113"/>
      <c r="L20" s="113"/>
      <c r="M20" s="114"/>
    </row>
    <row r="21" spans="2:13" ht="18" customHeight="1" x14ac:dyDescent="0.4">
      <c r="B21" s="104"/>
      <c r="C21" s="219"/>
      <c r="D21" s="19" t="s">
        <v>23</v>
      </c>
      <c r="E21" s="17">
        <f t="shared" si="2"/>
        <v>6.5</v>
      </c>
      <c r="F21" s="16">
        <v>10</v>
      </c>
      <c r="G21" s="9">
        <f t="shared" si="0"/>
        <v>0</v>
      </c>
      <c r="H21" s="9">
        <f t="shared" si="1"/>
        <v>0</v>
      </c>
      <c r="I21" s="112"/>
      <c r="J21" s="113"/>
      <c r="K21" s="113"/>
      <c r="L21" s="113"/>
      <c r="M21" s="114"/>
    </row>
    <row r="22" spans="2:13" ht="18" customHeight="1" x14ac:dyDescent="0.4">
      <c r="B22" s="104"/>
      <c r="C22" s="219"/>
      <c r="D22" s="19" t="s">
        <v>24</v>
      </c>
      <c r="E22" s="17">
        <f t="shared" si="2"/>
        <v>1.3</v>
      </c>
      <c r="F22" s="16">
        <v>2</v>
      </c>
      <c r="G22" s="9">
        <f t="shared" si="0"/>
        <v>0</v>
      </c>
      <c r="H22" s="9">
        <f t="shared" si="1"/>
        <v>0</v>
      </c>
      <c r="I22" s="112"/>
      <c r="J22" s="113"/>
      <c r="K22" s="113"/>
      <c r="L22" s="113"/>
      <c r="M22" s="114"/>
    </row>
    <row r="23" spans="2:13" ht="18" customHeight="1" x14ac:dyDescent="0.4">
      <c r="B23" s="104"/>
      <c r="C23" s="219"/>
      <c r="D23" s="19" t="s">
        <v>18</v>
      </c>
      <c r="E23" s="17">
        <f t="shared" si="2"/>
        <v>3.25</v>
      </c>
      <c r="F23" s="16">
        <v>5</v>
      </c>
      <c r="G23" s="9">
        <f t="shared" si="0"/>
        <v>0</v>
      </c>
      <c r="H23" s="9">
        <f t="shared" si="1"/>
        <v>0</v>
      </c>
      <c r="I23" s="112"/>
      <c r="J23" s="113"/>
      <c r="K23" s="113"/>
      <c r="L23" s="113"/>
      <c r="M23" s="114"/>
    </row>
    <row r="24" spans="2:13" ht="18" customHeight="1" x14ac:dyDescent="0.4">
      <c r="B24" s="104"/>
      <c r="C24" s="219"/>
      <c r="D24" s="19" t="s">
        <v>17</v>
      </c>
      <c r="E24" s="21">
        <f t="shared" si="2"/>
        <v>1.9500000000000002</v>
      </c>
      <c r="F24" s="16">
        <v>3</v>
      </c>
      <c r="G24" s="9">
        <f t="shared" si="0"/>
        <v>0</v>
      </c>
      <c r="H24" s="9">
        <f t="shared" si="1"/>
        <v>0</v>
      </c>
      <c r="I24" s="112"/>
      <c r="J24" s="113"/>
      <c r="K24" s="113"/>
      <c r="L24" s="113"/>
      <c r="M24" s="114"/>
    </row>
    <row r="25" spans="2:13" ht="18" customHeight="1" x14ac:dyDescent="0.4">
      <c r="B25" s="104"/>
      <c r="C25" s="219"/>
      <c r="D25" s="19" t="s">
        <v>127</v>
      </c>
      <c r="E25" s="17">
        <f t="shared" si="2"/>
        <v>0.65</v>
      </c>
      <c r="F25" s="16">
        <v>1</v>
      </c>
      <c r="G25" s="9">
        <f t="shared" si="0"/>
        <v>0</v>
      </c>
      <c r="H25" s="9">
        <f t="shared" si="1"/>
        <v>0</v>
      </c>
      <c r="I25" s="112"/>
      <c r="J25" s="113"/>
      <c r="K25" s="113"/>
      <c r="L25" s="113"/>
      <c r="M25" s="114"/>
    </row>
    <row r="26" spans="2:13" ht="18" customHeight="1" x14ac:dyDescent="0.4">
      <c r="B26" s="104"/>
      <c r="C26" s="219"/>
      <c r="D26" s="19" t="s">
        <v>14</v>
      </c>
      <c r="E26" s="17">
        <f t="shared" si="2"/>
        <v>0.32500000000000001</v>
      </c>
      <c r="F26" s="16">
        <v>0.5</v>
      </c>
      <c r="G26" s="9">
        <f t="shared" si="0"/>
        <v>0</v>
      </c>
      <c r="H26" s="9">
        <f t="shared" si="1"/>
        <v>0</v>
      </c>
      <c r="I26" s="112"/>
      <c r="J26" s="113"/>
      <c r="K26" s="113"/>
      <c r="L26" s="113"/>
      <c r="M26" s="114"/>
    </row>
    <row r="27" spans="2:13" ht="18" customHeight="1" x14ac:dyDescent="0.4">
      <c r="B27" s="104"/>
      <c r="C27" s="219"/>
      <c r="D27" s="19" t="s">
        <v>15</v>
      </c>
      <c r="E27" s="17">
        <f t="shared" si="2"/>
        <v>0.32500000000000001</v>
      </c>
      <c r="F27" s="16">
        <v>0.5</v>
      </c>
      <c r="G27" s="9">
        <f t="shared" si="0"/>
        <v>0</v>
      </c>
      <c r="H27" s="9">
        <f t="shared" si="1"/>
        <v>0</v>
      </c>
      <c r="I27" s="112"/>
      <c r="J27" s="113"/>
      <c r="K27" s="113"/>
      <c r="L27" s="113"/>
      <c r="M27" s="114"/>
    </row>
    <row r="28" spans="2:13" ht="18" customHeight="1" x14ac:dyDescent="0.4">
      <c r="B28" s="104"/>
      <c r="C28" s="219"/>
      <c r="D28" s="19" t="s">
        <v>36</v>
      </c>
      <c r="E28" s="17">
        <f t="shared" si="2"/>
        <v>0.13</v>
      </c>
      <c r="F28" s="16">
        <v>0.2</v>
      </c>
      <c r="G28" s="9">
        <f t="shared" si="0"/>
        <v>0</v>
      </c>
      <c r="H28" s="9">
        <f t="shared" si="1"/>
        <v>0</v>
      </c>
      <c r="I28" s="112"/>
      <c r="J28" s="113"/>
      <c r="K28" s="113"/>
      <c r="L28" s="113"/>
      <c r="M28" s="114"/>
    </row>
    <row r="29" spans="2:13" ht="18" customHeight="1" x14ac:dyDescent="0.4">
      <c r="B29" s="104"/>
      <c r="C29" s="219"/>
      <c r="D29" s="19" t="s">
        <v>19</v>
      </c>
      <c r="E29" s="17">
        <f t="shared" si="2"/>
        <v>1.3</v>
      </c>
      <c r="F29" s="16">
        <v>2</v>
      </c>
      <c r="G29" s="9">
        <f t="shared" si="0"/>
        <v>0</v>
      </c>
      <c r="H29" s="9">
        <f t="shared" si="1"/>
        <v>0</v>
      </c>
      <c r="I29" s="112"/>
      <c r="J29" s="113"/>
      <c r="K29" s="113"/>
      <c r="L29" s="113"/>
      <c r="M29" s="114"/>
    </row>
    <row r="30" spans="2:13" ht="18" customHeight="1" x14ac:dyDescent="0.4">
      <c r="B30" s="104"/>
      <c r="C30" s="126" t="s">
        <v>448</v>
      </c>
      <c r="D30" s="16" t="s">
        <v>181</v>
      </c>
      <c r="E30" s="9">
        <f t="shared" si="2"/>
        <v>13</v>
      </c>
      <c r="F30" s="16">
        <v>20</v>
      </c>
      <c r="G30" s="9">
        <f t="shared" si="0"/>
        <v>0</v>
      </c>
      <c r="H30" s="9">
        <f t="shared" si="1"/>
        <v>0</v>
      </c>
      <c r="I30" s="109" t="s">
        <v>449</v>
      </c>
      <c r="J30" s="110"/>
      <c r="K30" s="110"/>
      <c r="L30" s="110"/>
      <c r="M30" s="111"/>
    </row>
    <row r="31" spans="2:13" ht="18" customHeight="1" x14ac:dyDescent="0.4">
      <c r="B31" s="104"/>
      <c r="C31" s="127"/>
      <c r="D31" s="16" t="s">
        <v>450</v>
      </c>
      <c r="E31" s="23">
        <f t="shared" si="2"/>
        <v>9.75</v>
      </c>
      <c r="F31" s="16">
        <v>15</v>
      </c>
      <c r="G31" s="9">
        <f t="shared" si="0"/>
        <v>0</v>
      </c>
      <c r="H31" s="9">
        <f t="shared" si="1"/>
        <v>0</v>
      </c>
      <c r="I31" s="112"/>
      <c r="J31" s="113"/>
      <c r="K31" s="113"/>
      <c r="L31" s="113"/>
      <c r="M31" s="114"/>
    </row>
    <row r="32" spans="2:13" ht="18" customHeight="1" x14ac:dyDescent="0.4">
      <c r="B32" s="104"/>
      <c r="C32" s="127"/>
      <c r="D32" s="16" t="s">
        <v>158</v>
      </c>
      <c r="E32" s="26">
        <f t="shared" si="2"/>
        <v>1.9500000000000002</v>
      </c>
      <c r="F32" s="16">
        <v>3</v>
      </c>
      <c r="G32" s="9">
        <f t="shared" si="0"/>
        <v>0</v>
      </c>
      <c r="H32" s="9">
        <f t="shared" si="1"/>
        <v>0</v>
      </c>
      <c r="I32" s="112"/>
      <c r="J32" s="113"/>
      <c r="K32" s="113"/>
      <c r="L32" s="113"/>
      <c r="M32" s="114"/>
    </row>
    <row r="33" spans="2:13" ht="18" customHeight="1" x14ac:dyDescent="0.4">
      <c r="B33" s="104"/>
      <c r="C33" s="127"/>
      <c r="D33" s="16" t="s">
        <v>133</v>
      </c>
      <c r="E33" s="23">
        <f t="shared" si="2"/>
        <v>0.19500000000000001</v>
      </c>
      <c r="F33" s="16">
        <v>0.3</v>
      </c>
      <c r="G33" s="9">
        <f t="shared" si="0"/>
        <v>0</v>
      </c>
      <c r="H33" s="9">
        <f t="shared" si="1"/>
        <v>0</v>
      </c>
      <c r="I33" s="112"/>
      <c r="J33" s="113"/>
      <c r="K33" s="113"/>
      <c r="L33" s="113"/>
      <c r="M33" s="114"/>
    </row>
    <row r="34" spans="2:13" ht="18" customHeight="1" x14ac:dyDescent="0.4">
      <c r="B34" s="104"/>
      <c r="C34" s="127"/>
      <c r="D34" s="16" t="s">
        <v>165</v>
      </c>
      <c r="E34" s="23">
        <f t="shared" si="2"/>
        <v>0.13</v>
      </c>
      <c r="F34" s="16">
        <v>0.2</v>
      </c>
      <c r="G34" s="9">
        <f t="shared" si="0"/>
        <v>0</v>
      </c>
      <c r="H34" s="9">
        <f t="shared" si="1"/>
        <v>0</v>
      </c>
      <c r="I34" s="112"/>
      <c r="J34" s="113"/>
      <c r="K34" s="113"/>
      <c r="L34" s="113"/>
      <c r="M34" s="114"/>
    </row>
    <row r="35" spans="2:13" ht="18" customHeight="1" x14ac:dyDescent="0.4">
      <c r="B35" s="104"/>
      <c r="C35" s="127"/>
      <c r="D35" s="16" t="s">
        <v>134</v>
      </c>
      <c r="E35" s="23">
        <f t="shared" si="2"/>
        <v>6.5000000000000002E-2</v>
      </c>
      <c r="F35" s="16">
        <v>0.1</v>
      </c>
      <c r="G35" s="9">
        <f t="shared" si="0"/>
        <v>0</v>
      </c>
      <c r="H35" s="9">
        <f t="shared" si="1"/>
        <v>0</v>
      </c>
      <c r="I35" s="112"/>
      <c r="J35" s="113"/>
      <c r="K35" s="113"/>
      <c r="L35" s="113"/>
      <c r="M35" s="114"/>
    </row>
    <row r="36" spans="2:13" ht="18" customHeight="1" x14ac:dyDescent="0.4">
      <c r="B36" s="104"/>
      <c r="C36" s="127"/>
      <c r="D36" s="16" t="s">
        <v>166</v>
      </c>
      <c r="E36" s="23">
        <f t="shared" si="2"/>
        <v>6.5000000000000002E-2</v>
      </c>
      <c r="F36" s="16">
        <v>0.1</v>
      </c>
      <c r="G36" s="9">
        <f t="shared" si="0"/>
        <v>0</v>
      </c>
      <c r="H36" s="9">
        <f t="shared" si="1"/>
        <v>0</v>
      </c>
      <c r="I36" s="115"/>
      <c r="J36" s="116"/>
      <c r="K36" s="116"/>
      <c r="L36" s="116"/>
      <c r="M36" s="117"/>
    </row>
    <row r="37" spans="2:13" ht="18" customHeight="1" x14ac:dyDescent="0.4">
      <c r="B37" s="104"/>
      <c r="C37" s="83" t="s">
        <v>337</v>
      </c>
      <c r="D37" s="83" t="s">
        <v>338</v>
      </c>
      <c r="E37" s="21">
        <f t="shared" si="2"/>
        <v>13</v>
      </c>
      <c r="F37" s="16">
        <v>20</v>
      </c>
      <c r="G37" s="9">
        <f t="shared" si="0"/>
        <v>0</v>
      </c>
      <c r="H37" s="9">
        <f t="shared" si="1"/>
        <v>0</v>
      </c>
      <c r="I37" s="305" t="s">
        <v>113</v>
      </c>
      <c r="J37" s="305"/>
      <c r="K37" s="305"/>
      <c r="L37" s="305"/>
      <c r="M37" s="306"/>
    </row>
    <row r="38" spans="2:13" ht="18" customHeight="1" x14ac:dyDescent="0.4">
      <c r="B38" s="153" t="s">
        <v>11</v>
      </c>
      <c r="C38" s="244" t="s">
        <v>451</v>
      </c>
      <c r="D38" s="50" t="s">
        <v>43</v>
      </c>
      <c r="E38" s="11">
        <f t="shared" si="2"/>
        <v>26</v>
      </c>
      <c r="F38" s="50">
        <v>40</v>
      </c>
      <c r="G38" s="9">
        <f t="shared" si="0"/>
        <v>0</v>
      </c>
      <c r="H38" s="9">
        <f t="shared" si="1"/>
        <v>0</v>
      </c>
      <c r="I38" s="199" t="s">
        <v>452</v>
      </c>
      <c r="J38" s="200"/>
      <c r="K38" s="200"/>
      <c r="L38" s="200"/>
      <c r="M38" s="201"/>
    </row>
    <row r="39" spans="2:13" ht="18" customHeight="1" x14ac:dyDescent="0.4">
      <c r="B39" s="154"/>
      <c r="C39" s="296"/>
      <c r="D39" s="50" t="s">
        <v>69</v>
      </c>
      <c r="E39" s="21">
        <f t="shared" si="2"/>
        <v>1.9500000000000002</v>
      </c>
      <c r="F39" s="50">
        <v>3</v>
      </c>
      <c r="G39" s="9">
        <f t="shared" si="0"/>
        <v>0</v>
      </c>
      <c r="H39" s="9">
        <f t="shared" si="1"/>
        <v>0</v>
      </c>
      <c r="I39" s="202"/>
      <c r="J39" s="203"/>
      <c r="K39" s="203"/>
      <c r="L39" s="203"/>
      <c r="M39" s="204"/>
    </row>
    <row r="40" spans="2:13" ht="18" customHeight="1" x14ac:dyDescent="0.4">
      <c r="B40" s="154"/>
      <c r="C40" s="296"/>
      <c r="D40" s="50" t="s">
        <v>13</v>
      </c>
      <c r="E40" s="22">
        <f t="shared" si="2"/>
        <v>0.13</v>
      </c>
      <c r="F40" s="50">
        <v>0.2</v>
      </c>
      <c r="G40" s="9">
        <f t="shared" si="0"/>
        <v>0</v>
      </c>
      <c r="H40" s="9">
        <f t="shared" si="1"/>
        <v>0</v>
      </c>
      <c r="I40" s="202"/>
      <c r="J40" s="203"/>
      <c r="K40" s="203"/>
      <c r="L40" s="203"/>
      <c r="M40" s="204"/>
    </row>
    <row r="41" spans="2:13" ht="18" customHeight="1" thickBot="1" x14ac:dyDescent="0.45">
      <c r="B41" s="155"/>
      <c r="C41" s="321"/>
      <c r="D41" s="72" t="s">
        <v>14</v>
      </c>
      <c r="E41" s="43">
        <f t="shared" si="2"/>
        <v>0.65</v>
      </c>
      <c r="F41" s="72">
        <v>1</v>
      </c>
      <c r="G41" s="29">
        <f t="shared" si="0"/>
        <v>0</v>
      </c>
      <c r="H41" s="29">
        <f t="shared" si="1"/>
        <v>0</v>
      </c>
      <c r="I41" s="255"/>
      <c r="J41" s="256"/>
      <c r="K41" s="256"/>
      <c r="L41" s="256"/>
      <c r="M41" s="257"/>
    </row>
    <row r="42" spans="2:13" ht="80.099999999999994" customHeight="1" thickTop="1" x14ac:dyDescent="0.4">
      <c r="B42" s="161"/>
      <c r="C42" s="161"/>
      <c r="D42" s="161"/>
      <c r="E42" s="161"/>
      <c r="F42" s="161"/>
      <c r="G42" s="161"/>
      <c r="H42" s="161"/>
      <c r="I42" s="161"/>
      <c r="J42" s="161"/>
      <c r="K42" s="161"/>
      <c r="L42" s="161"/>
      <c r="M42" s="161"/>
    </row>
    <row r="43" spans="2:13" ht="17.25" customHeight="1" thickBot="1" x14ac:dyDescent="0.45"/>
    <row r="44" spans="2:13" ht="21" customHeight="1" thickTop="1" x14ac:dyDescent="0.4">
      <c r="B44" s="183" t="s">
        <v>453</v>
      </c>
      <c r="C44" s="184"/>
      <c r="D44" s="184"/>
      <c r="E44" s="184"/>
      <c r="F44" s="184"/>
      <c r="G44" s="184"/>
      <c r="H44" s="184"/>
      <c r="I44" s="184"/>
      <c r="J44" s="184"/>
      <c r="K44" s="184"/>
      <c r="L44" s="184"/>
      <c r="M44" s="185"/>
    </row>
    <row r="45" spans="2:13" ht="18" customHeight="1" x14ac:dyDescent="0.4">
      <c r="B45" s="137" t="s">
        <v>3</v>
      </c>
      <c r="C45" s="138" t="s">
        <v>4</v>
      </c>
      <c r="D45" s="138" t="s">
        <v>5</v>
      </c>
      <c r="E45" s="138" t="s">
        <v>6</v>
      </c>
      <c r="F45" s="138"/>
      <c r="G45" s="138" t="s">
        <v>7</v>
      </c>
      <c r="H45" s="138"/>
      <c r="I45" s="138" t="s">
        <v>8</v>
      </c>
      <c r="J45" s="138"/>
      <c r="K45" s="138"/>
      <c r="L45" s="138"/>
      <c r="M45" s="139"/>
    </row>
    <row r="46" spans="2:13" ht="18" customHeight="1" x14ac:dyDescent="0.4">
      <c r="B46" s="137"/>
      <c r="C46" s="138"/>
      <c r="D46" s="138"/>
      <c r="E46" s="5" t="s">
        <v>1</v>
      </c>
      <c r="F46" s="5" t="s">
        <v>2</v>
      </c>
      <c r="G46" s="6" t="s">
        <v>1</v>
      </c>
      <c r="H46" s="7" t="s">
        <v>2</v>
      </c>
      <c r="I46" s="138"/>
      <c r="J46" s="138"/>
      <c r="K46" s="138"/>
      <c r="L46" s="138"/>
      <c r="M46" s="139"/>
    </row>
    <row r="47" spans="2:13" ht="18" customHeight="1" x14ac:dyDescent="0.4">
      <c r="B47" s="102" t="s">
        <v>277</v>
      </c>
      <c r="C47" s="326" t="s">
        <v>454</v>
      </c>
      <c r="D47" s="9" t="s">
        <v>123</v>
      </c>
      <c r="E47" s="17">
        <f>F47*0.65</f>
        <v>16.25</v>
      </c>
      <c r="F47" s="36">
        <v>25</v>
      </c>
      <c r="G47" s="9">
        <f t="shared" ref="G47:G81" si="3">E47*E$2</f>
        <v>0</v>
      </c>
      <c r="H47" s="9">
        <f t="shared" ref="H47:H81" si="4">F47*E$3</f>
        <v>0</v>
      </c>
      <c r="I47" s="109" t="s">
        <v>455</v>
      </c>
      <c r="J47" s="110"/>
      <c r="K47" s="110"/>
      <c r="L47" s="110"/>
      <c r="M47" s="111"/>
    </row>
    <row r="48" spans="2:13" ht="18" customHeight="1" x14ac:dyDescent="0.4">
      <c r="B48" s="162"/>
      <c r="C48" s="171"/>
      <c r="D48" s="9" t="s">
        <v>456</v>
      </c>
      <c r="E48" s="17">
        <f>F48*0.65</f>
        <v>7.15</v>
      </c>
      <c r="F48" s="36">
        <v>11</v>
      </c>
      <c r="G48" s="9">
        <f t="shared" si="3"/>
        <v>0</v>
      </c>
      <c r="H48" s="9">
        <f t="shared" si="4"/>
        <v>0</v>
      </c>
      <c r="I48" s="112"/>
      <c r="J48" s="113"/>
      <c r="K48" s="113"/>
      <c r="L48" s="113"/>
      <c r="M48" s="114"/>
    </row>
    <row r="49" spans="2:13" ht="18" customHeight="1" x14ac:dyDescent="0.4">
      <c r="B49" s="103"/>
      <c r="C49" s="172"/>
      <c r="D49" s="9" t="s">
        <v>159</v>
      </c>
      <c r="E49" s="17">
        <f>F49*0.65</f>
        <v>0.13</v>
      </c>
      <c r="F49" s="36">
        <v>0.2</v>
      </c>
      <c r="G49" s="9">
        <f t="shared" si="3"/>
        <v>0</v>
      </c>
      <c r="H49" s="9">
        <f t="shared" si="4"/>
        <v>0</v>
      </c>
      <c r="I49" s="115"/>
      <c r="J49" s="116"/>
      <c r="K49" s="116"/>
      <c r="L49" s="116"/>
      <c r="M49" s="117"/>
    </row>
    <row r="50" spans="2:13" ht="18" customHeight="1" x14ac:dyDescent="0.4">
      <c r="B50" s="169" t="s">
        <v>10</v>
      </c>
      <c r="C50" s="219" t="s">
        <v>58</v>
      </c>
      <c r="D50" s="80" t="s">
        <v>43</v>
      </c>
      <c r="E50" s="9">
        <f>F50*0.7</f>
        <v>35</v>
      </c>
      <c r="F50" s="15">
        <v>50</v>
      </c>
      <c r="G50" s="9">
        <f t="shared" si="3"/>
        <v>0</v>
      </c>
      <c r="H50" s="9">
        <f t="shared" si="4"/>
        <v>0</v>
      </c>
      <c r="I50" s="120" t="s">
        <v>107</v>
      </c>
      <c r="J50" s="121"/>
      <c r="K50" s="121"/>
      <c r="L50" s="121"/>
      <c r="M50" s="122"/>
    </row>
    <row r="51" spans="2:13" ht="18" customHeight="1" x14ac:dyDescent="0.4">
      <c r="B51" s="170"/>
      <c r="C51" s="219"/>
      <c r="D51" s="80" t="s">
        <v>57</v>
      </c>
      <c r="E51" s="9">
        <f>F51*0.7</f>
        <v>3.5</v>
      </c>
      <c r="F51" s="15">
        <v>5</v>
      </c>
      <c r="G51" s="9">
        <f t="shared" si="3"/>
        <v>0</v>
      </c>
      <c r="H51" s="9">
        <f t="shared" si="4"/>
        <v>0</v>
      </c>
      <c r="I51" s="173"/>
      <c r="J51" s="174"/>
      <c r="K51" s="174"/>
      <c r="L51" s="174"/>
      <c r="M51" s="175"/>
    </row>
    <row r="52" spans="2:13" s="1" customFormat="1" ht="18" customHeight="1" x14ac:dyDescent="0.4">
      <c r="B52" s="170"/>
      <c r="C52" s="127" t="s">
        <v>457</v>
      </c>
      <c r="D52" s="16" t="s">
        <v>458</v>
      </c>
      <c r="E52" s="26">
        <f t="shared" ref="E52:E81" si="5">F52*0.65</f>
        <v>13</v>
      </c>
      <c r="F52" s="16">
        <v>20</v>
      </c>
      <c r="G52" s="9">
        <f t="shared" si="3"/>
        <v>0</v>
      </c>
      <c r="H52" s="9">
        <f t="shared" si="4"/>
        <v>0</v>
      </c>
      <c r="I52" s="266" t="s">
        <v>459</v>
      </c>
      <c r="J52" s="267"/>
      <c r="K52" s="267"/>
      <c r="L52" s="267"/>
      <c r="M52" s="268"/>
    </row>
    <row r="53" spans="2:13" s="1" customFormat="1" ht="18" customHeight="1" x14ac:dyDescent="0.4">
      <c r="B53" s="170"/>
      <c r="C53" s="127"/>
      <c r="D53" s="16" t="s">
        <v>22</v>
      </c>
      <c r="E53" s="23">
        <f t="shared" si="5"/>
        <v>3.25</v>
      </c>
      <c r="F53" s="16">
        <v>5</v>
      </c>
      <c r="G53" s="9">
        <f t="shared" si="3"/>
        <v>0</v>
      </c>
      <c r="H53" s="9">
        <f t="shared" si="4"/>
        <v>0</v>
      </c>
      <c r="I53" s="269"/>
      <c r="J53" s="270"/>
      <c r="K53" s="270"/>
      <c r="L53" s="270"/>
      <c r="M53" s="271"/>
    </row>
    <row r="54" spans="2:13" s="1" customFormat="1" ht="18" customHeight="1" x14ac:dyDescent="0.4">
      <c r="B54" s="170"/>
      <c r="C54" s="127"/>
      <c r="D54" s="16" t="s">
        <v>28</v>
      </c>
      <c r="E54" s="23">
        <f t="shared" si="5"/>
        <v>1.3</v>
      </c>
      <c r="F54" s="16">
        <v>2</v>
      </c>
      <c r="G54" s="9">
        <f t="shared" si="3"/>
        <v>0</v>
      </c>
      <c r="H54" s="9">
        <f t="shared" si="4"/>
        <v>0</v>
      </c>
      <c r="I54" s="269"/>
      <c r="J54" s="270"/>
      <c r="K54" s="270"/>
      <c r="L54" s="270"/>
      <c r="M54" s="271"/>
    </row>
    <row r="55" spans="2:13" s="1" customFormat="1" ht="18" customHeight="1" x14ac:dyDescent="0.4">
      <c r="B55" s="170"/>
      <c r="C55" s="127"/>
      <c r="D55" s="16" t="s">
        <v>27</v>
      </c>
      <c r="E55" s="23">
        <f t="shared" si="5"/>
        <v>1.3</v>
      </c>
      <c r="F55" s="16">
        <v>2</v>
      </c>
      <c r="G55" s="9">
        <f t="shared" si="3"/>
        <v>0</v>
      </c>
      <c r="H55" s="9">
        <f t="shared" si="4"/>
        <v>0</v>
      </c>
      <c r="I55" s="269"/>
      <c r="J55" s="270"/>
      <c r="K55" s="270"/>
      <c r="L55" s="270"/>
      <c r="M55" s="271"/>
    </row>
    <row r="56" spans="2:13" s="1" customFormat="1" ht="18" customHeight="1" x14ac:dyDescent="0.4">
      <c r="B56" s="170"/>
      <c r="C56" s="127"/>
      <c r="D56" s="16" t="s">
        <v>154</v>
      </c>
      <c r="E56" s="23">
        <f t="shared" si="5"/>
        <v>0.65</v>
      </c>
      <c r="F56" s="16">
        <v>1</v>
      </c>
      <c r="G56" s="9">
        <f t="shared" si="3"/>
        <v>0</v>
      </c>
      <c r="H56" s="9">
        <f t="shared" si="4"/>
        <v>0</v>
      </c>
      <c r="I56" s="269"/>
      <c r="J56" s="270"/>
      <c r="K56" s="270"/>
      <c r="L56" s="270"/>
      <c r="M56" s="271"/>
    </row>
    <row r="57" spans="2:13" s="1" customFormat="1" ht="18" customHeight="1" x14ac:dyDescent="0.4">
      <c r="B57" s="170"/>
      <c r="C57" s="127"/>
      <c r="D57" s="16" t="s">
        <v>14</v>
      </c>
      <c r="E57" s="23">
        <f t="shared" si="5"/>
        <v>0.65</v>
      </c>
      <c r="F57" s="16">
        <v>1</v>
      </c>
      <c r="G57" s="9">
        <f t="shared" si="3"/>
        <v>0</v>
      </c>
      <c r="H57" s="9">
        <f t="shared" si="4"/>
        <v>0</v>
      </c>
      <c r="I57" s="269"/>
      <c r="J57" s="270"/>
      <c r="K57" s="270"/>
      <c r="L57" s="270"/>
      <c r="M57" s="271"/>
    </row>
    <row r="58" spans="2:13" s="1" customFormat="1" ht="18" customHeight="1" x14ac:dyDescent="0.4">
      <c r="B58" s="170"/>
      <c r="C58" s="127"/>
      <c r="D58" s="16" t="s">
        <v>68</v>
      </c>
      <c r="E58" s="23">
        <f t="shared" si="5"/>
        <v>0.32500000000000001</v>
      </c>
      <c r="F58" s="16">
        <v>0.5</v>
      </c>
      <c r="G58" s="9">
        <f t="shared" si="3"/>
        <v>0</v>
      </c>
      <c r="H58" s="9">
        <f t="shared" si="4"/>
        <v>0</v>
      </c>
      <c r="I58" s="269"/>
      <c r="J58" s="270"/>
      <c r="K58" s="270"/>
      <c r="L58" s="270"/>
      <c r="M58" s="271"/>
    </row>
    <row r="59" spans="2:13" s="1" customFormat="1" ht="18" customHeight="1" x14ac:dyDescent="0.4">
      <c r="B59" s="170"/>
      <c r="C59" s="328"/>
      <c r="D59" s="16" t="s">
        <v>24</v>
      </c>
      <c r="E59" s="23">
        <f t="shared" si="5"/>
        <v>0.65</v>
      </c>
      <c r="F59" s="16">
        <v>1</v>
      </c>
      <c r="G59" s="9">
        <f t="shared" si="3"/>
        <v>0</v>
      </c>
      <c r="H59" s="9">
        <f t="shared" si="4"/>
        <v>0</v>
      </c>
      <c r="I59" s="275"/>
      <c r="J59" s="276"/>
      <c r="K59" s="276"/>
      <c r="L59" s="276"/>
      <c r="M59" s="277"/>
    </row>
    <row r="60" spans="2:13" ht="18" customHeight="1" x14ac:dyDescent="0.4">
      <c r="B60" s="170"/>
      <c r="C60" s="250" t="s">
        <v>460</v>
      </c>
      <c r="D60" s="50" t="s">
        <v>92</v>
      </c>
      <c r="E60" s="64">
        <f t="shared" si="5"/>
        <v>26</v>
      </c>
      <c r="F60" s="12">
        <v>40</v>
      </c>
      <c r="G60" s="9">
        <f t="shared" si="3"/>
        <v>0</v>
      </c>
      <c r="H60" s="9">
        <f t="shared" si="4"/>
        <v>0</v>
      </c>
      <c r="I60" s="199" t="s">
        <v>461</v>
      </c>
      <c r="J60" s="200"/>
      <c r="K60" s="200"/>
      <c r="L60" s="200"/>
      <c r="M60" s="201"/>
    </row>
    <row r="61" spans="2:13" ht="18" customHeight="1" x14ac:dyDescent="0.4">
      <c r="B61" s="170"/>
      <c r="C61" s="221"/>
      <c r="D61" s="50" t="s">
        <v>86</v>
      </c>
      <c r="E61" s="64">
        <f t="shared" si="5"/>
        <v>6.5</v>
      </c>
      <c r="F61" s="12">
        <v>10</v>
      </c>
      <c r="G61" s="9">
        <f t="shared" si="3"/>
        <v>0</v>
      </c>
      <c r="H61" s="9">
        <f t="shared" si="4"/>
        <v>0</v>
      </c>
      <c r="I61" s="202"/>
      <c r="J61" s="203"/>
      <c r="K61" s="203"/>
      <c r="L61" s="203"/>
      <c r="M61" s="204"/>
    </row>
    <row r="62" spans="2:13" ht="18" customHeight="1" x14ac:dyDescent="0.4">
      <c r="B62" s="170"/>
      <c r="C62" s="221"/>
      <c r="D62" s="50" t="s">
        <v>29</v>
      </c>
      <c r="E62" s="90">
        <f t="shared" si="5"/>
        <v>3.25</v>
      </c>
      <c r="F62" s="12">
        <v>5</v>
      </c>
      <c r="G62" s="9">
        <f t="shared" si="3"/>
        <v>0</v>
      </c>
      <c r="H62" s="9">
        <f t="shared" si="4"/>
        <v>0</v>
      </c>
      <c r="I62" s="202"/>
      <c r="J62" s="203"/>
      <c r="K62" s="203"/>
      <c r="L62" s="203"/>
      <c r="M62" s="204"/>
    </row>
    <row r="63" spans="2:13" ht="18" customHeight="1" x14ac:dyDescent="0.4">
      <c r="B63" s="170"/>
      <c r="C63" s="221"/>
      <c r="D63" s="50" t="s">
        <v>15</v>
      </c>
      <c r="E63" s="90">
        <f t="shared" si="5"/>
        <v>0.13</v>
      </c>
      <c r="F63" s="12">
        <v>0.2</v>
      </c>
      <c r="G63" s="9">
        <f t="shared" si="3"/>
        <v>0</v>
      </c>
      <c r="H63" s="9">
        <f t="shared" si="4"/>
        <v>0</v>
      </c>
      <c r="I63" s="202"/>
      <c r="J63" s="203"/>
      <c r="K63" s="203"/>
      <c r="L63" s="203"/>
      <c r="M63" s="204"/>
    </row>
    <row r="64" spans="2:13" ht="18" customHeight="1" x14ac:dyDescent="0.4">
      <c r="B64" s="170"/>
      <c r="C64" s="221"/>
      <c r="D64" s="50" t="s">
        <v>36</v>
      </c>
      <c r="E64" s="90">
        <f t="shared" si="5"/>
        <v>6.5000000000000002E-2</v>
      </c>
      <c r="F64" s="12">
        <v>0.1</v>
      </c>
      <c r="G64" s="9">
        <f t="shared" si="3"/>
        <v>0</v>
      </c>
      <c r="H64" s="9">
        <f t="shared" si="4"/>
        <v>0</v>
      </c>
      <c r="I64" s="202"/>
      <c r="J64" s="203"/>
      <c r="K64" s="203"/>
      <c r="L64" s="203"/>
      <c r="M64" s="204"/>
    </row>
    <row r="65" spans="2:13" ht="18" customHeight="1" x14ac:dyDescent="0.4">
      <c r="B65" s="170"/>
      <c r="C65" s="221"/>
      <c r="D65" s="50" t="s">
        <v>19</v>
      </c>
      <c r="E65" s="91">
        <f t="shared" si="5"/>
        <v>1.9500000000000002</v>
      </c>
      <c r="F65" s="12">
        <v>3</v>
      </c>
      <c r="G65" s="9">
        <f t="shared" si="3"/>
        <v>0</v>
      </c>
      <c r="H65" s="9">
        <f t="shared" si="4"/>
        <v>0</v>
      </c>
      <c r="I65" s="202"/>
      <c r="J65" s="203"/>
      <c r="K65" s="203"/>
      <c r="L65" s="203"/>
      <c r="M65" s="204"/>
    </row>
    <row r="66" spans="2:13" ht="18" customHeight="1" x14ac:dyDescent="0.4">
      <c r="B66" s="170"/>
      <c r="C66" s="250" t="s">
        <v>462</v>
      </c>
      <c r="D66" s="16" t="s">
        <v>284</v>
      </c>
      <c r="E66" s="22">
        <f t="shared" si="5"/>
        <v>19.5</v>
      </c>
      <c r="F66" s="16">
        <v>30</v>
      </c>
      <c r="G66" s="9">
        <f t="shared" si="3"/>
        <v>0</v>
      </c>
      <c r="H66" s="9">
        <f t="shared" si="4"/>
        <v>0</v>
      </c>
      <c r="I66" s="109" t="s">
        <v>463</v>
      </c>
      <c r="J66" s="110"/>
      <c r="K66" s="110"/>
      <c r="L66" s="110"/>
      <c r="M66" s="111"/>
    </row>
    <row r="67" spans="2:13" ht="18" customHeight="1" x14ac:dyDescent="0.4">
      <c r="B67" s="170"/>
      <c r="C67" s="221"/>
      <c r="D67" s="16" t="s">
        <v>91</v>
      </c>
      <c r="E67" s="22">
        <f t="shared" si="5"/>
        <v>0.65</v>
      </c>
      <c r="F67" s="16">
        <v>1</v>
      </c>
      <c r="G67" s="9">
        <f t="shared" si="3"/>
        <v>0</v>
      </c>
      <c r="H67" s="9">
        <f t="shared" si="4"/>
        <v>0</v>
      </c>
      <c r="I67" s="112"/>
      <c r="J67" s="113"/>
      <c r="K67" s="113"/>
      <c r="L67" s="113"/>
      <c r="M67" s="114"/>
    </row>
    <row r="68" spans="2:13" ht="18" customHeight="1" x14ac:dyDescent="0.4">
      <c r="B68" s="170"/>
      <c r="C68" s="221"/>
      <c r="D68" s="16" t="s">
        <v>24</v>
      </c>
      <c r="E68" s="22">
        <f t="shared" si="5"/>
        <v>0.32500000000000001</v>
      </c>
      <c r="F68" s="16">
        <v>0.5</v>
      </c>
      <c r="G68" s="9">
        <f t="shared" si="3"/>
        <v>0</v>
      </c>
      <c r="H68" s="9">
        <f t="shared" si="4"/>
        <v>0</v>
      </c>
      <c r="I68" s="112"/>
      <c r="J68" s="113"/>
      <c r="K68" s="113"/>
      <c r="L68" s="113"/>
      <c r="M68" s="114"/>
    </row>
    <row r="69" spans="2:13" ht="18" customHeight="1" x14ac:dyDescent="0.4">
      <c r="B69" s="170"/>
      <c r="C69" s="221"/>
      <c r="D69" s="16" t="s">
        <v>127</v>
      </c>
      <c r="E69" s="22">
        <f t="shared" si="5"/>
        <v>0.32500000000000001</v>
      </c>
      <c r="F69" s="16">
        <v>0.5</v>
      </c>
      <c r="G69" s="9">
        <f t="shared" si="3"/>
        <v>0</v>
      </c>
      <c r="H69" s="9">
        <f t="shared" si="4"/>
        <v>0</v>
      </c>
      <c r="I69" s="112"/>
      <c r="J69" s="113"/>
      <c r="K69" s="113"/>
      <c r="L69" s="113"/>
      <c r="M69" s="114"/>
    </row>
    <row r="70" spans="2:13" ht="18" customHeight="1" x14ac:dyDescent="0.4">
      <c r="B70" s="170"/>
      <c r="C70" s="221"/>
      <c r="D70" s="16" t="s">
        <v>15</v>
      </c>
      <c r="E70" s="22">
        <f t="shared" si="5"/>
        <v>0.32500000000000001</v>
      </c>
      <c r="F70" s="16">
        <v>0.5</v>
      </c>
      <c r="G70" s="9">
        <f t="shared" si="3"/>
        <v>0</v>
      </c>
      <c r="H70" s="9">
        <f t="shared" si="4"/>
        <v>0</v>
      </c>
      <c r="I70" s="112"/>
      <c r="J70" s="113"/>
      <c r="K70" s="113"/>
      <c r="L70" s="113"/>
      <c r="M70" s="114"/>
    </row>
    <row r="71" spans="2:13" ht="18" customHeight="1" x14ac:dyDescent="0.4">
      <c r="B71" s="170"/>
      <c r="C71" s="332"/>
      <c r="D71" s="16" t="s">
        <v>13</v>
      </c>
      <c r="E71" s="22">
        <f t="shared" si="5"/>
        <v>0.13</v>
      </c>
      <c r="F71" s="16">
        <v>0.2</v>
      </c>
      <c r="G71" s="9">
        <f t="shared" si="3"/>
        <v>0</v>
      </c>
      <c r="H71" s="9">
        <f t="shared" si="4"/>
        <v>0</v>
      </c>
      <c r="I71" s="115"/>
      <c r="J71" s="116"/>
      <c r="K71" s="116"/>
      <c r="L71" s="116"/>
      <c r="M71" s="117"/>
    </row>
    <row r="72" spans="2:13" ht="18" customHeight="1" x14ac:dyDescent="0.4">
      <c r="B72" s="38"/>
      <c r="C72" s="19" t="s">
        <v>135</v>
      </c>
      <c r="D72" s="19" t="s">
        <v>136</v>
      </c>
      <c r="E72" s="21">
        <f t="shared" si="5"/>
        <v>13</v>
      </c>
      <c r="F72" s="16">
        <v>20</v>
      </c>
      <c r="G72" s="9">
        <f t="shared" si="3"/>
        <v>0</v>
      </c>
      <c r="H72" s="9">
        <f t="shared" si="4"/>
        <v>0</v>
      </c>
      <c r="I72" s="205" t="s">
        <v>115</v>
      </c>
      <c r="J72" s="206"/>
      <c r="K72" s="206"/>
      <c r="L72" s="206"/>
      <c r="M72" s="207"/>
    </row>
    <row r="73" spans="2:13" s="65" customFormat="1" ht="18" customHeight="1" x14ac:dyDescent="0.4">
      <c r="B73" s="153" t="s">
        <v>138</v>
      </c>
      <c r="C73" s="186" t="s">
        <v>464</v>
      </c>
      <c r="D73" s="50" t="s">
        <v>83</v>
      </c>
      <c r="E73" s="21">
        <f t="shared" si="5"/>
        <v>13</v>
      </c>
      <c r="F73" s="11">
        <v>20</v>
      </c>
      <c r="G73" s="9">
        <f t="shared" si="3"/>
        <v>0</v>
      </c>
      <c r="H73" s="9">
        <f t="shared" si="4"/>
        <v>0</v>
      </c>
      <c r="I73" s="281" t="s">
        <v>465</v>
      </c>
      <c r="J73" s="282"/>
      <c r="K73" s="282"/>
      <c r="L73" s="282"/>
      <c r="M73" s="283"/>
    </row>
    <row r="74" spans="2:13" s="65" customFormat="1" ht="18" customHeight="1" x14ac:dyDescent="0.4">
      <c r="B74" s="154"/>
      <c r="C74" s="187"/>
      <c r="D74" s="50" t="s">
        <v>157</v>
      </c>
      <c r="E74" s="17">
        <f t="shared" si="5"/>
        <v>3.25</v>
      </c>
      <c r="F74" s="11">
        <v>5</v>
      </c>
      <c r="G74" s="9">
        <f t="shared" si="3"/>
        <v>0</v>
      </c>
      <c r="H74" s="9">
        <f t="shared" si="4"/>
        <v>0</v>
      </c>
      <c r="I74" s="284"/>
      <c r="J74" s="285"/>
      <c r="K74" s="285"/>
      <c r="L74" s="285"/>
      <c r="M74" s="286"/>
    </row>
    <row r="75" spans="2:13" s="65" customFormat="1" ht="18" customHeight="1" x14ac:dyDescent="0.4">
      <c r="B75" s="154"/>
      <c r="C75" s="187"/>
      <c r="D75" s="50" t="s">
        <v>466</v>
      </c>
      <c r="E75" s="17">
        <f t="shared" si="5"/>
        <v>3.25</v>
      </c>
      <c r="F75" s="11">
        <v>5</v>
      </c>
      <c r="G75" s="9">
        <f t="shared" si="3"/>
        <v>0</v>
      </c>
      <c r="H75" s="9">
        <f t="shared" si="4"/>
        <v>0</v>
      </c>
      <c r="I75" s="284"/>
      <c r="J75" s="285"/>
      <c r="K75" s="285"/>
      <c r="L75" s="285"/>
      <c r="M75" s="286"/>
    </row>
    <row r="76" spans="2:13" s="65" customFormat="1" ht="18" customHeight="1" x14ac:dyDescent="0.4">
      <c r="B76" s="154"/>
      <c r="C76" s="187"/>
      <c r="D76" s="50" t="s">
        <v>467</v>
      </c>
      <c r="E76" s="17">
        <f t="shared" si="5"/>
        <v>3.25</v>
      </c>
      <c r="F76" s="11">
        <v>5</v>
      </c>
      <c r="G76" s="9">
        <f t="shared" si="3"/>
        <v>0</v>
      </c>
      <c r="H76" s="9">
        <f t="shared" si="4"/>
        <v>0</v>
      </c>
      <c r="I76" s="284"/>
      <c r="J76" s="285"/>
      <c r="K76" s="285"/>
      <c r="L76" s="285"/>
      <c r="M76" s="286"/>
    </row>
    <row r="77" spans="2:13" s="65" customFormat="1" ht="18" customHeight="1" x14ac:dyDescent="0.4">
      <c r="B77" s="154"/>
      <c r="C77" s="187"/>
      <c r="D77" s="50" t="s">
        <v>468</v>
      </c>
      <c r="E77" s="17">
        <f t="shared" si="5"/>
        <v>6.5</v>
      </c>
      <c r="F77" s="11">
        <v>10</v>
      </c>
      <c r="G77" s="9">
        <f t="shared" si="3"/>
        <v>0</v>
      </c>
      <c r="H77" s="9">
        <f t="shared" si="4"/>
        <v>0</v>
      </c>
      <c r="I77" s="284"/>
      <c r="J77" s="285"/>
      <c r="K77" s="285"/>
      <c r="L77" s="285"/>
      <c r="M77" s="286"/>
    </row>
    <row r="78" spans="2:13" s="65" customFormat="1" ht="18" customHeight="1" x14ac:dyDescent="0.4">
      <c r="B78" s="154"/>
      <c r="C78" s="187"/>
      <c r="D78" s="50" t="s">
        <v>189</v>
      </c>
      <c r="E78" s="17">
        <f t="shared" si="5"/>
        <v>4.55</v>
      </c>
      <c r="F78" s="11">
        <v>7</v>
      </c>
      <c r="G78" s="9">
        <f t="shared" si="3"/>
        <v>0</v>
      </c>
      <c r="H78" s="9">
        <f t="shared" si="4"/>
        <v>0</v>
      </c>
      <c r="I78" s="284"/>
      <c r="J78" s="285"/>
      <c r="K78" s="285"/>
      <c r="L78" s="285"/>
      <c r="M78" s="286"/>
    </row>
    <row r="79" spans="2:13" s="65" customFormat="1" ht="18" customHeight="1" x14ac:dyDescent="0.4">
      <c r="B79" s="154"/>
      <c r="C79" s="187"/>
      <c r="D79" s="50" t="s">
        <v>469</v>
      </c>
      <c r="E79" s="17">
        <f t="shared" si="5"/>
        <v>3.25</v>
      </c>
      <c r="F79" s="11">
        <v>5</v>
      </c>
      <c r="G79" s="9">
        <f t="shared" si="3"/>
        <v>0</v>
      </c>
      <c r="H79" s="9">
        <f t="shared" si="4"/>
        <v>0</v>
      </c>
      <c r="I79" s="284"/>
      <c r="J79" s="285"/>
      <c r="K79" s="285"/>
      <c r="L79" s="285"/>
      <c r="M79" s="286"/>
    </row>
    <row r="80" spans="2:13" s="65" customFormat="1" ht="18" customHeight="1" x14ac:dyDescent="0.4">
      <c r="B80" s="154"/>
      <c r="C80" s="187"/>
      <c r="D80" s="50" t="s">
        <v>160</v>
      </c>
      <c r="E80" s="17">
        <f t="shared" si="5"/>
        <v>6.5000000000000002E-2</v>
      </c>
      <c r="F80" s="22">
        <v>0.1</v>
      </c>
      <c r="G80" s="9">
        <f t="shared" si="3"/>
        <v>0</v>
      </c>
      <c r="H80" s="9">
        <f t="shared" si="4"/>
        <v>0</v>
      </c>
      <c r="I80" s="284"/>
      <c r="J80" s="285"/>
      <c r="K80" s="285"/>
      <c r="L80" s="285"/>
      <c r="M80" s="286"/>
    </row>
    <row r="81" spans="2:13" s="65" customFormat="1" ht="18" customHeight="1" thickBot="1" x14ac:dyDescent="0.45">
      <c r="B81" s="155"/>
      <c r="C81" s="254"/>
      <c r="D81" s="72" t="s">
        <v>161</v>
      </c>
      <c r="E81" s="73">
        <f t="shared" si="5"/>
        <v>1.3</v>
      </c>
      <c r="F81" s="85">
        <v>2</v>
      </c>
      <c r="G81" s="29">
        <f t="shared" si="3"/>
        <v>0</v>
      </c>
      <c r="H81" s="29">
        <f t="shared" si="4"/>
        <v>0</v>
      </c>
      <c r="I81" s="329"/>
      <c r="J81" s="330"/>
      <c r="K81" s="330"/>
      <c r="L81" s="330"/>
      <c r="M81" s="331"/>
    </row>
    <row r="82" spans="2:13" ht="80.099999999999994" customHeight="1" thickTop="1" x14ac:dyDescent="0.4">
      <c r="B82" s="161"/>
      <c r="C82" s="161"/>
      <c r="D82" s="161"/>
      <c r="E82" s="161"/>
      <c r="F82" s="161"/>
      <c r="G82" s="161"/>
      <c r="H82" s="161"/>
      <c r="I82" s="161"/>
      <c r="J82" s="161"/>
      <c r="K82" s="161"/>
      <c r="L82" s="161"/>
      <c r="M82" s="161"/>
    </row>
    <row r="83" spans="2:13" ht="16.95" customHeight="1" thickBot="1" x14ac:dyDescent="0.45"/>
    <row r="84" spans="2:13" ht="21" customHeight="1" thickTop="1" x14ac:dyDescent="0.4">
      <c r="B84" s="183" t="s">
        <v>470</v>
      </c>
      <c r="C84" s="184"/>
      <c r="D84" s="184"/>
      <c r="E84" s="184"/>
      <c r="F84" s="184"/>
      <c r="G84" s="184"/>
      <c r="H84" s="184"/>
      <c r="I84" s="184"/>
      <c r="J84" s="184"/>
      <c r="K84" s="184"/>
      <c r="L84" s="184"/>
      <c r="M84" s="185"/>
    </row>
    <row r="85" spans="2:13" ht="18" customHeight="1" x14ac:dyDescent="0.4">
      <c r="B85" s="222" t="s">
        <v>3</v>
      </c>
      <c r="C85" s="224" t="s">
        <v>4</v>
      </c>
      <c r="D85" s="224" t="s">
        <v>5</v>
      </c>
      <c r="E85" s="211" t="s">
        <v>6</v>
      </c>
      <c r="F85" s="212"/>
      <c r="G85" s="211" t="s">
        <v>7</v>
      </c>
      <c r="H85" s="212"/>
      <c r="I85" s="213" t="s">
        <v>8</v>
      </c>
      <c r="J85" s="214"/>
      <c r="K85" s="214"/>
      <c r="L85" s="214"/>
      <c r="M85" s="215"/>
    </row>
    <row r="86" spans="2:13" ht="18" customHeight="1" x14ac:dyDescent="0.4">
      <c r="B86" s="223"/>
      <c r="C86" s="225"/>
      <c r="D86" s="225"/>
      <c r="E86" s="5" t="s">
        <v>1</v>
      </c>
      <c r="F86" s="5" t="s">
        <v>2</v>
      </c>
      <c r="G86" s="6" t="s">
        <v>1</v>
      </c>
      <c r="H86" s="7" t="s">
        <v>2</v>
      </c>
      <c r="I86" s="216"/>
      <c r="J86" s="217"/>
      <c r="K86" s="217"/>
      <c r="L86" s="217"/>
      <c r="M86" s="218"/>
    </row>
    <row r="87" spans="2:13" ht="18" customHeight="1" x14ac:dyDescent="0.4">
      <c r="B87" s="8" t="s">
        <v>277</v>
      </c>
      <c r="C87" s="58" t="s">
        <v>203</v>
      </c>
      <c r="D87" s="58" t="s">
        <v>203</v>
      </c>
      <c r="E87" s="17">
        <f t="shared" ref="E87:E113" si="6">F87*0.65</f>
        <v>32.5</v>
      </c>
      <c r="F87" s="36">
        <v>50</v>
      </c>
      <c r="G87" s="9">
        <f t="shared" ref="G87:G114" si="7">E87*E$2</f>
        <v>0</v>
      </c>
      <c r="H87" s="9">
        <f>E87*E$3</f>
        <v>0</v>
      </c>
      <c r="I87" s="163" t="s">
        <v>204</v>
      </c>
      <c r="J87" s="164"/>
      <c r="K87" s="164"/>
      <c r="L87" s="164"/>
      <c r="M87" s="165"/>
    </row>
    <row r="88" spans="2:13" ht="18" customHeight="1" x14ac:dyDescent="0.4">
      <c r="B88" s="169" t="s">
        <v>10</v>
      </c>
      <c r="C88" s="326" t="s">
        <v>471</v>
      </c>
      <c r="D88" s="9" t="s">
        <v>43</v>
      </c>
      <c r="E88" s="22">
        <f t="shared" si="6"/>
        <v>32.5</v>
      </c>
      <c r="F88" s="9">
        <v>50</v>
      </c>
      <c r="G88" s="9">
        <f t="shared" si="7"/>
        <v>0</v>
      </c>
      <c r="H88" s="9">
        <f t="shared" ref="H88:H114" si="8">F88*E$3</f>
        <v>0</v>
      </c>
      <c r="I88" s="109" t="s">
        <v>472</v>
      </c>
      <c r="J88" s="110"/>
      <c r="K88" s="110"/>
      <c r="L88" s="110"/>
      <c r="M88" s="111"/>
    </row>
    <row r="89" spans="2:13" ht="18" customHeight="1" x14ac:dyDescent="0.4">
      <c r="B89" s="170"/>
      <c r="C89" s="171"/>
      <c r="D89" s="9" t="s">
        <v>227</v>
      </c>
      <c r="E89" s="22">
        <f t="shared" si="6"/>
        <v>19.5</v>
      </c>
      <c r="F89" s="9">
        <v>30</v>
      </c>
      <c r="G89" s="9">
        <f t="shared" si="7"/>
        <v>0</v>
      </c>
      <c r="H89" s="9">
        <f t="shared" si="8"/>
        <v>0</v>
      </c>
      <c r="I89" s="112"/>
      <c r="J89" s="113"/>
      <c r="K89" s="113"/>
      <c r="L89" s="113"/>
      <c r="M89" s="114"/>
    </row>
    <row r="90" spans="2:13" ht="18" customHeight="1" x14ac:dyDescent="0.4">
      <c r="B90" s="170"/>
      <c r="C90" s="171"/>
      <c r="D90" s="92" t="s">
        <v>118</v>
      </c>
      <c r="E90" s="22">
        <f t="shared" si="6"/>
        <v>6.5</v>
      </c>
      <c r="F90" s="15">
        <v>10</v>
      </c>
      <c r="G90" s="9">
        <f t="shared" si="7"/>
        <v>0</v>
      </c>
      <c r="H90" s="9">
        <f t="shared" si="8"/>
        <v>0</v>
      </c>
      <c r="I90" s="112"/>
      <c r="J90" s="113"/>
      <c r="K90" s="113"/>
      <c r="L90" s="113"/>
      <c r="M90" s="114"/>
    </row>
    <row r="91" spans="2:13" ht="18" customHeight="1" x14ac:dyDescent="0.4">
      <c r="B91" s="170"/>
      <c r="C91" s="171"/>
      <c r="D91" s="92" t="s">
        <v>157</v>
      </c>
      <c r="E91" s="22">
        <f t="shared" si="6"/>
        <v>3.25</v>
      </c>
      <c r="F91" s="15">
        <v>5</v>
      </c>
      <c r="G91" s="9">
        <f t="shared" si="7"/>
        <v>0</v>
      </c>
      <c r="H91" s="9">
        <f t="shared" si="8"/>
        <v>0</v>
      </c>
      <c r="I91" s="112"/>
      <c r="J91" s="113"/>
      <c r="K91" s="113"/>
      <c r="L91" s="113"/>
      <c r="M91" s="114"/>
    </row>
    <row r="92" spans="2:13" ht="18" customHeight="1" x14ac:dyDescent="0.4">
      <c r="B92" s="170"/>
      <c r="C92" s="171"/>
      <c r="D92" s="92" t="s">
        <v>158</v>
      </c>
      <c r="E92" s="22">
        <f t="shared" si="6"/>
        <v>3.25</v>
      </c>
      <c r="F92" s="15">
        <v>5</v>
      </c>
      <c r="G92" s="9">
        <f t="shared" si="7"/>
        <v>0</v>
      </c>
      <c r="H92" s="9">
        <f t="shared" si="8"/>
        <v>0</v>
      </c>
      <c r="I92" s="112"/>
      <c r="J92" s="113"/>
      <c r="K92" s="113"/>
      <c r="L92" s="113"/>
      <c r="M92" s="114"/>
    </row>
    <row r="93" spans="2:13" ht="18" customHeight="1" x14ac:dyDescent="0.4">
      <c r="B93" s="170"/>
      <c r="C93" s="171"/>
      <c r="D93" s="92" t="s">
        <v>133</v>
      </c>
      <c r="E93" s="11">
        <f t="shared" si="6"/>
        <v>1.9500000000000002</v>
      </c>
      <c r="F93" s="15">
        <v>3</v>
      </c>
      <c r="G93" s="9">
        <f t="shared" si="7"/>
        <v>0</v>
      </c>
      <c r="H93" s="9">
        <f t="shared" si="8"/>
        <v>0</v>
      </c>
      <c r="I93" s="112"/>
      <c r="J93" s="113"/>
      <c r="K93" s="113"/>
      <c r="L93" s="113"/>
      <c r="M93" s="114"/>
    </row>
    <row r="94" spans="2:13" ht="18" customHeight="1" x14ac:dyDescent="0.4">
      <c r="B94" s="170"/>
      <c r="C94" s="171"/>
      <c r="D94" s="92" t="s">
        <v>127</v>
      </c>
      <c r="E94" s="22">
        <f t="shared" si="6"/>
        <v>0.65</v>
      </c>
      <c r="F94" s="15">
        <v>1</v>
      </c>
      <c r="G94" s="9">
        <f t="shared" si="7"/>
        <v>0</v>
      </c>
      <c r="H94" s="9">
        <f t="shared" si="8"/>
        <v>0</v>
      </c>
      <c r="I94" s="112"/>
      <c r="J94" s="113"/>
      <c r="K94" s="113"/>
      <c r="L94" s="113"/>
      <c r="M94" s="114"/>
    </row>
    <row r="95" spans="2:13" ht="18" customHeight="1" x14ac:dyDescent="0.4">
      <c r="B95" s="170"/>
      <c r="C95" s="171"/>
      <c r="D95" s="92" t="s">
        <v>166</v>
      </c>
      <c r="E95" s="22">
        <f t="shared" si="6"/>
        <v>0.32500000000000001</v>
      </c>
      <c r="F95" s="15">
        <v>0.5</v>
      </c>
      <c r="G95" s="9">
        <f t="shared" si="7"/>
        <v>0</v>
      </c>
      <c r="H95" s="9">
        <f t="shared" si="8"/>
        <v>0</v>
      </c>
      <c r="I95" s="112"/>
      <c r="J95" s="113"/>
      <c r="K95" s="113"/>
      <c r="L95" s="113"/>
      <c r="M95" s="114"/>
    </row>
    <row r="96" spans="2:13" ht="18" customHeight="1" x14ac:dyDescent="0.4">
      <c r="B96" s="170"/>
      <c r="C96" s="171"/>
      <c r="D96" s="92" t="s">
        <v>186</v>
      </c>
      <c r="E96" s="22">
        <f t="shared" si="6"/>
        <v>0.13</v>
      </c>
      <c r="F96" s="15">
        <v>0.2</v>
      </c>
      <c r="G96" s="9">
        <f t="shared" si="7"/>
        <v>0</v>
      </c>
      <c r="H96" s="9">
        <f t="shared" si="8"/>
        <v>0</v>
      </c>
      <c r="I96" s="112"/>
      <c r="J96" s="113"/>
      <c r="K96" s="113"/>
      <c r="L96" s="113"/>
      <c r="M96" s="114"/>
    </row>
    <row r="97" spans="2:13" ht="18" customHeight="1" x14ac:dyDescent="0.4">
      <c r="B97" s="170"/>
      <c r="C97" s="171"/>
      <c r="D97" s="92" t="s">
        <v>160</v>
      </c>
      <c r="E97" s="22">
        <f t="shared" si="6"/>
        <v>6.5000000000000002E-2</v>
      </c>
      <c r="F97" s="15">
        <v>0.1</v>
      </c>
      <c r="G97" s="9">
        <f t="shared" si="7"/>
        <v>0</v>
      </c>
      <c r="H97" s="9">
        <f t="shared" si="8"/>
        <v>0</v>
      </c>
      <c r="I97" s="112"/>
      <c r="J97" s="113"/>
      <c r="K97" s="113"/>
      <c r="L97" s="113"/>
      <c r="M97" s="114"/>
    </row>
    <row r="98" spans="2:13" ht="18" customHeight="1" x14ac:dyDescent="0.4">
      <c r="B98" s="170"/>
      <c r="C98" s="172"/>
      <c r="D98" s="92" t="s">
        <v>161</v>
      </c>
      <c r="E98" s="22">
        <f t="shared" si="6"/>
        <v>1.3</v>
      </c>
      <c r="F98" s="15">
        <v>2</v>
      </c>
      <c r="G98" s="9">
        <f t="shared" si="7"/>
        <v>0</v>
      </c>
      <c r="H98" s="9">
        <f t="shared" si="8"/>
        <v>0</v>
      </c>
      <c r="I98" s="115"/>
      <c r="J98" s="116"/>
      <c r="K98" s="116"/>
      <c r="L98" s="116"/>
      <c r="M98" s="117"/>
    </row>
    <row r="99" spans="2:13" ht="18" customHeight="1" x14ac:dyDescent="0.4">
      <c r="B99" s="170"/>
      <c r="C99" s="244" t="s">
        <v>473</v>
      </c>
      <c r="D99" s="39" t="s">
        <v>86</v>
      </c>
      <c r="E99" s="93">
        <f t="shared" si="6"/>
        <v>13</v>
      </c>
      <c r="F99" s="39">
        <v>20</v>
      </c>
      <c r="G99" s="9">
        <f t="shared" si="7"/>
        <v>0</v>
      </c>
      <c r="H99" s="9">
        <f t="shared" si="8"/>
        <v>0</v>
      </c>
      <c r="I99" s="123" t="s">
        <v>474</v>
      </c>
      <c r="J99" s="124"/>
      <c r="K99" s="124"/>
      <c r="L99" s="124"/>
      <c r="M99" s="125"/>
    </row>
    <row r="100" spans="2:13" ht="18" customHeight="1" x14ac:dyDescent="0.4">
      <c r="B100" s="170"/>
      <c r="C100" s="296"/>
      <c r="D100" s="16" t="s">
        <v>24</v>
      </c>
      <c r="E100" s="23">
        <f t="shared" si="6"/>
        <v>3.25</v>
      </c>
      <c r="F100" s="16">
        <v>5</v>
      </c>
      <c r="G100" s="9">
        <f t="shared" si="7"/>
        <v>0</v>
      </c>
      <c r="H100" s="9">
        <f t="shared" si="8"/>
        <v>0</v>
      </c>
      <c r="I100" s="123"/>
      <c r="J100" s="124"/>
      <c r="K100" s="124"/>
      <c r="L100" s="124"/>
      <c r="M100" s="125"/>
    </row>
    <row r="101" spans="2:13" ht="18" customHeight="1" x14ac:dyDescent="0.4">
      <c r="B101" s="170"/>
      <c r="C101" s="296"/>
      <c r="D101" s="16" t="s">
        <v>127</v>
      </c>
      <c r="E101" s="23">
        <f t="shared" si="6"/>
        <v>0.32500000000000001</v>
      </c>
      <c r="F101" s="16">
        <v>0.5</v>
      </c>
      <c r="G101" s="9">
        <f t="shared" si="7"/>
        <v>0</v>
      </c>
      <c r="H101" s="9">
        <f t="shared" si="8"/>
        <v>0</v>
      </c>
      <c r="I101" s="123"/>
      <c r="J101" s="124"/>
      <c r="K101" s="124"/>
      <c r="L101" s="124"/>
      <c r="M101" s="125"/>
    </row>
    <row r="102" spans="2:13" ht="18" customHeight="1" x14ac:dyDescent="0.4">
      <c r="B102" s="170"/>
      <c r="C102" s="296"/>
      <c r="D102" s="16" t="s">
        <v>15</v>
      </c>
      <c r="E102" s="23">
        <f t="shared" si="6"/>
        <v>0.32500000000000001</v>
      </c>
      <c r="F102" s="16">
        <v>0.5</v>
      </c>
      <c r="G102" s="9">
        <f t="shared" si="7"/>
        <v>0</v>
      </c>
      <c r="H102" s="9">
        <f t="shared" si="8"/>
        <v>0</v>
      </c>
      <c r="I102" s="123"/>
      <c r="J102" s="124"/>
      <c r="K102" s="124"/>
      <c r="L102" s="124"/>
      <c r="M102" s="125"/>
    </row>
    <row r="103" spans="2:13" ht="18" customHeight="1" x14ac:dyDescent="0.4">
      <c r="B103" s="170"/>
      <c r="C103" s="296"/>
      <c r="D103" s="16" t="s">
        <v>178</v>
      </c>
      <c r="E103" s="23">
        <f t="shared" si="6"/>
        <v>1.3</v>
      </c>
      <c r="F103" s="16">
        <v>2</v>
      </c>
      <c r="G103" s="9">
        <f t="shared" si="7"/>
        <v>0</v>
      </c>
      <c r="H103" s="9">
        <f t="shared" si="8"/>
        <v>0</v>
      </c>
      <c r="I103" s="123"/>
      <c r="J103" s="124"/>
      <c r="K103" s="124"/>
      <c r="L103" s="124"/>
      <c r="M103" s="125"/>
    </row>
    <row r="104" spans="2:13" ht="18" customHeight="1" x14ac:dyDescent="0.4">
      <c r="B104" s="170"/>
      <c r="C104" s="297"/>
      <c r="D104" s="16" t="s">
        <v>179</v>
      </c>
      <c r="E104" s="23">
        <f t="shared" si="6"/>
        <v>1.3</v>
      </c>
      <c r="F104" s="16">
        <v>2</v>
      </c>
      <c r="G104" s="9">
        <f t="shared" si="7"/>
        <v>0</v>
      </c>
      <c r="H104" s="9">
        <f t="shared" si="8"/>
        <v>0</v>
      </c>
      <c r="I104" s="173"/>
      <c r="J104" s="174"/>
      <c r="K104" s="174"/>
      <c r="L104" s="174"/>
      <c r="M104" s="175"/>
    </row>
    <row r="105" spans="2:13" ht="18" customHeight="1" x14ac:dyDescent="0.4">
      <c r="B105" s="170"/>
      <c r="C105" s="127" t="s">
        <v>475</v>
      </c>
      <c r="D105" s="19" t="s">
        <v>476</v>
      </c>
      <c r="E105" s="23">
        <f t="shared" si="6"/>
        <v>19.5</v>
      </c>
      <c r="F105" s="15">
        <v>30</v>
      </c>
      <c r="G105" s="9">
        <f t="shared" si="7"/>
        <v>0</v>
      </c>
      <c r="H105" s="9">
        <f t="shared" si="8"/>
        <v>0</v>
      </c>
      <c r="I105" s="109" t="s">
        <v>477</v>
      </c>
      <c r="J105" s="110"/>
      <c r="K105" s="110"/>
      <c r="L105" s="110"/>
      <c r="M105" s="111"/>
    </row>
    <row r="106" spans="2:13" ht="18" customHeight="1" x14ac:dyDescent="0.4">
      <c r="B106" s="170"/>
      <c r="C106" s="127"/>
      <c r="D106" s="16" t="s">
        <v>47</v>
      </c>
      <c r="E106" s="11">
        <f t="shared" si="6"/>
        <v>13</v>
      </c>
      <c r="F106" s="16">
        <v>20</v>
      </c>
      <c r="G106" s="9">
        <f t="shared" si="7"/>
        <v>0</v>
      </c>
      <c r="H106" s="9">
        <f t="shared" si="8"/>
        <v>0</v>
      </c>
      <c r="I106" s="112"/>
      <c r="J106" s="113"/>
      <c r="K106" s="113"/>
      <c r="L106" s="113"/>
      <c r="M106" s="114"/>
    </row>
    <row r="107" spans="2:13" ht="18" customHeight="1" x14ac:dyDescent="0.4">
      <c r="B107" s="170"/>
      <c r="C107" s="127"/>
      <c r="D107" s="16" t="s">
        <v>14</v>
      </c>
      <c r="E107" s="22">
        <f t="shared" si="6"/>
        <v>0.32500000000000001</v>
      </c>
      <c r="F107" s="16">
        <v>0.5</v>
      </c>
      <c r="G107" s="9">
        <f t="shared" si="7"/>
        <v>0</v>
      </c>
      <c r="H107" s="9">
        <f t="shared" si="8"/>
        <v>0</v>
      </c>
      <c r="I107" s="112"/>
      <c r="J107" s="113"/>
      <c r="K107" s="113"/>
      <c r="L107" s="113"/>
      <c r="M107" s="114"/>
    </row>
    <row r="108" spans="2:13" ht="18" customHeight="1" x14ac:dyDescent="0.4">
      <c r="B108" s="170"/>
      <c r="C108" s="127"/>
      <c r="D108" s="16" t="s">
        <v>127</v>
      </c>
      <c r="E108" s="22">
        <f t="shared" si="6"/>
        <v>0.32500000000000001</v>
      </c>
      <c r="F108" s="16">
        <v>0.5</v>
      </c>
      <c r="G108" s="9">
        <f t="shared" si="7"/>
        <v>0</v>
      </c>
      <c r="H108" s="9">
        <f t="shared" si="8"/>
        <v>0</v>
      </c>
      <c r="I108" s="112"/>
      <c r="J108" s="113"/>
      <c r="K108" s="113"/>
      <c r="L108" s="113"/>
      <c r="M108" s="114"/>
    </row>
    <row r="109" spans="2:13" ht="18" customHeight="1" x14ac:dyDescent="0.4">
      <c r="B109" s="170"/>
      <c r="C109" s="127"/>
      <c r="D109" s="16" t="s">
        <v>15</v>
      </c>
      <c r="E109" s="22">
        <f t="shared" si="6"/>
        <v>0.65</v>
      </c>
      <c r="F109" s="16">
        <v>1</v>
      </c>
      <c r="G109" s="9">
        <f t="shared" si="7"/>
        <v>0</v>
      </c>
      <c r="H109" s="9">
        <f t="shared" si="8"/>
        <v>0</v>
      </c>
      <c r="I109" s="112"/>
      <c r="J109" s="113"/>
      <c r="K109" s="113"/>
      <c r="L109" s="113"/>
      <c r="M109" s="114"/>
    </row>
    <row r="110" spans="2:13" ht="18" customHeight="1" x14ac:dyDescent="0.4">
      <c r="B110" s="170"/>
      <c r="C110" s="328"/>
      <c r="D110" s="16" t="s">
        <v>19</v>
      </c>
      <c r="E110" s="22">
        <f t="shared" si="6"/>
        <v>1.3</v>
      </c>
      <c r="F110" s="16">
        <v>2</v>
      </c>
      <c r="G110" s="9">
        <f t="shared" si="7"/>
        <v>0</v>
      </c>
      <c r="H110" s="9">
        <f t="shared" si="8"/>
        <v>0</v>
      </c>
      <c r="I110" s="115"/>
      <c r="J110" s="116"/>
      <c r="K110" s="116"/>
      <c r="L110" s="116"/>
      <c r="M110" s="117"/>
    </row>
    <row r="111" spans="2:13" ht="18" customHeight="1" x14ac:dyDescent="0.4">
      <c r="B111" s="170"/>
      <c r="C111" s="19" t="s">
        <v>135</v>
      </c>
      <c r="D111" s="19" t="s">
        <v>136</v>
      </c>
      <c r="E111" s="21">
        <f t="shared" si="6"/>
        <v>13</v>
      </c>
      <c r="F111" s="16">
        <v>20</v>
      </c>
      <c r="G111" s="9">
        <f t="shared" si="7"/>
        <v>0</v>
      </c>
      <c r="H111" s="9">
        <f t="shared" si="8"/>
        <v>0</v>
      </c>
      <c r="I111" s="205" t="s">
        <v>115</v>
      </c>
      <c r="J111" s="206"/>
      <c r="K111" s="206"/>
      <c r="L111" s="206"/>
      <c r="M111" s="207"/>
    </row>
    <row r="112" spans="2:13" ht="18" customHeight="1" x14ac:dyDescent="0.4">
      <c r="B112" s="153" t="s">
        <v>138</v>
      </c>
      <c r="C112" s="106" t="s">
        <v>478</v>
      </c>
      <c r="D112" s="16" t="s">
        <v>72</v>
      </c>
      <c r="E112" s="11">
        <f t="shared" si="6"/>
        <v>39</v>
      </c>
      <c r="F112" s="16">
        <v>60</v>
      </c>
      <c r="G112" s="9">
        <f t="shared" si="7"/>
        <v>0</v>
      </c>
      <c r="H112" s="9">
        <f t="shared" si="8"/>
        <v>0</v>
      </c>
      <c r="I112" s="178" t="s">
        <v>479</v>
      </c>
      <c r="J112" s="178"/>
      <c r="K112" s="178"/>
      <c r="L112" s="178"/>
      <c r="M112" s="179"/>
    </row>
    <row r="113" spans="2:13" ht="18" customHeight="1" x14ac:dyDescent="0.4">
      <c r="B113" s="154"/>
      <c r="C113" s="146"/>
      <c r="D113" s="16" t="s">
        <v>480</v>
      </c>
      <c r="E113" s="22">
        <f t="shared" si="6"/>
        <v>3.25</v>
      </c>
      <c r="F113" s="16">
        <v>5</v>
      </c>
      <c r="G113" s="9">
        <f t="shared" si="7"/>
        <v>0</v>
      </c>
      <c r="H113" s="9">
        <f t="shared" si="8"/>
        <v>0</v>
      </c>
      <c r="I113" s="178"/>
      <c r="J113" s="178"/>
      <c r="K113" s="178"/>
      <c r="L113" s="178"/>
      <c r="M113" s="179"/>
    </row>
    <row r="114" spans="2:13" ht="18" customHeight="1" thickBot="1" x14ac:dyDescent="0.45">
      <c r="B114" s="155"/>
      <c r="C114" s="18" t="s">
        <v>149</v>
      </c>
      <c r="D114" s="75" t="s">
        <v>189</v>
      </c>
      <c r="E114" s="94">
        <v>100</v>
      </c>
      <c r="F114" s="75">
        <v>100</v>
      </c>
      <c r="G114" s="9">
        <f t="shared" si="7"/>
        <v>0</v>
      </c>
      <c r="H114" s="9">
        <f t="shared" si="8"/>
        <v>0</v>
      </c>
      <c r="I114" s="192"/>
      <c r="J114" s="193"/>
      <c r="K114" s="193"/>
      <c r="L114" s="193"/>
      <c r="M114" s="194"/>
    </row>
    <row r="115" spans="2:13" ht="80.099999999999994" customHeight="1" thickTop="1" x14ac:dyDescent="0.4">
      <c r="B115" s="161"/>
      <c r="C115" s="161"/>
      <c r="D115" s="161"/>
      <c r="E115" s="161"/>
      <c r="F115" s="161"/>
      <c r="G115" s="161"/>
      <c r="H115" s="161"/>
      <c r="I115" s="161"/>
      <c r="J115" s="161"/>
      <c r="K115" s="161"/>
      <c r="L115" s="161"/>
      <c r="M115" s="161"/>
    </row>
    <row r="126" spans="2:13" x14ac:dyDescent="0.4">
      <c r="C126" s="95"/>
    </row>
  </sheetData>
  <mergeCells count="72">
    <mergeCell ref="C2:C3"/>
    <mergeCell ref="F2:M3"/>
    <mergeCell ref="B4:M6"/>
    <mergeCell ref="B7:M7"/>
    <mergeCell ref="B8:B9"/>
    <mergeCell ref="C8:C9"/>
    <mergeCell ref="D8:D9"/>
    <mergeCell ref="E8:F8"/>
    <mergeCell ref="G8:H8"/>
    <mergeCell ref="I8:M9"/>
    <mergeCell ref="C19:C29"/>
    <mergeCell ref="I19:M29"/>
    <mergeCell ref="B10:B11"/>
    <mergeCell ref="B12:B37"/>
    <mergeCell ref="C30:C36"/>
    <mergeCell ref="I30:M36"/>
    <mergeCell ref="I37:M37"/>
    <mergeCell ref="I10:M10"/>
    <mergeCell ref="I11:M11"/>
    <mergeCell ref="C12:C13"/>
    <mergeCell ref="I12:M13"/>
    <mergeCell ref="C14:C18"/>
    <mergeCell ref="I14:M18"/>
    <mergeCell ref="B38:B41"/>
    <mergeCell ref="C38:C41"/>
    <mergeCell ref="I38:M41"/>
    <mergeCell ref="B42:M42"/>
    <mergeCell ref="B44:M44"/>
    <mergeCell ref="B45:B46"/>
    <mergeCell ref="C45:C46"/>
    <mergeCell ref="D45:D46"/>
    <mergeCell ref="E45:F45"/>
    <mergeCell ref="G45:H45"/>
    <mergeCell ref="I45:M46"/>
    <mergeCell ref="C47:C49"/>
    <mergeCell ref="I47:M49"/>
    <mergeCell ref="C50:C51"/>
    <mergeCell ref="I50:M51"/>
    <mergeCell ref="C52:C59"/>
    <mergeCell ref="I52:M59"/>
    <mergeCell ref="C60:C65"/>
    <mergeCell ref="I60:M65"/>
    <mergeCell ref="B47:B49"/>
    <mergeCell ref="B50:B71"/>
    <mergeCell ref="C66:C71"/>
    <mergeCell ref="I66:M71"/>
    <mergeCell ref="I72:M72"/>
    <mergeCell ref="B73:B81"/>
    <mergeCell ref="C73:C81"/>
    <mergeCell ref="I73:M81"/>
    <mergeCell ref="B82:M82"/>
    <mergeCell ref="B84:M84"/>
    <mergeCell ref="B85:B86"/>
    <mergeCell ref="C85:C86"/>
    <mergeCell ref="D85:D86"/>
    <mergeCell ref="E85:F85"/>
    <mergeCell ref="G85:H85"/>
    <mergeCell ref="I85:M86"/>
    <mergeCell ref="I87:M87"/>
    <mergeCell ref="B88:B111"/>
    <mergeCell ref="C88:C98"/>
    <mergeCell ref="I88:M98"/>
    <mergeCell ref="C99:C104"/>
    <mergeCell ref="I99:M104"/>
    <mergeCell ref="C105:C110"/>
    <mergeCell ref="I105:M110"/>
    <mergeCell ref="I111:M111"/>
    <mergeCell ref="B112:B114"/>
    <mergeCell ref="C112:C113"/>
    <mergeCell ref="I112:M113"/>
    <mergeCell ref="I114:M114"/>
    <mergeCell ref="B115:M115"/>
  </mergeCells>
  <phoneticPr fontId="2" type="noConversion"/>
  <pageMargins left="0.25" right="0.25" top="0.75" bottom="0.75" header="0.3" footer="0.3"/>
  <rowBreaks count="5" manualBreakCount="5">
    <brk id="41" min="1" max="12" man="1"/>
    <brk id="83" min="1" max="12" man="1"/>
    <brk id="116" min="1" max="12" man="1"/>
    <brk id="152" min="1" max="12" man="1"/>
    <brk id="186" min="1" max="12" man="1"/>
  </rowBreak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71438-FA1D-4994-AC96-A4F8FB3EC967}">
  <sheetPr>
    <pageSetUpPr fitToPage="1"/>
  </sheetPr>
  <dimension ref="B1:M124"/>
  <sheetViews>
    <sheetView tabSelected="1" zoomScaleNormal="100" zoomScaleSheetLayoutView="70" workbookViewId="0">
      <selection activeCell="O5" sqref="O5"/>
    </sheetView>
  </sheetViews>
  <sheetFormatPr defaultRowHeight="17.399999999999999" x14ac:dyDescent="0.4"/>
  <cols>
    <col min="1" max="1" width="4.8984375" customWidth="1"/>
    <col min="2" max="2" width="9" style="1" customWidth="1"/>
    <col min="3" max="3" width="18.59765625" style="1" customWidth="1"/>
    <col min="4" max="4" width="11.59765625" style="1" customWidth="1"/>
    <col min="5" max="13" width="9" style="1" customWidth="1"/>
  </cols>
  <sheetData>
    <row r="1" spans="2:13" ht="18" thickBot="1" x14ac:dyDescent="0.45"/>
    <row r="2" spans="2:13" ht="18.600000000000001" thickTop="1" thickBot="1" x14ac:dyDescent="0.45">
      <c r="C2" s="128" t="s">
        <v>0</v>
      </c>
      <c r="D2" s="3" t="s">
        <v>1</v>
      </c>
      <c r="E2" s="4"/>
      <c r="F2" s="130" t="s">
        <v>109</v>
      </c>
      <c r="G2" s="131"/>
      <c r="H2" s="131"/>
      <c r="I2" s="131"/>
      <c r="J2" s="131"/>
      <c r="K2" s="131"/>
      <c r="L2" s="131"/>
      <c r="M2" s="131"/>
    </row>
    <row r="3" spans="2:13" ht="18.600000000000001" thickTop="1" thickBot="1" x14ac:dyDescent="0.45">
      <c r="C3" s="129"/>
      <c r="D3" s="3" t="s">
        <v>2</v>
      </c>
      <c r="E3" s="2"/>
      <c r="F3" s="130"/>
      <c r="G3" s="131"/>
      <c r="H3" s="131"/>
      <c r="I3" s="131"/>
      <c r="J3" s="131"/>
      <c r="K3" s="131"/>
      <c r="L3" s="131"/>
      <c r="M3" s="131"/>
    </row>
    <row r="4" spans="2:13" ht="35.25" customHeight="1" thickTop="1" x14ac:dyDescent="0.4">
      <c r="B4" s="132" t="s">
        <v>98</v>
      </c>
      <c r="C4" s="132"/>
      <c r="D4" s="132"/>
      <c r="E4" s="132"/>
      <c r="F4" s="132"/>
      <c r="G4" s="132"/>
      <c r="H4" s="132"/>
      <c r="I4" s="132"/>
      <c r="J4" s="132"/>
      <c r="K4" s="132"/>
      <c r="L4" s="132"/>
      <c r="M4" s="132"/>
    </row>
    <row r="5" spans="2:13" x14ac:dyDescent="0.4"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</row>
    <row r="6" spans="2:13" ht="18" thickBot="1" x14ac:dyDescent="0.45"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</row>
    <row r="7" spans="2:13" ht="21" customHeight="1" thickTop="1" x14ac:dyDescent="0.4">
      <c r="B7" s="334" t="s">
        <v>481</v>
      </c>
      <c r="C7" s="135"/>
      <c r="D7" s="135"/>
      <c r="E7" s="135"/>
      <c r="F7" s="135"/>
      <c r="G7" s="135"/>
      <c r="H7" s="135"/>
      <c r="I7" s="135"/>
      <c r="J7" s="135"/>
      <c r="K7" s="135"/>
      <c r="L7" s="135"/>
      <c r="M7" s="136"/>
    </row>
    <row r="8" spans="2:13" ht="18" customHeight="1" x14ac:dyDescent="0.4">
      <c r="B8" s="137" t="s">
        <v>3</v>
      </c>
      <c r="C8" s="138" t="s">
        <v>4</v>
      </c>
      <c r="D8" s="138" t="s">
        <v>5</v>
      </c>
      <c r="E8" s="138" t="s">
        <v>6</v>
      </c>
      <c r="F8" s="138"/>
      <c r="G8" s="138" t="s">
        <v>7</v>
      </c>
      <c r="H8" s="138"/>
      <c r="I8" s="138" t="s">
        <v>8</v>
      </c>
      <c r="J8" s="138"/>
      <c r="K8" s="138"/>
      <c r="L8" s="138"/>
      <c r="M8" s="139"/>
    </row>
    <row r="9" spans="2:13" ht="18" customHeight="1" x14ac:dyDescent="0.4">
      <c r="B9" s="137"/>
      <c r="C9" s="138"/>
      <c r="D9" s="138"/>
      <c r="E9" s="5" t="s">
        <v>1</v>
      </c>
      <c r="F9" s="5" t="s">
        <v>2</v>
      </c>
      <c r="G9" s="6" t="s">
        <v>1</v>
      </c>
      <c r="H9" s="7" t="s">
        <v>2</v>
      </c>
      <c r="I9" s="138"/>
      <c r="J9" s="138"/>
      <c r="K9" s="138"/>
      <c r="L9" s="138"/>
      <c r="M9" s="139"/>
    </row>
    <row r="10" spans="2:13" ht="18" customHeight="1" x14ac:dyDescent="0.4">
      <c r="B10" s="8" t="s">
        <v>9</v>
      </c>
      <c r="C10" s="58" t="s">
        <v>294</v>
      </c>
      <c r="D10" s="9" t="s">
        <v>294</v>
      </c>
      <c r="E10" s="22">
        <f t="shared" ref="E10:E44" si="0">F10*0.65</f>
        <v>32.5</v>
      </c>
      <c r="F10" s="15">
        <v>50</v>
      </c>
      <c r="G10" s="9">
        <f t="shared" ref="G10:G45" si="1">E10*E$2</f>
        <v>0</v>
      </c>
      <c r="H10" s="9">
        <f t="shared" ref="H10:H45" si="2">F10*E$3</f>
        <v>0</v>
      </c>
      <c r="I10" s="242" t="s">
        <v>105</v>
      </c>
      <c r="J10" s="242"/>
      <c r="K10" s="242"/>
      <c r="L10" s="242"/>
      <c r="M10" s="243"/>
    </row>
    <row r="11" spans="2:13" ht="18" customHeight="1" x14ac:dyDescent="0.4">
      <c r="B11" s="169" t="s">
        <v>10</v>
      </c>
      <c r="C11" s="172" t="s">
        <v>205</v>
      </c>
      <c r="D11" s="16" t="s">
        <v>43</v>
      </c>
      <c r="E11" s="17">
        <f t="shared" si="0"/>
        <v>32.5</v>
      </c>
      <c r="F11" s="39">
        <v>50</v>
      </c>
      <c r="G11" s="35">
        <f t="shared" si="1"/>
        <v>0</v>
      </c>
      <c r="H11" s="35">
        <f t="shared" si="2"/>
        <v>0</v>
      </c>
      <c r="I11" s="105" t="s">
        <v>101</v>
      </c>
      <c r="J11" s="105"/>
      <c r="K11" s="105"/>
      <c r="L11" s="105"/>
      <c r="M11" s="220"/>
    </row>
    <row r="12" spans="2:13" s="1" customFormat="1" ht="18" customHeight="1" x14ac:dyDescent="0.4">
      <c r="B12" s="170"/>
      <c r="C12" s="219"/>
      <c r="D12" s="16" t="s">
        <v>82</v>
      </c>
      <c r="E12" s="17">
        <f t="shared" si="0"/>
        <v>1.625</v>
      </c>
      <c r="F12" s="16">
        <v>2.5</v>
      </c>
      <c r="G12" s="9">
        <f t="shared" si="1"/>
        <v>0</v>
      </c>
      <c r="H12" s="9">
        <f t="shared" si="2"/>
        <v>0</v>
      </c>
      <c r="I12" s="178"/>
      <c r="J12" s="178"/>
      <c r="K12" s="178"/>
      <c r="L12" s="178"/>
      <c r="M12" s="179"/>
    </row>
    <row r="13" spans="2:13" s="1" customFormat="1" ht="18" customHeight="1" x14ac:dyDescent="0.4">
      <c r="B13" s="170"/>
      <c r="C13" s="326" t="s">
        <v>482</v>
      </c>
      <c r="D13" s="16" t="s">
        <v>483</v>
      </c>
      <c r="E13" s="9">
        <f t="shared" si="0"/>
        <v>7.8000000000000007</v>
      </c>
      <c r="F13" s="15">
        <v>12</v>
      </c>
      <c r="G13" s="9">
        <f t="shared" si="1"/>
        <v>0</v>
      </c>
      <c r="H13" s="9">
        <f t="shared" si="2"/>
        <v>0</v>
      </c>
      <c r="I13" s="120" t="s">
        <v>484</v>
      </c>
      <c r="J13" s="121"/>
      <c r="K13" s="121"/>
      <c r="L13" s="121"/>
      <c r="M13" s="122"/>
    </row>
    <row r="14" spans="2:13" s="1" customFormat="1" ht="18" customHeight="1" x14ac:dyDescent="0.4">
      <c r="B14" s="170"/>
      <c r="C14" s="171"/>
      <c r="D14" s="16" t="s">
        <v>450</v>
      </c>
      <c r="E14" s="26">
        <f t="shared" si="0"/>
        <v>1.9500000000000002</v>
      </c>
      <c r="F14" s="15">
        <v>3</v>
      </c>
      <c r="G14" s="9">
        <f t="shared" si="1"/>
        <v>0</v>
      </c>
      <c r="H14" s="9">
        <f t="shared" si="2"/>
        <v>0</v>
      </c>
      <c r="I14" s="123"/>
      <c r="J14" s="124"/>
      <c r="K14" s="124"/>
      <c r="L14" s="124"/>
      <c r="M14" s="125"/>
    </row>
    <row r="15" spans="2:13" s="1" customFormat="1" ht="18" customHeight="1" x14ac:dyDescent="0.4">
      <c r="B15" s="170"/>
      <c r="C15" s="171"/>
      <c r="D15" s="16" t="s">
        <v>186</v>
      </c>
      <c r="E15" s="23">
        <f t="shared" si="0"/>
        <v>6.5</v>
      </c>
      <c r="F15" s="15">
        <v>10</v>
      </c>
      <c r="G15" s="9">
        <f t="shared" si="1"/>
        <v>0</v>
      </c>
      <c r="H15" s="9">
        <f t="shared" si="2"/>
        <v>0</v>
      </c>
      <c r="I15" s="123"/>
      <c r="J15" s="124"/>
      <c r="K15" s="124"/>
      <c r="L15" s="124"/>
      <c r="M15" s="125"/>
    </row>
    <row r="16" spans="2:13" s="1" customFormat="1" ht="18" customHeight="1" x14ac:dyDescent="0.4">
      <c r="B16" s="170"/>
      <c r="C16" s="171"/>
      <c r="D16" s="16" t="s">
        <v>133</v>
      </c>
      <c r="E16" s="23">
        <f t="shared" si="0"/>
        <v>0.32500000000000001</v>
      </c>
      <c r="F16" s="15">
        <v>0.5</v>
      </c>
      <c r="G16" s="9">
        <f t="shared" si="1"/>
        <v>0</v>
      </c>
      <c r="H16" s="9">
        <f t="shared" si="2"/>
        <v>0</v>
      </c>
      <c r="I16" s="123"/>
      <c r="J16" s="124"/>
      <c r="K16" s="124"/>
      <c r="L16" s="124"/>
      <c r="M16" s="125"/>
    </row>
    <row r="17" spans="2:13" s="1" customFormat="1" ht="18" customHeight="1" x14ac:dyDescent="0.4">
      <c r="B17" s="170"/>
      <c r="C17" s="171"/>
      <c r="D17" s="16" t="s">
        <v>127</v>
      </c>
      <c r="E17" s="23">
        <f t="shared" si="0"/>
        <v>0.32500000000000001</v>
      </c>
      <c r="F17" s="15">
        <v>0.5</v>
      </c>
      <c r="G17" s="9">
        <f t="shared" si="1"/>
        <v>0</v>
      </c>
      <c r="H17" s="9">
        <f t="shared" si="2"/>
        <v>0</v>
      </c>
      <c r="I17" s="123"/>
      <c r="J17" s="124"/>
      <c r="K17" s="124"/>
      <c r="L17" s="124"/>
      <c r="M17" s="125"/>
    </row>
    <row r="18" spans="2:13" s="1" customFormat="1" ht="18" customHeight="1" x14ac:dyDescent="0.4">
      <c r="B18" s="170"/>
      <c r="C18" s="172"/>
      <c r="D18" s="16" t="s">
        <v>159</v>
      </c>
      <c r="E18" s="23">
        <f t="shared" si="0"/>
        <v>0.26</v>
      </c>
      <c r="F18" s="15">
        <v>0.4</v>
      </c>
      <c r="G18" s="9">
        <f t="shared" si="1"/>
        <v>0</v>
      </c>
      <c r="H18" s="9">
        <f t="shared" si="2"/>
        <v>0</v>
      </c>
      <c r="I18" s="173"/>
      <c r="J18" s="174"/>
      <c r="K18" s="174"/>
      <c r="L18" s="174"/>
      <c r="M18" s="175"/>
    </row>
    <row r="19" spans="2:13" s="1" customFormat="1" ht="18" customHeight="1" x14ac:dyDescent="0.4">
      <c r="B19" s="170"/>
      <c r="C19" s="106" t="s">
        <v>485</v>
      </c>
      <c r="D19" s="16" t="s">
        <v>486</v>
      </c>
      <c r="E19" s="21">
        <f t="shared" si="0"/>
        <v>26</v>
      </c>
      <c r="F19" s="16">
        <v>40</v>
      </c>
      <c r="G19" s="9">
        <f t="shared" si="1"/>
        <v>0</v>
      </c>
      <c r="H19" s="9">
        <f t="shared" si="2"/>
        <v>0</v>
      </c>
      <c r="I19" s="148" t="s">
        <v>487</v>
      </c>
      <c r="J19" s="148"/>
      <c r="K19" s="148"/>
      <c r="L19" s="148"/>
      <c r="M19" s="149"/>
    </row>
    <row r="20" spans="2:13" s="1" customFormat="1" ht="18" customHeight="1" x14ac:dyDescent="0.4">
      <c r="B20" s="170"/>
      <c r="C20" s="146"/>
      <c r="D20" s="16" t="s">
        <v>228</v>
      </c>
      <c r="E20" s="17">
        <f t="shared" si="0"/>
        <v>6.5</v>
      </c>
      <c r="F20" s="16">
        <v>10</v>
      </c>
      <c r="G20" s="9">
        <f t="shared" si="1"/>
        <v>0</v>
      </c>
      <c r="H20" s="9">
        <f t="shared" si="2"/>
        <v>0</v>
      </c>
      <c r="I20" s="148"/>
      <c r="J20" s="148"/>
      <c r="K20" s="148"/>
      <c r="L20" s="148"/>
      <c r="M20" s="149"/>
    </row>
    <row r="21" spans="2:13" ht="18" customHeight="1" x14ac:dyDescent="0.4">
      <c r="B21" s="170"/>
      <c r="C21" s="146"/>
      <c r="D21" s="16" t="s">
        <v>157</v>
      </c>
      <c r="E21" s="17">
        <f t="shared" si="0"/>
        <v>6.5</v>
      </c>
      <c r="F21" s="16">
        <v>10</v>
      </c>
      <c r="G21" s="9">
        <f t="shared" si="1"/>
        <v>0</v>
      </c>
      <c r="H21" s="9">
        <f t="shared" si="2"/>
        <v>0</v>
      </c>
      <c r="I21" s="148"/>
      <c r="J21" s="148"/>
      <c r="K21" s="148"/>
      <c r="L21" s="148"/>
      <c r="M21" s="149"/>
    </row>
    <row r="22" spans="2:13" ht="18" customHeight="1" x14ac:dyDescent="0.4">
      <c r="B22" s="170"/>
      <c r="C22" s="146"/>
      <c r="D22" s="16" t="s">
        <v>24</v>
      </c>
      <c r="E22" s="17">
        <f t="shared" si="0"/>
        <v>0.65</v>
      </c>
      <c r="F22" s="16">
        <v>1</v>
      </c>
      <c r="G22" s="9">
        <f t="shared" si="1"/>
        <v>0</v>
      </c>
      <c r="H22" s="9">
        <f t="shared" si="2"/>
        <v>0</v>
      </c>
      <c r="I22" s="148"/>
      <c r="J22" s="148"/>
      <c r="K22" s="148"/>
      <c r="L22" s="148"/>
      <c r="M22" s="149"/>
    </row>
    <row r="23" spans="2:13" ht="18" customHeight="1" x14ac:dyDescent="0.4">
      <c r="B23" s="170"/>
      <c r="C23" s="146"/>
      <c r="D23" s="16" t="s">
        <v>127</v>
      </c>
      <c r="E23" s="17">
        <f t="shared" si="0"/>
        <v>0.65</v>
      </c>
      <c r="F23" s="16">
        <v>1</v>
      </c>
      <c r="G23" s="9">
        <f t="shared" si="1"/>
        <v>0</v>
      </c>
      <c r="H23" s="9">
        <f t="shared" si="2"/>
        <v>0</v>
      </c>
      <c r="I23" s="148"/>
      <c r="J23" s="148"/>
      <c r="K23" s="148"/>
      <c r="L23" s="148"/>
      <c r="M23" s="149"/>
    </row>
    <row r="24" spans="2:13" ht="18" customHeight="1" x14ac:dyDescent="0.4">
      <c r="B24" s="170"/>
      <c r="C24" s="146"/>
      <c r="D24" s="16" t="s">
        <v>77</v>
      </c>
      <c r="E24" s="17">
        <f t="shared" si="0"/>
        <v>3.25</v>
      </c>
      <c r="F24" s="16">
        <v>5</v>
      </c>
      <c r="G24" s="9">
        <f t="shared" si="1"/>
        <v>0</v>
      </c>
      <c r="H24" s="9">
        <f t="shared" si="2"/>
        <v>0</v>
      </c>
      <c r="I24" s="148"/>
      <c r="J24" s="148"/>
      <c r="K24" s="148"/>
      <c r="L24" s="148"/>
      <c r="M24" s="149"/>
    </row>
    <row r="25" spans="2:13" ht="18" customHeight="1" x14ac:dyDescent="0.4">
      <c r="B25" s="170"/>
      <c r="C25" s="146"/>
      <c r="D25" s="16" t="s">
        <v>488</v>
      </c>
      <c r="E25" s="17">
        <f t="shared" si="0"/>
        <v>1.3</v>
      </c>
      <c r="F25" s="16">
        <v>2</v>
      </c>
      <c r="G25" s="9">
        <f t="shared" si="1"/>
        <v>0</v>
      </c>
      <c r="H25" s="9">
        <f t="shared" si="2"/>
        <v>0</v>
      </c>
      <c r="I25" s="148"/>
      <c r="J25" s="148"/>
      <c r="K25" s="148"/>
      <c r="L25" s="148"/>
      <c r="M25" s="149"/>
    </row>
    <row r="26" spans="2:13" s="1" customFormat="1" ht="18" customHeight="1" x14ac:dyDescent="0.4">
      <c r="B26" s="170"/>
      <c r="C26" s="146"/>
      <c r="D26" s="16" t="s">
        <v>133</v>
      </c>
      <c r="E26" s="17">
        <f t="shared" si="0"/>
        <v>3.25</v>
      </c>
      <c r="F26" s="16">
        <v>5</v>
      </c>
      <c r="G26" s="9">
        <f t="shared" si="1"/>
        <v>0</v>
      </c>
      <c r="H26" s="9">
        <f t="shared" si="2"/>
        <v>0</v>
      </c>
      <c r="I26" s="148"/>
      <c r="J26" s="148"/>
      <c r="K26" s="148"/>
      <c r="L26" s="148"/>
      <c r="M26" s="149"/>
    </row>
    <row r="27" spans="2:13" s="1" customFormat="1" ht="18" customHeight="1" x14ac:dyDescent="0.4">
      <c r="B27" s="170"/>
      <c r="C27" s="146"/>
      <c r="D27" s="16" t="s">
        <v>20</v>
      </c>
      <c r="E27" s="21">
        <f t="shared" si="0"/>
        <v>1.9500000000000002</v>
      </c>
      <c r="F27" s="16">
        <v>3</v>
      </c>
      <c r="G27" s="9">
        <f t="shared" si="1"/>
        <v>0</v>
      </c>
      <c r="H27" s="9">
        <f t="shared" si="2"/>
        <v>0</v>
      </c>
      <c r="I27" s="148"/>
      <c r="J27" s="148"/>
      <c r="K27" s="148"/>
      <c r="L27" s="148"/>
      <c r="M27" s="149"/>
    </row>
    <row r="28" spans="2:13" s="1" customFormat="1" ht="18" customHeight="1" x14ac:dyDescent="0.4">
      <c r="B28" s="170"/>
      <c r="C28" s="146"/>
      <c r="D28" s="16" t="s">
        <v>14</v>
      </c>
      <c r="E28" s="17">
        <f t="shared" si="0"/>
        <v>0.65</v>
      </c>
      <c r="F28" s="16">
        <v>1</v>
      </c>
      <c r="G28" s="9">
        <f t="shared" si="1"/>
        <v>0</v>
      </c>
      <c r="H28" s="9">
        <f t="shared" si="2"/>
        <v>0</v>
      </c>
      <c r="I28" s="148"/>
      <c r="J28" s="148"/>
      <c r="K28" s="148"/>
      <c r="L28" s="148"/>
      <c r="M28" s="149"/>
    </row>
    <row r="29" spans="2:13" s="1" customFormat="1" ht="18" customHeight="1" x14ac:dyDescent="0.4">
      <c r="B29" s="170"/>
      <c r="C29" s="146"/>
      <c r="D29" s="16" t="s">
        <v>160</v>
      </c>
      <c r="E29" s="17">
        <f t="shared" si="0"/>
        <v>0.13</v>
      </c>
      <c r="F29" s="16">
        <v>0.2</v>
      </c>
      <c r="G29" s="9">
        <f t="shared" si="1"/>
        <v>0</v>
      </c>
      <c r="H29" s="9">
        <f t="shared" si="2"/>
        <v>0</v>
      </c>
      <c r="I29" s="148"/>
      <c r="J29" s="148"/>
      <c r="K29" s="148"/>
      <c r="L29" s="148"/>
      <c r="M29" s="149"/>
    </row>
    <row r="30" spans="2:13" s="1" customFormat="1" ht="18" customHeight="1" x14ac:dyDescent="0.4">
      <c r="B30" s="170"/>
      <c r="C30" s="146"/>
      <c r="D30" s="16" t="s">
        <v>489</v>
      </c>
      <c r="E30" s="17">
        <f t="shared" si="0"/>
        <v>0.65</v>
      </c>
      <c r="F30" s="16">
        <v>1</v>
      </c>
      <c r="G30" s="9">
        <f t="shared" si="1"/>
        <v>0</v>
      </c>
      <c r="H30" s="9">
        <f t="shared" si="2"/>
        <v>0</v>
      </c>
      <c r="I30" s="148"/>
      <c r="J30" s="148"/>
      <c r="K30" s="148"/>
      <c r="L30" s="148"/>
      <c r="M30" s="149"/>
    </row>
    <row r="31" spans="2:13" s="1" customFormat="1" ht="18" customHeight="1" x14ac:dyDescent="0.4">
      <c r="B31" s="170"/>
      <c r="C31" s="176" t="s">
        <v>490</v>
      </c>
      <c r="D31" s="16" t="s">
        <v>281</v>
      </c>
      <c r="E31" s="23">
        <f t="shared" si="0"/>
        <v>3.25</v>
      </c>
      <c r="F31" s="16">
        <v>5</v>
      </c>
      <c r="G31" s="9">
        <f t="shared" si="1"/>
        <v>0</v>
      </c>
      <c r="H31" s="9">
        <f t="shared" si="2"/>
        <v>0</v>
      </c>
      <c r="I31" s="109" t="s">
        <v>491</v>
      </c>
      <c r="J31" s="110"/>
      <c r="K31" s="110"/>
      <c r="L31" s="110"/>
      <c r="M31" s="111"/>
    </row>
    <row r="32" spans="2:13" s="1" customFormat="1" ht="18" customHeight="1" x14ac:dyDescent="0.4">
      <c r="B32" s="170"/>
      <c r="C32" s="107"/>
      <c r="D32" s="16" t="s">
        <v>284</v>
      </c>
      <c r="E32" s="23">
        <f t="shared" si="0"/>
        <v>3.25</v>
      </c>
      <c r="F32" s="16">
        <v>5</v>
      </c>
      <c r="G32" s="9">
        <f t="shared" si="1"/>
        <v>0</v>
      </c>
      <c r="H32" s="9">
        <f t="shared" si="2"/>
        <v>0</v>
      </c>
      <c r="I32" s="112"/>
      <c r="J32" s="113"/>
      <c r="K32" s="113"/>
      <c r="L32" s="113"/>
      <c r="M32" s="114"/>
    </row>
    <row r="33" spans="2:13" ht="18" customHeight="1" x14ac:dyDescent="0.4">
      <c r="B33" s="170"/>
      <c r="C33" s="107"/>
      <c r="D33" s="16" t="s">
        <v>157</v>
      </c>
      <c r="E33" s="23">
        <f t="shared" si="0"/>
        <v>3.25</v>
      </c>
      <c r="F33" s="16">
        <v>5</v>
      </c>
      <c r="G33" s="9">
        <f t="shared" si="1"/>
        <v>0</v>
      </c>
      <c r="H33" s="9">
        <f t="shared" si="2"/>
        <v>0</v>
      </c>
      <c r="I33" s="112"/>
      <c r="J33" s="113"/>
      <c r="K33" s="113"/>
      <c r="L33" s="113"/>
      <c r="M33" s="114"/>
    </row>
    <row r="34" spans="2:13" ht="18" customHeight="1" x14ac:dyDescent="0.4">
      <c r="B34" s="170"/>
      <c r="C34" s="107"/>
      <c r="D34" s="16" t="s">
        <v>118</v>
      </c>
      <c r="E34" s="23">
        <f t="shared" si="0"/>
        <v>3.25</v>
      </c>
      <c r="F34" s="16">
        <v>5</v>
      </c>
      <c r="G34" s="9">
        <f t="shared" si="1"/>
        <v>0</v>
      </c>
      <c r="H34" s="9">
        <f t="shared" si="2"/>
        <v>0</v>
      </c>
      <c r="I34" s="112"/>
      <c r="J34" s="113"/>
      <c r="K34" s="113"/>
      <c r="L34" s="113"/>
      <c r="M34" s="114"/>
    </row>
    <row r="35" spans="2:13" ht="18" customHeight="1" x14ac:dyDescent="0.4">
      <c r="B35" s="170"/>
      <c r="C35" s="107"/>
      <c r="D35" s="16" t="s">
        <v>492</v>
      </c>
      <c r="E35" s="26">
        <f t="shared" si="0"/>
        <v>13</v>
      </c>
      <c r="F35" s="16">
        <v>20</v>
      </c>
      <c r="G35" s="9">
        <f t="shared" si="1"/>
        <v>0</v>
      </c>
      <c r="H35" s="9">
        <f t="shared" si="2"/>
        <v>0</v>
      </c>
      <c r="I35" s="112"/>
      <c r="J35" s="113"/>
      <c r="K35" s="113"/>
      <c r="L35" s="113"/>
      <c r="M35" s="114"/>
    </row>
    <row r="36" spans="2:13" ht="18" customHeight="1" x14ac:dyDescent="0.4">
      <c r="B36" s="170"/>
      <c r="C36" s="107"/>
      <c r="D36" s="16" t="s">
        <v>127</v>
      </c>
      <c r="E36" s="23">
        <f t="shared" si="0"/>
        <v>0.32500000000000001</v>
      </c>
      <c r="F36" s="16">
        <v>0.5</v>
      </c>
      <c r="G36" s="9">
        <f t="shared" si="1"/>
        <v>0</v>
      </c>
      <c r="H36" s="9">
        <f t="shared" si="2"/>
        <v>0</v>
      </c>
      <c r="I36" s="112"/>
      <c r="J36" s="113"/>
      <c r="K36" s="113"/>
      <c r="L36" s="113"/>
      <c r="M36" s="114"/>
    </row>
    <row r="37" spans="2:13" ht="18" customHeight="1" x14ac:dyDescent="0.4">
      <c r="B37" s="170"/>
      <c r="C37" s="107"/>
      <c r="D37" s="16" t="s">
        <v>159</v>
      </c>
      <c r="E37" s="23">
        <f t="shared" si="0"/>
        <v>0.65</v>
      </c>
      <c r="F37" s="16">
        <v>1</v>
      </c>
      <c r="G37" s="9">
        <f t="shared" si="1"/>
        <v>0</v>
      </c>
      <c r="H37" s="9">
        <f t="shared" si="2"/>
        <v>0</v>
      </c>
      <c r="I37" s="112"/>
      <c r="J37" s="113"/>
      <c r="K37" s="113"/>
      <c r="L37" s="113"/>
      <c r="M37" s="114"/>
    </row>
    <row r="38" spans="2:13" ht="18" customHeight="1" x14ac:dyDescent="0.4">
      <c r="B38" s="170"/>
      <c r="C38" s="107"/>
      <c r="D38" s="16" t="s">
        <v>133</v>
      </c>
      <c r="E38" s="23">
        <f t="shared" si="0"/>
        <v>1.625</v>
      </c>
      <c r="F38" s="16">
        <v>2.5</v>
      </c>
      <c r="G38" s="9">
        <f t="shared" si="1"/>
        <v>0</v>
      </c>
      <c r="H38" s="9">
        <f t="shared" si="2"/>
        <v>0</v>
      </c>
      <c r="I38" s="112"/>
      <c r="J38" s="113"/>
      <c r="K38" s="113"/>
      <c r="L38" s="113"/>
      <c r="M38" s="114"/>
    </row>
    <row r="39" spans="2:13" ht="18" customHeight="1" x14ac:dyDescent="0.4">
      <c r="B39" s="170"/>
      <c r="C39" s="107"/>
      <c r="D39" s="16" t="s">
        <v>166</v>
      </c>
      <c r="E39" s="23">
        <f t="shared" si="0"/>
        <v>0.65</v>
      </c>
      <c r="F39" s="16">
        <v>1</v>
      </c>
      <c r="G39" s="9">
        <f t="shared" si="1"/>
        <v>0</v>
      </c>
      <c r="H39" s="9">
        <f t="shared" si="2"/>
        <v>0</v>
      </c>
      <c r="I39" s="112"/>
      <c r="J39" s="113"/>
      <c r="K39" s="113"/>
      <c r="L39" s="113"/>
      <c r="M39" s="114"/>
    </row>
    <row r="40" spans="2:13" ht="18" customHeight="1" x14ac:dyDescent="0.4">
      <c r="B40" s="170"/>
      <c r="C40" s="107"/>
      <c r="D40" s="16" t="s">
        <v>186</v>
      </c>
      <c r="E40" s="23">
        <f t="shared" si="0"/>
        <v>0.65</v>
      </c>
      <c r="F40" s="16">
        <v>1</v>
      </c>
      <c r="G40" s="9">
        <f t="shared" si="1"/>
        <v>0</v>
      </c>
      <c r="H40" s="9">
        <f t="shared" si="2"/>
        <v>0</v>
      </c>
      <c r="I40" s="112"/>
      <c r="J40" s="113"/>
      <c r="K40" s="113"/>
      <c r="L40" s="113"/>
      <c r="M40" s="114"/>
    </row>
    <row r="41" spans="2:13" ht="18" customHeight="1" x14ac:dyDescent="0.4">
      <c r="B41" s="170"/>
      <c r="C41" s="107"/>
      <c r="D41" s="16" t="s">
        <v>134</v>
      </c>
      <c r="E41" s="23">
        <f t="shared" si="0"/>
        <v>0.19500000000000001</v>
      </c>
      <c r="F41" s="16">
        <v>0.3</v>
      </c>
      <c r="G41" s="9">
        <f t="shared" si="1"/>
        <v>0</v>
      </c>
      <c r="H41" s="9">
        <f t="shared" si="2"/>
        <v>0</v>
      </c>
      <c r="I41" s="112"/>
      <c r="J41" s="113"/>
      <c r="K41" s="113"/>
      <c r="L41" s="113"/>
      <c r="M41" s="114"/>
    </row>
    <row r="42" spans="2:13" ht="18" customHeight="1" x14ac:dyDescent="0.4">
      <c r="B42" s="170"/>
      <c r="C42" s="108"/>
      <c r="D42" s="16" t="s">
        <v>161</v>
      </c>
      <c r="E42" s="23">
        <f t="shared" si="0"/>
        <v>2.6</v>
      </c>
      <c r="F42" s="16">
        <v>4</v>
      </c>
      <c r="G42" s="9">
        <f t="shared" si="1"/>
        <v>0</v>
      </c>
      <c r="H42" s="9">
        <f t="shared" si="2"/>
        <v>0</v>
      </c>
      <c r="I42" s="115"/>
      <c r="J42" s="116"/>
      <c r="K42" s="116"/>
      <c r="L42" s="116"/>
      <c r="M42" s="117"/>
    </row>
    <row r="43" spans="2:13" ht="18" customHeight="1" x14ac:dyDescent="0.4">
      <c r="B43" s="198"/>
      <c r="C43" s="24" t="s">
        <v>135</v>
      </c>
      <c r="D43" s="25" t="s">
        <v>136</v>
      </c>
      <c r="E43" s="51">
        <f t="shared" si="0"/>
        <v>13</v>
      </c>
      <c r="F43" s="37">
        <v>20</v>
      </c>
      <c r="G43" s="52">
        <f t="shared" si="1"/>
        <v>0</v>
      </c>
      <c r="H43" s="52">
        <f t="shared" si="2"/>
        <v>0</v>
      </c>
      <c r="I43" s="208" t="s">
        <v>115</v>
      </c>
      <c r="J43" s="209"/>
      <c r="K43" s="209"/>
      <c r="L43" s="209"/>
      <c r="M43" s="210"/>
    </row>
    <row r="44" spans="2:13" ht="18" customHeight="1" x14ac:dyDescent="0.4">
      <c r="B44" s="235" t="s">
        <v>11</v>
      </c>
      <c r="C44" s="16" t="s">
        <v>420</v>
      </c>
      <c r="D44" s="16" t="s">
        <v>421</v>
      </c>
      <c r="E44" s="21">
        <f t="shared" si="0"/>
        <v>26</v>
      </c>
      <c r="F44" s="15">
        <v>40</v>
      </c>
      <c r="G44" s="9">
        <f t="shared" si="1"/>
        <v>0</v>
      </c>
      <c r="H44" s="9">
        <f t="shared" si="2"/>
        <v>0</v>
      </c>
      <c r="I44" s="140" t="s">
        <v>104</v>
      </c>
      <c r="J44" s="141"/>
      <c r="K44" s="141"/>
      <c r="L44" s="141"/>
      <c r="M44" s="142"/>
    </row>
    <row r="45" spans="2:13" ht="18" customHeight="1" thickBot="1" x14ac:dyDescent="0.45">
      <c r="B45" s="236"/>
      <c r="C45" s="27" t="s">
        <v>149</v>
      </c>
      <c r="D45" s="27" t="s">
        <v>33</v>
      </c>
      <c r="E45" s="62">
        <v>100</v>
      </c>
      <c r="F45" s="27">
        <v>100</v>
      </c>
      <c r="G45" s="29">
        <f t="shared" si="1"/>
        <v>0</v>
      </c>
      <c r="H45" s="29">
        <f t="shared" si="2"/>
        <v>0</v>
      </c>
      <c r="I45" s="291"/>
      <c r="J45" s="292"/>
      <c r="K45" s="292"/>
      <c r="L45" s="292"/>
      <c r="M45" s="293"/>
    </row>
    <row r="46" spans="2:13" ht="80.099999999999994" customHeight="1" thickTop="1" x14ac:dyDescent="0.4"/>
    <row r="124" spans="3:3" x14ac:dyDescent="0.4">
      <c r="C124" s="95"/>
    </row>
  </sheetData>
  <mergeCells count="24">
    <mergeCell ref="B44:B45"/>
    <mergeCell ref="I45:M45"/>
    <mergeCell ref="C13:C18"/>
    <mergeCell ref="I13:M18"/>
    <mergeCell ref="C19:C30"/>
    <mergeCell ref="I19:M30"/>
    <mergeCell ref="C31:C42"/>
    <mergeCell ref="I31:M42"/>
    <mergeCell ref="I43:M43"/>
    <mergeCell ref="I44:M44"/>
    <mergeCell ref="I10:M10"/>
    <mergeCell ref="B11:B43"/>
    <mergeCell ref="C11:C12"/>
    <mergeCell ref="I11:M12"/>
    <mergeCell ref="C2:C3"/>
    <mergeCell ref="F2:M3"/>
    <mergeCell ref="B4:M6"/>
    <mergeCell ref="B7:M7"/>
    <mergeCell ref="B8:B9"/>
    <mergeCell ref="C8:C9"/>
    <mergeCell ref="D8:D9"/>
    <mergeCell ref="E8:F8"/>
    <mergeCell ref="G8:H8"/>
    <mergeCell ref="I8:M9"/>
  </mergeCells>
  <phoneticPr fontId="2" type="noConversion"/>
  <pageMargins left="0.25" right="0.25" top="0.75" bottom="0.75" header="0.3" footer="0.3"/>
  <rowBreaks count="5" manualBreakCount="5">
    <brk id="41" min="1" max="12" man="1"/>
    <brk id="83" min="1" max="12" man="1"/>
    <brk id="116" min="1" max="12" man="1"/>
    <brk id="152" min="1" max="12" man="1"/>
    <brk id="186" min="1" max="12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25. 12 첫째주</vt:lpstr>
      <vt:lpstr>25. 12 둘째주</vt:lpstr>
      <vt:lpstr>25. 12 셋째주</vt:lpstr>
      <vt:lpstr>25. 12 넷째주</vt:lpstr>
      <vt:lpstr>25. 12 다섯째주</vt:lpstr>
      <vt:lpstr>25. 12월 ★birthday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Administrator</cp:lastModifiedBy>
  <cp:lastPrinted>2016-04-20T08:32:20Z</cp:lastPrinted>
  <dcterms:created xsi:type="dcterms:W3CDTF">2014-02-26T03:58:18Z</dcterms:created>
  <dcterms:modified xsi:type="dcterms:W3CDTF">2025-12-19T07:58:55Z</dcterms:modified>
</cp:coreProperties>
</file>